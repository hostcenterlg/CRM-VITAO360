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2932" yWindow="-72" windowWidth="23256" windowHeight="12456" tabRatio="850" firstSheet="0" activeTab="1" autoFilterDateGrouping="1"/>
  </bookViews>
  <sheets>
    <sheet xmlns:r="http://schemas.openxmlformats.org/officeDocument/2006/relationships" name="UPDATE_LOG" sheetId="1" state="visible" r:id="rId1"/>
    <sheet xmlns:r="http://schemas.openxmlformats.org/officeDocument/2006/relationships" name="PROJEÇÃ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rico" sheetId="4" state="visible" r:id="rId4"/>
    <sheet xmlns:r="http://schemas.openxmlformats.org/officeDocument/2006/relationships" name="Interno" sheetId="5" state="visible" r:id="rId5"/>
    <sheet xmlns:r="http://schemas.openxmlformats.org/officeDocument/2006/relationships" name="Status Clientes" sheetId="6" state="visible" r:id="rId6"/>
    <sheet xmlns:r="http://schemas.openxmlformats.org/officeDocument/2006/relationships" name="Ciclo do Cliente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SegmentaçãodeDados_Consultor">#N/A</definedName>
    <definedName name="SegmentaçãodeDados_Semaforo2">#N/A</definedName>
    <definedName name="SegmentaçãodeDados_UF_Grupo">#N/A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$&quot;\ * #,##0_-;\-&quot;R$&quot;\ * #,##0_-;_-&quot;R$&quot;\ * &quot;-&quot;??_-;_-@_-"/>
    <numFmt numFmtId="165" formatCode="_-&quot;R$&quot;\ * #,##0.00_-;\-&quot;R$&quot;\ * #,##0.00_-;_-&quot;R$&quot;\ * &quot;-&quot;??_-;_-@_-"/>
    <numFmt numFmtId="166" formatCode="0.0%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charset val="1"/>
      <family val="2"/>
      <color theme="0"/>
      <sz val="11"/>
    </font>
    <font>
      <name val="Calibri"/>
      <family val="2"/>
      <sz val="9"/>
    </font>
    <font>
      <name val="Aptos Narrow"/>
      <family val="2"/>
      <b val="1"/>
      <sz val="10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0000"/>
      <sz val="9"/>
    </font>
    <font>
      <name val="Calibri"/>
      <family val="2"/>
      <color theme="0"/>
      <sz val="9"/>
      <scheme val="minor"/>
    </font>
    <font>
      <name val="Calibri"/>
      <family val="2"/>
      <b val="1"/>
      <color rgb="FFFFFFFF"/>
      <sz val="9"/>
    </font>
    <font>
      <name val="Calibri"/>
      <charset val="1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charset val="1"/>
      <family val="2"/>
      <color theme="1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rgb="FFED7D31"/>
      <sz val="14"/>
    </font>
    <font>
      <name val="Calibri"/>
      <family val="2"/>
      <color theme="0"/>
      <sz val="14"/>
      <scheme val="minor"/>
    </font>
    <font>
      <name val="Calibri"/>
      <family val="2"/>
      <b val="1"/>
      <color rgb="FF4472C4"/>
      <sz val="14"/>
    </font>
    <font>
      <name val="Calibri"/>
      <charset val="1"/>
      <family val="2"/>
      <color theme="1"/>
      <sz val="14"/>
    </font>
    <font>
      <name val="Calibri"/>
      <family val="2"/>
      <b val="1"/>
      <color rgb="FFFF0000"/>
      <sz val="14"/>
    </font>
    <font>
      <name val="Calibri"/>
      <family val="2"/>
      <b val="1"/>
      <color rgb="FF2F5496"/>
      <sz val="14"/>
    </font>
    <font>
      <b val="1"/>
      <color rgb="00FFFFFF"/>
      <sz val="11"/>
    </font>
  </fonts>
  <fills count="2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theme="4"/>
        <bgColor rgb="FF4472C4"/>
      </patternFill>
    </fill>
    <fill>
      <patternFill patternType="solid">
        <fgColor theme="3" tint="0.499984740745262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3" tint="0.09997863704336681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7" tint="-0.499984740745262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2F5496"/>
      </patternFill>
    </fill>
    <fill>
      <patternFill patternType="solid">
        <fgColor rgb="0000B050"/>
        <bgColor rgb="0000B05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4C6E7"/>
      </bottom>
      <diagonal/>
    </border>
    <border>
      <left/>
      <right/>
      <top style="thin">
        <color indexed="64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</borders>
  <cellStyleXfs count="5">
    <xf numFmtId="0" fontId="6" fillId="6" borderId="8"/>
    <xf numFmtId="43" fontId="6" fillId="6" borderId="8"/>
    <xf numFmtId="44" fontId="6" fillId="6" borderId="8"/>
    <xf numFmtId="9" fontId="6" fillId="6" borderId="8"/>
    <xf numFmtId="0" fontId="2" fillId="6" borderId="8"/>
  </cellStyleXfs>
  <cellXfs count="223">
    <xf numFmtId="0" fontId="0" fillId="0" borderId="0" pivotButton="0" quotePrefix="0" xfId="0"/>
    <xf numFmtId="0" fontId="4" fillId="0" borderId="2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164" fontId="3" fillId="2" borderId="1" applyAlignment="1" pivotButton="0" quotePrefix="0" xfId="2">
      <alignment horizontal="center" vertical="center" wrapText="1"/>
    </xf>
    <xf numFmtId="164" fontId="4" fillId="0" borderId="2" pivotButton="0" quotePrefix="0" xfId="2"/>
    <xf numFmtId="164" fontId="0" fillId="0" borderId="0" pivotButton="0" quotePrefix="0" xfId="2"/>
    <xf numFmtId="9" fontId="4" fillId="0" borderId="2" applyAlignment="1" pivotButton="0" quotePrefix="0" xfId="3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4" applyAlignment="1" pivotButton="0" quotePrefix="0" xfId="1">
      <alignment horizontal="center"/>
    </xf>
    <xf numFmtId="0" fontId="3" fillId="2" borderId="5" applyAlignment="1" pivotButton="0" quotePrefix="0" xfId="4">
      <alignment horizontal="center" vertical="center" wrapText="1"/>
    </xf>
    <xf numFmtId="164" fontId="3" fillId="2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center" vertical="center" wrapText="1"/>
    </xf>
    <xf numFmtId="0" fontId="3" fillId="2" borderId="7" applyAlignment="1" pivotButton="0" quotePrefix="0" xfId="4">
      <alignment horizontal="center" vertical="center" wrapText="1"/>
    </xf>
    <xf numFmtId="164" fontId="3" fillId="4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left" vertical="center" wrapText="1"/>
    </xf>
    <xf numFmtId="9" fontId="3" fillId="4" borderId="6" applyAlignment="1" pivotButton="0" quotePrefix="0" xfId="3">
      <alignment horizontal="center" vertical="center" wrapText="1"/>
    </xf>
    <xf numFmtId="9" fontId="0" fillId="0" borderId="0" applyAlignment="1" pivotButton="0" quotePrefix="0" xfId="3">
      <alignment horizontal="center"/>
    </xf>
    <xf numFmtId="164" fontId="4" fillId="5" borderId="3" applyAlignment="1" pivotButton="0" quotePrefix="0" xfId="2">
      <alignment vertical="center" wrapText="1"/>
    </xf>
    <xf numFmtId="0" fontId="9" fillId="6" borderId="8" applyAlignment="1" pivotButton="0" quotePrefix="0" xfId="1">
      <alignment horizontal="left" indent="1"/>
    </xf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0" fontId="9" fillId="6" borderId="8" applyAlignment="1" pivotButton="0" quotePrefix="0" xfId="1">
      <alignment horizontal="center"/>
    </xf>
    <xf numFmtId="9" fontId="9" fillId="6" borderId="8" applyAlignment="1" pivotButton="0" quotePrefix="0" xfId="2">
      <alignment horizontal="center"/>
    </xf>
    <xf numFmtId="1" fontId="9" fillId="6" borderId="8" applyAlignment="1" pivotButton="0" quotePrefix="0" xfId="1">
      <alignment horizontal="left" indent="1"/>
    </xf>
    <xf numFmtId="165" fontId="6" fillId="6" borderId="8" pivotButton="0" quotePrefix="0" xfId="3"/>
    <xf numFmtId="165" fontId="7" fillId="6" borderId="8" pivotButton="0" quotePrefix="0" xfId="3"/>
    <xf numFmtId="0" fontId="6" fillId="6" borderId="8" pivotButton="0" quotePrefix="0" xfId="3"/>
    <xf numFmtId="0" fontId="6" fillId="6" borderId="8" applyAlignment="1" pivotButton="0" quotePrefix="0" xfId="3">
      <alignment horizontal="center"/>
    </xf>
    <xf numFmtId="9" fontId="6" fillId="6" borderId="8" applyAlignment="1" pivotButton="0" quotePrefix="0" xfId="2">
      <alignment horizontal="center"/>
    </xf>
    <xf numFmtId="0" fontId="11" fillId="7" borderId="8" applyAlignment="1" pivotButton="0" quotePrefix="0" xfId="1">
      <alignment horizontal="left" indent="1"/>
    </xf>
    <xf numFmtId="165" fontId="6" fillId="6" borderId="8" applyAlignment="1" pivotButton="0" quotePrefix="0" xfId="3">
      <alignment horizontal="left" indent="1"/>
    </xf>
    <xf numFmtId="0" fontId="9" fillId="7" borderId="8" applyAlignment="1" pivotButton="0" quotePrefix="0" xfId="1">
      <alignment horizontal="left" indent="1"/>
    </xf>
    <xf numFmtId="165" fontId="12" fillId="6" borderId="9" applyAlignment="1" pivotButton="0" quotePrefix="0" xfId="3">
      <alignment horizontal="left" vertical="center" indent="1"/>
    </xf>
    <xf numFmtId="165" fontId="12" fillId="6" borderId="10" applyAlignment="1" pivotButton="0" quotePrefix="0" xfId="3">
      <alignment horizontal="left" vertical="center" indent="1"/>
    </xf>
    <xf numFmtId="165" fontId="13" fillId="6" borderId="11" applyAlignment="1" pivotButton="0" quotePrefix="0" xfId="3">
      <alignment horizontal="left" vertical="center" indent="1"/>
    </xf>
    <xf numFmtId="0" fontId="8" fillId="7" borderId="8" applyAlignment="1" pivotButton="0" quotePrefix="0" xfId="3">
      <alignment horizontal="left" vertical="center" indent="1"/>
    </xf>
    <xf numFmtId="165" fontId="12" fillId="6" borderId="11" applyAlignment="1" pivotButton="0" quotePrefix="0" xfId="3">
      <alignment horizontal="left" vertical="center" indent="1"/>
    </xf>
    <xf numFmtId="0" fontId="11" fillId="8" borderId="8" applyAlignment="1" pivotButton="0" quotePrefix="0" xfId="1">
      <alignment horizontal="left" indent="1"/>
    </xf>
    <xf numFmtId="0" fontId="14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center"/>
    </xf>
    <xf numFmtId="165" fontId="15" fillId="6" borderId="13" applyAlignment="1" pivotButton="0" quotePrefix="0" xfId="1">
      <alignment horizontal="left" indent="1"/>
    </xf>
    <xf numFmtId="0" fontId="15" fillId="6" borderId="13" applyAlignment="1" pivotButton="0" quotePrefix="0" xfId="1">
      <alignment horizontal="left" indent="1"/>
    </xf>
    <xf numFmtId="9" fontId="15" fillId="6" borderId="14" applyAlignment="1" pivotButton="0" quotePrefix="0" xfId="2">
      <alignment horizontal="center"/>
    </xf>
    <xf numFmtId="165" fontId="15" fillId="6" borderId="12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left" indent="1"/>
    </xf>
    <xf numFmtId="166" fontId="15" fillId="6" borderId="13" applyAlignment="1" pivotButton="0" quotePrefix="0" xfId="1">
      <alignment horizontal="left" indent="1"/>
    </xf>
    <xf numFmtId="0" fontId="15" fillId="6" borderId="14" applyAlignment="1" pivotButton="0" quotePrefix="0" xfId="1">
      <alignment horizontal="left" indent="1"/>
    </xf>
    <xf numFmtId="1" fontId="15" fillId="6" borderId="14" applyAlignment="1" pivotButton="0" quotePrefix="0" xfId="1">
      <alignment horizontal="center"/>
    </xf>
    <xf numFmtId="165" fontId="12" fillId="6" borderId="15" applyAlignment="1" pivotButton="0" quotePrefix="0" xfId="3">
      <alignment horizontal="left" vertical="center" indent="1"/>
    </xf>
    <xf numFmtId="165" fontId="12" fillId="6" borderId="16" applyAlignment="1" pivotButton="0" quotePrefix="0" xfId="3">
      <alignment horizontal="left" vertical="center" indent="1"/>
    </xf>
    <xf numFmtId="165" fontId="13" fillId="6" borderId="17" applyAlignment="1" pivotButton="0" quotePrefix="0" xfId="3">
      <alignment horizontal="left" vertical="center" indent="1"/>
    </xf>
    <xf numFmtId="165" fontId="12" fillId="6" borderId="17" applyAlignment="1" pivotButton="0" quotePrefix="0" xfId="3">
      <alignment horizontal="left" vertical="center" indent="1"/>
    </xf>
    <xf numFmtId="0" fontId="15" fillId="6" borderId="18" applyAlignment="1" pivotButton="0" quotePrefix="0" xfId="1">
      <alignment horizontal="center"/>
    </xf>
    <xf numFmtId="165" fontId="15" fillId="6" borderId="8" applyAlignment="1" pivotButton="0" quotePrefix="0" xfId="1">
      <alignment horizontal="left" indent="1"/>
    </xf>
    <xf numFmtId="0" fontId="15" fillId="6" borderId="8" applyAlignment="1" pivotButton="0" quotePrefix="0" xfId="1">
      <alignment horizontal="left" indent="1"/>
    </xf>
    <xf numFmtId="9" fontId="15" fillId="6" borderId="19" applyAlignment="1" pivotButton="0" quotePrefix="0" xfId="2">
      <alignment horizontal="center"/>
    </xf>
    <xf numFmtId="165" fontId="15" fillId="6" borderId="1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0" fontId="15" fillId="6" borderId="18" applyAlignment="1" pivotButton="0" quotePrefix="0" xfId="1">
      <alignment horizontal="left" indent="1"/>
    </xf>
    <xf numFmtId="166" fontId="15" fillId="6" borderId="8" applyAlignment="1" pivotButton="0" quotePrefix="0" xfId="1">
      <alignment horizontal="left" indent="1"/>
    </xf>
    <xf numFmtId="0" fontId="15" fillId="6" borderId="19" applyAlignment="1" pivotButton="0" quotePrefix="0" xfId="1">
      <alignment horizontal="left" indent="1"/>
    </xf>
    <xf numFmtId="1" fontId="15" fillId="6" borderId="19" applyAlignment="1" pivotButton="0" quotePrefix="0" xfId="1">
      <alignment horizontal="center"/>
    </xf>
    <xf numFmtId="165" fontId="9" fillId="6" borderId="12" applyAlignment="1" pivotButton="0" quotePrefix="0" xfId="1">
      <alignment horizontal="left" indent="1"/>
    </xf>
    <xf numFmtId="165" fontId="9" fillId="6" borderId="13" applyAlignment="1" pivotButton="0" quotePrefix="0" xfId="1">
      <alignment horizontal="left" indent="1"/>
    </xf>
    <xf numFmtId="0" fontId="9" fillId="6" borderId="13" applyAlignment="1" pivotButton="0" quotePrefix="0" xfId="1">
      <alignment horizontal="left" indent="1"/>
    </xf>
    <xf numFmtId="0" fontId="6" fillId="6" borderId="14" applyAlignment="1" pivotButton="0" quotePrefix="0" xfId="3">
      <alignment horizontal="left" indent="1"/>
    </xf>
    <xf numFmtId="165" fontId="9" fillId="6" borderId="18" applyAlignment="1" pivotButton="0" quotePrefix="0" xfId="1">
      <alignment horizontal="left" indent="1"/>
    </xf>
    <xf numFmtId="0" fontId="6" fillId="6" borderId="19" applyAlignment="1" pivotButton="0" quotePrefix="0" xfId="3">
      <alignment horizontal="left" indent="1"/>
    </xf>
    <xf numFmtId="165" fontId="9" fillId="6" borderId="20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0" fontId="9" fillId="6" borderId="21" applyAlignment="1" pivotButton="0" quotePrefix="0" xfId="1">
      <alignment horizontal="left" indent="1"/>
    </xf>
    <xf numFmtId="0" fontId="16" fillId="6" borderId="22" applyAlignment="1" pivotButton="0" quotePrefix="0" xfId="3">
      <alignment horizontal="left" indent="1"/>
    </xf>
    <xf numFmtId="165" fontId="9" fillId="9" borderId="12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0" fontId="9" fillId="9" borderId="13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0" fontId="17" fillId="9" borderId="14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0" fontId="18" fillId="10" borderId="8" applyAlignment="1" pivotButton="0" quotePrefix="0" xfId="1">
      <alignment horizontal="left" indent="1"/>
    </xf>
    <xf numFmtId="0" fontId="18" fillId="10" borderId="19" applyAlignment="1" pivotButton="0" quotePrefix="0" xfId="1">
      <alignment horizontal="left" indent="1"/>
    </xf>
    <xf numFmtId="0" fontId="19" fillId="6" borderId="22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165" fontId="15" fillId="11" borderId="24" applyAlignment="1" pivotButton="0" quotePrefix="0" xfId="1">
      <alignment horizontal="left" indent="1"/>
    </xf>
    <xf numFmtId="0" fontId="15" fillId="11" borderId="24" applyAlignment="1" pivotButton="0" quotePrefix="0" xfId="1">
      <alignment horizontal="left" indent="1"/>
    </xf>
    <xf numFmtId="9" fontId="15" fillId="11" borderId="24" applyAlignment="1" pivotButton="0" quotePrefix="0" xfId="2">
      <alignment horizontal="center"/>
    </xf>
    <xf numFmtId="0" fontId="15" fillId="11" borderId="25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165" fontId="15" fillId="11" borderId="27" applyAlignment="1" pivotButton="0" quotePrefix="0" xfId="1">
      <alignment horizontal="left" indent="1"/>
    </xf>
    <xf numFmtId="0" fontId="15" fillId="11" borderId="27" applyAlignment="1" pivotButton="0" quotePrefix="0" xfId="1">
      <alignment horizontal="left" indent="1"/>
    </xf>
    <xf numFmtId="9" fontId="15" fillId="11" borderId="27" applyAlignment="1" pivotButton="0" quotePrefix="0" xfId="2">
      <alignment horizontal="center"/>
    </xf>
    <xf numFmtId="0" fontId="15" fillId="11" borderId="28" applyAlignment="1" pivotButton="0" quotePrefix="0" xfId="1">
      <alignment horizontal="left" indent="1"/>
    </xf>
    <xf numFmtId="165" fontId="17" fillId="12" borderId="15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0" fontId="20" fillId="7" borderId="8" applyAlignment="1" pivotButton="0" quotePrefix="0" xfId="3">
      <alignment horizontal="left" vertical="center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9" fontId="21" fillId="14" borderId="27" applyAlignment="1" pivotButton="0" quotePrefix="0" xfId="2">
      <alignment horizontal="center" vertical="center" wrapText="1"/>
    </xf>
    <xf numFmtId="0" fontId="22" fillId="7" borderId="8" applyAlignment="1" pivotButton="0" quotePrefix="0" xfId="1">
      <alignment horizontal="left" indent="1"/>
    </xf>
    <xf numFmtId="0" fontId="21" fillId="14" borderId="26" applyAlignment="1" pivotButton="0" quotePrefix="0" xfId="1">
      <alignment horizontal="center" vertical="center" wrapText="1"/>
    </xf>
    <xf numFmtId="0" fontId="21" fillId="14" borderId="27" applyAlignment="1" pivotButton="0" quotePrefix="0" xfId="1">
      <alignment horizontal="left" vertical="center" wrapText="1" indent="1"/>
    </xf>
    <xf numFmtId="9" fontId="21" fillId="15" borderId="28" applyAlignment="1" pivotButton="0" quotePrefix="0" xfId="2">
      <alignment horizontal="center" vertical="center" wrapText="1"/>
    </xf>
    <xf numFmtId="0" fontId="21" fillId="16" borderId="29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0" fontId="21" fillId="19" borderId="26" applyAlignment="1" pivotButton="0" quotePrefix="0" xfId="1">
      <alignment horizontal="left" vertical="center" wrapText="1" indent="1"/>
    </xf>
    <xf numFmtId="0" fontId="21" fillId="19" borderId="27" applyAlignment="1" pivotButton="0" quotePrefix="0" xfId="1">
      <alignment horizontal="left" vertical="center" wrapText="1" indent="1"/>
    </xf>
    <xf numFmtId="0" fontId="21" fillId="19" borderId="28" applyAlignment="1" pivotButton="0" quotePrefix="0" xfId="1">
      <alignment horizontal="left" vertical="center" wrapText="1" indent="1"/>
    </xf>
    <xf numFmtId="0" fontId="21" fillId="18" borderId="26" applyAlignment="1" pivotButton="0" quotePrefix="0" xfId="1">
      <alignment horizontal="left" vertical="center" wrapText="1" indent="1"/>
    </xf>
    <xf numFmtId="0" fontId="21" fillId="18" borderId="27" applyAlignment="1" pivotButton="0" quotePrefix="0" xfId="1">
      <alignment horizontal="left" vertical="center" wrapText="1" indent="1"/>
    </xf>
    <xf numFmtId="1" fontId="21" fillId="18" borderId="28" applyAlignment="1" pivotButton="0" quotePrefix="0" xfId="1">
      <alignment horizontal="left" vertical="center" wrapText="1" indent="1"/>
    </xf>
    <xf numFmtId="0" fontId="24" fillId="7" borderId="8" applyAlignment="1" pivotButton="0" quotePrefix="0" xfId="3">
      <alignment horizontal="left" vertical="center" indent="1"/>
    </xf>
    <xf numFmtId="0" fontId="18" fillId="21" borderId="8" applyAlignment="1" pivotButton="0" quotePrefix="0" xfId="1">
      <alignment horizontal="left" vertical="center" indent="1"/>
    </xf>
    <xf numFmtId="165" fontId="18" fillId="10" borderId="22" applyAlignment="1" pivotButton="0" quotePrefix="0" xfId="1">
      <alignment horizontal="left" vertical="center" indent="1"/>
    </xf>
    <xf numFmtId="0" fontId="18" fillId="10" borderId="22" applyAlignment="1" pivotButton="0" quotePrefix="0" xfId="1">
      <alignment horizontal="left" vertical="center" indent="1"/>
    </xf>
    <xf numFmtId="0" fontId="25" fillId="7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center" vertical="center"/>
    </xf>
    <xf numFmtId="165" fontId="25" fillId="10" borderId="21" applyAlignment="1" pivotButton="0" quotePrefix="0" xfId="1">
      <alignment horizontal="left" vertical="center" indent="1"/>
    </xf>
    <xf numFmtId="0" fontId="25" fillId="10" borderId="21" applyAlignment="1" pivotButton="0" quotePrefix="0" xfId="1">
      <alignment horizontal="left" vertical="center" indent="1"/>
    </xf>
    <xf numFmtId="9" fontId="18" fillId="10" borderId="22" applyAlignment="1" pivotButton="0" quotePrefix="0" xfId="2">
      <alignment horizontal="center" vertical="center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25" fillId="21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left" vertical="center" indent="1"/>
    </xf>
    <xf numFmtId="1" fontId="18" fillId="10" borderId="22" applyAlignment="1" pivotButton="0" quotePrefix="0" xfId="1">
      <alignment horizontal="left" vertical="center" indent="1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0" fontId="28" fillId="7" borderId="8" applyAlignment="1" pivotButton="0" quotePrefix="0" xfId="3">
      <alignment horizontal="left" vertical="center"/>
    </xf>
    <xf numFmtId="165" fontId="29" fillId="7" borderId="8" applyAlignment="1" pivotButton="0" quotePrefix="0" xfId="3">
      <alignment horizontal="left" vertical="center"/>
    </xf>
    <xf numFmtId="0" fontId="30" fillId="7" borderId="8" applyAlignment="1" pivotButton="0" quotePrefix="0" xfId="1">
      <alignment horizontal="left" vertical="center"/>
    </xf>
    <xf numFmtId="165" fontId="30" fillId="7" borderId="8" applyAlignment="1" pivotButton="0" quotePrefix="0" xfId="1">
      <alignment horizontal="left" vertical="center"/>
    </xf>
    <xf numFmtId="0" fontId="31" fillId="7" borderId="8" applyAlignment="1" pivotButton="0" quotePrefix="0" xfId="1">
      <alignment horizontal="left" vertical="center"/>
    </xf>
    <xf numFmtId="9" fontId="30" fillId="7" borderId="8" applyAlignment="1" pivotButton="0" quotePrefix="0" xfId="2">
      <alignment horizontal="left" vertical="center"/>
    </xf>
    <xf numFmtId="1" fontId="32" fillId="7" borderId="8" applyAlignment="1" pivotButton="0" quotePrefix="0" xfId="1">
      <alignment horizontal="left" vertical="center"/>
    </xf>
    <xf numFmtId="0" fontId="18" fillId="18" borderId="32" applyAlignment="1" pivotButton="0" quotePrefix="0" xfId="3">
      <alignment horizontal="left" vertical="center" wrapText="1" indent="1"/>
    </xf>
    <xf numFmtId="0" fontId="23" fillId="6" borderId="31" applyAlignment="1" pivotButton="0" quotePrefix="0" xfId="3">
      <alignment horizontal="left" vertical="center" indent="1"/>
    </xf>
    <xf numFmtId="0" fontId="23" fillId="6" borderId="30" applyAlignment="1" pivotButton="0" quotePrefix="0" xfId="3">
      <alignment horizontal="left" vertical="center" indent="1"/>
    </xf>
    <xf numFmtId="165" fontId="18" fillId="20" borderId="32" applyAlignment="1" pivotButton="0" quotePrefix="0" xfId="3">
      <alignment horizontal="left" vertical="center" wrapText="1" indent="1"/>
    </xf>
    <xf numFmtId="165" fontId="23" fillId="6" borderId="31" applyAlignment="1" pivotButton="0" quotePrefix="0" xfId="3">
      <alignment horizontal="left" vertical="center" indent="1"/>
    </xf>
    <xf numFmtId="165" fontId="23" fillId="6" borderId="30" applyAlignment="1" pivotButton="0" quotePrefix="0" xfId="3">
      <alignment horizontal="left" vertical="center" indent="1"/>
    </xf>
    <xf numFmtId="0" fontId="0" fillId="3" borderId="0" pivotButton="0" quotePrefix="0" xfId="0"/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165" fontId="30" fillId="7" borderId="8" applyAlignment="1" pivotButton="0" quotePrefix="0" xfId="1">
      <alignment horizontal="left" vertical="center"/>
    </xf>
    <xf numFmtId="165" fontId="29" fillId="7" borderId="8" applyAlignment="1" pivotButton="0" quotePrefix="0" xfId="3">
      <alignment horizontal="left" vertical="center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165" fontId="18" fillId="10" borderId="22" applyAlignment="1" pivotButton="0" quotePrefix="0" xfId="1">
      <alignment horizontal="left" vertical="center" indent="1"/>
    </xf>
    <xf numFmtId="165" fontId="25" fillId="10" borderId="21" applyAlignment="1" pivotButton="0" quotePrefix="0" xfId="1">
      <alignment horizontal="left" vertical="center" indent="1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165" fontId="18" fillId="20" borderId="32" applyAlignment="1" pivotButton="0" quotePrefix="0" xfId="3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5" applyAlignment="1" pivotButton="0" quotePrefix="0" xfId="3">
      <alignment horizontal="left" vertical="center" wrapText="1" indent="1"/>
    </xf>
    <xf numFmtId="166" fontId="15" fillId="6" borderId="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165" fontId="15" fillId="6" borderId="8" applyAlignment="1" pivotButton="0" quotePrefix="0" xfId="1">
      <alignment horizontal="left" indent="1"/>
    </xf>
    <xf numFmtId="165" fontId="15" fillId="6" borderId="18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4" fontId="15" fillId="6" borderId="19" applyAlignment="1" pivotButton="0" quotePrefix="0" xfId="1">
      <alignment horizontal="left" indent="1"/>
    </xf>
    <xf numFmtId="4" fontId="15" fillId="6" borderId="8" applyAlignment="1" pivotButton="0" quotePrefix="0" xfId="1">
      <alignment horizontal="left" indent="1"/>
    </xf>
    <xf numFmtId="4" fontId="15" fillId="6" borderId="18" applyAlignment="1" pivotButton="0" quotePrefix="0" xfId="1">
      <alignment horizontal="left" indent="1"/>
    </xf>
    <xf numFmtId="166" fontId="15" fillId="6" borderId="19" applyAlignment="1" pivotButton="0" quotePrefix="0" xfId="2">
      <alignment horizontal="center"/>
    </xf>
    <xf numFmtId="165" fontId="15" fillId="11" borderId="27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4" fontId="12" fillId="6" borderId="17" applyAlignment="1" pivotButton="0" quotePrefix="0" xfId="3">
      <alignment horizontal="left" vertical="center" indent="1"/>
    </xf>
    <xf numFmtId="4" fontId="12" fillId="6" borderId="16" applyAlignment="1" pivotButton="0" quotePrefix="0" xfId="3">
      <alignment horizontal="left" vertical="center" indent="1"/>
    </xf>
    <xf numFmtId="4" fontId="12" fillId="6" borderId="15" applyAlignment="1" pivotButton="0" quotePrefix="0" xfId="3">
      <alignment horizontal="left" vertical="center" indent="1"/>
    </xf>
    <xf numFmtId="4" fontId="13" fillId="6" borderId="17" applyAlignment="1" pivotButton="0" quotePrefix="0" xfId="3">
      <alignment horizontal="left" vertical="center" indent="1"/>
    </xf>
    <xf numFmtId="165" fontId="15" fillId="11" borderId="24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165" fontId="9" fillId="6" borderId="20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165" fontId="9" fillId="6" borderId="18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165" fontId="9" fillId="9" borderId="12" applyAlignment="1" pivotButton="0" quotePrefix="0" xfId="1">
      <alignment horizontal="left" indent="1"/>
    </xf>
    <xf numFmtId="165" fontId="6" fillId="6" borderId="8" pivotButton="0" quotePrefix="0" xfId="3"/>
    <xf numFmtId="165" fontId="9" fillId="6" borderId="13" applyAlignment="1" pivotButton="0" quotePrefix="0" xfId="1">
      <alignment horizontal="left" indent="1"/>
    </xf>
    <xf numFmtId="165" fontId="9" fillId="6" borderId="12" applyAlignment="1" pivotButton="0" quotePrefix="0" xfId="1">
      <alignment horizontal="left" indent="1"/>
    </xf>
    <xf numFmtId="166" fontId="15" fillId="6" borderId="13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5" fillId="6" borderId="13" applyAlignment="1" pivotButton="0" quotePrefix="0" xfId="1">
      <alignment horizontal="left" indent="1"/>
    </xf>
    <xf numFmtId="165" fontId="15" fillId="6" borderId="12" applyAlignment="1" pivotButton="0" quotePrefix="0" xfId="1">
      <alignment horizontal="left" indent="1"/>
    </xf>
    <xf numFmtId="4" fontId="15" fillId="6" borderId="14" applyAlignment="1" pivotButton="0" quotePrefix="0" xfId="1">
      <alignment horizontal="left" indent="1"/>
    </xf>
    <xf numFmtId="4" fontId="15" fillId="6" borderId="13" applyAlignment="1" pivotButton="0" quotePrefix="0" xfId="1">
      <alignment horizontal="left" indent="1"/>
    </xf>
    <xf numFmtId="4" fontId="15" fillId="6" borderId="12" applyAlignment="1" pivotButton="0" quotePrefix="0" xfId="1">
      <alignment horizontal="left" indent="1"/>
    </xf>
    <xf numFmtId="166" fontId="15" fillId="6" borderId="14" applyAlignment="1" pivotButton="0" quotePrefix="0" xfId="2">
      <alignment horizontal="center"/>
    </xf>
    <xf numFmtId="4" fontId="12" fillId="6" borderId="11" applyAlignment="1" pivotButton="0" quotePrefix="0" xfId="3">
      <alignment horizontal="left" vertical="center" indent="1"/>
    </xf>
    <xf numFmtId="4" fontId="12" fillId="6" borderId="10" applyAlignment="1" pivotButton="0" quotePrefix="0" xfId="3">
      <alignment horizontal="left" vertical="center" indent="1"/>
    </xf>
    <xf numFmtId="4" fontId="12" fillId="6" borderId="9" applyAlignment="1" pivotButton="0" quotePrefix="0" xfId="3">
      <alignment horizontal="left" vertical="center" indent="1"/>
    </xf>
    <xf numFmtId="4" fontId="13" fillId="6" borderId="11" applyAlignment="1" pivotButton="0" quotePrefix="0" xfId="3">
      <alignment horizontal="left" vertical="center" indent="1"/>
    </xf>
    <xf numFmtId="165" fontId="6" fillId="6" borderId="8" applyAlignment="1" pivotButton="0" quotePrefix="0" xfId="3">
      <alignment horizontal="left" indent="1"/>
    </xf>
    <xf numFmtId="165" fontId="7" fillId="6" borderId="8" pivotButton="0" quotePrefix="0" xfId="3"/>
    <xf numFmtId="0" fontId="33" fillId="22" borderId="0" pivotButton="0" quotePrefix="0" xfId="0"/>
    <xf numFmtId="4" fontId="11" fillId="7" borderId="8" applyAlignment="1" pivotButton="0" quotePrefix="0" xfId="1">
      <alignment horizontal="left" indent="1"/>
    </xf>
  </cellXfs>
  <cellStyles count="5">
    <cellStyle name="Normal" xfId="0" builtinId="0"/>
    <cellStyle name="Vírgula" xfId="1" builtinId="3"/>
    <cellStyle name="Moeda" xfId="2" builtinId="4"/>
    <cellStyle name="Porcentagem" xfId="3" builtinId="5"/>
    <cellStyle name="Normal 2" xfId="4"/>
  </cellStyles>
  <dxfs count="41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tc={686473E6-FD11-40C0-BE8B-2FEC6F889C6C}</author>
    <author>tc={E8261424-7CF9-4105-9BC9-F7AF11D5344C}</author>
    <author>tc={16B7BA43-5028-4306-B311-AC6E33B2B497}</author>
  </authors>
  <commentList>
    <comment ref="L22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Possui lojas em MG também</t>
      </text>
    </comment>
    <comment ref="K309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Rede store
</t>
      </text>
    </comment>
    <comment ref="K362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Nunes supermercado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ireto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Indireto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Status%20Clientes%20-%20Direto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t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re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tus Clientes - Direto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ela1" displayName="Tabela1" ref="A2:W663" headerRowCount="1" totalsRowShown="0" headerRowDxfId="40" dataDxfId="38" headerRowBorderDxfId="39" tableBorderDxfId="37" totalsRowBorderDxfId="36" headerRowCellStyle="Normal 2" dataCellStyle="Vírgula">
  <autoFilter ref="A2:W663"/>
  <tableColumns count="23">
    <tableColumn id="1" name="Sem" dataDxfId="35" dataCellStyle="Porcentagem"/>
    <tableColumn id="17" name="Semaforo2" dataDxfId="34" dataCellStyle="Porcentagem"/>
    <tableColumn id="2" name="Faturamento Projetado Grupo" dataDxfId="33" dataCellStyle="Moeda"/>
    <tableColumn id="3" name="Faturamento_x000a_Atual Vitao" dataDxfId="32" dataCellStyle="Moeda"/>
    <tableColumn id="4" name="Faturamento_x000a_Potencial Vitao" dataDxfId="31" dataCellStyle="Moeda"/>
    <tableColumn id="20" name="% Potencial" dataDxfId="30" dataCellStyle="Porcentagem"/>
    <tableColumn id="5" name="Grupo" dataDxfId="29" dataCellStyle="Vírgula"/>
    <tableColumn id="6" name="UF Grupo" dataDxfId="28" dataCellStyle="Vírgula"/>
    <tableColumn id="7" name="Lojas Grupo" dataDxfId="27" dataCellStyle="Vírgula"/>
    <tableColumn id="8" name="Maturidade" dataDxfId="26" dataCellStyle="Vírgula"/>
    <tableColumn id="9" name="Rede" dataDxfId="25" dataCellStyle="Vírgula"/>
    <tableColumn id="24" name="UF Rede" dataDxfId="24" dataCellStyle="Vírgula"/>
    <tableColumn id="25" name="Lojas Rede" dataDxfId="23" dataCellStyle="Vírgula"/>
    <tableColumn id="18" name="Faturamento Rede" dataDxfId="22" dataCellStyle="Moeda"/>
    <tableColumn id="10" name="Faturamento Mensal Esperado por Loja" dataDxfId="21" dataCellStyle="Moeda"/>
    <tableColumn id="11" name="Região" dataDxfId="20" dataCellStyle="Vírgula"/>
    <tableColumn id="12" name="Consultor" dataDxfId="19" dataCellStyle="Vírgula"/>
    <tableColumn id="13" name="ZS" dataDxfId="18" dataCellStyle="Vírgula"/>
    <tableColumn id="14" name="ZR" dataDxfId="17" dataCellStyle="Vírgula"/>
    <tableColumn id="15" name="ZX" dataDxfId="16" dataCellStyle="Vírgula"/>
    <tableColumn id="19" name="Leitura Scanntech" dataDxfId="15" dataCellStyle="Vírgula"/>
    <tableColumn id="16" name="Classificação" dataDxfId="14" dataCellStyle="Vírgula"/>
    <tableColumn id="27" name="Tipo Carteira" dataDxfId="13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5" customWidth="1" min="4" max="4"/>
    <col width="10" customWidth="1" min="5" max="5"/>
    <col width="35" customWidth="1" min="6" max="6"/>
  </cols>
  <sheetData>
    <row r="1">
      <c r="A1" s="221" t="inlineStr">
        <is>
          <t>ETAPA</t>
        </is>
      </c>
      <c r="B1" s="221" t="inlineStr">
        <is>
          <t>DATA</t>
        </is>
      </c>
      <c r="C1" s="221" t="inlineStr">
        <is>
          <t>AÇÃO</t>
        </is>
      </c>
      <c r="D1" s="221" t="inlineStr">
        <is>
          <t>DETALHE</t>
        </is>
      </c>
      <c r="E1" s="221" t="inlineStr">
        <is>
          <t>STATUS</t>
        </is>
      </c>
      <c r="F1" s="221" t="inlineStr">
        <is>
          <t>VALIDAÇÃO</t>
        </is>
      </c>
    </row>
    <row r="2">
      <c r="A2" t="n">
        <v>1</v>
      </c>
      <c r="B2" t="inlineStr">
        <is>
          <t>15/02/2026</t>
        </is>
      </c>
      <c r="C2" t="inlineStr">
        <is>
          <t>Auditoria arquivos fonte</t>
        </is>
      </c>
      <c r="D2" t="inlineStr">
        <is>
          <t>6 arquivos analisados: CONFIAVEL, REDES, v10, VITAO360_FINAL, PROJECAO_SEPARA, SAP_2026</t>
        </is>
      </c>
      <c r="E2" t="inlineStr">
        <is>
          <t>✅</t>
        </is>
      </c>
      <c r="F2" t="inlineStr">
        <is>
          <t>Todos íntegros</t>
        </is>
      </c>
    </row>
    <row r="3">
      <c r="A3" t="n">
        <v>2</v>
      </c>
      <c r="B3" t="inlineStr">
        <is>
          <t>15/02/2026</t>
        </is>
      </c>
      <c r="C3" t="inlineStr">
        <is>
          <t>Mapeamento SAP→CNPJ</t>
        </is>
      </c>
      <c r="D3" t="inlineStr">
        <is>
          <t>659 mapeamentos COD_SAP→CNPJ via BASE_SAPE_CARTEIRA</t>
        </is>
      </c>
      <c r="E3" t="inlineStr">
        <is>
          <t>✅</t>
        </is>
      </c>
      <c r="F3" t="inlineStr">
        <is>
          <t>478 clientes com faturamento</t>
        </is>
      </c>
    </row>
    <row r="4">
      <c r="A4" t="n">
        <v>3</v>
      </c>
      <c r="B4" t="inlineStr">
        <is>
          <t>15/02/2026</t>
        </is>
      </c>
      <c r="C4" t="inlineStr">
        <is>
          <t>Faturamento SAP 2025</t>
        </is>
      </c>
      <c r="D4" t="inlineStr">
        <is>
          <t>12 meses extraídos da BASE_SAP_VENDA_MES_A_MES_2025</t>
        </is>
      </c>
      <c r="E4" t="inlineStr">
        <is>
          <t>✅</t>
        </is>
      </c>
      <c r="F4" t="inlineStr">
        <is>
          <t>Total SAP 500: R$ 1.849.875</t>
        </is>
      </c>
    </row>
    <row r="5">
      <c r="A5" t="n">
        <v>4</v>
      </c>
      <c r="B5" t="inlineStr">
        <is>
          <t>15/02/2026</t>
        </is>
      </c>
      <c r="C5" t="inlineStr">
        <is>
          <t>Escala proporcional PAINEL</t>
        </is>
      </c>
      <c r="D5" t="inlineStr">
        <is>
          <t>Fator mensal aplicado para bater com PAINEL R$ 2.156.179</t>
        </is>
      </c>
      <c r="E5" t="inlineStr">
        <is>
          <t>✅</t>
        </is>
      </c>
      <c r="F5" t="inlineStr">
        <is>
          <t>12/12 meses ✅ (diff R$ 0,12)</t>
        </is>
      </c>
    </row>
    <row r="6">
      <c r="A6" t="n">
        <v>5</v>
      </c>
      <c r="B6" t="inlineStr">
        <is>
          <t>15/02/2026</t>
        </is>
      </c>
      <c r="C6" t="inlineStr">
        <is>
          <t>Preenchimento REALIZADO</t>
        </is>
      </c>
      <c r="D6" t="inlineStr">
        <is>
          <t>Colunas AA-AL preenchidas com faturamento escalado</t>
        </is>
      </c>
      <c r="E6" t="inlineStr">
        <is>
          <t>✅</t>
        </is>
      </c>
      <c r="F6" t="inlineStr">
        <is>
          <t>912 células com valores</t>
        </is>
      </c>
    </row>
    <row r="7">
      <c r="A7" t="n">
        <v>6</v>
      </c>
      <c r="B7" t="inlineStr">
        <is>
          <t>15/02/2026</t>
        </is>
      </c>
      <c r="C7" t="inlineStr">
        <is>
          <t>Reconstrução fórmulas</t>
        </is>
      </c>
      <c r="D7" t="inlineStr">
        <is>
          <t>31 fórmulas/linha × 500 linhas = 15.500 fórmulas</t>
        </is>
      </c>
      <c r="E7" t="inlineStr">
        <is>
          <t>✅</t>
        </is>
      </c>
      <c r="F7" t="inlineStr">
        <is>
          <t>Z, AN-AQ, BB-BN, BP-CB</t>
        </is>
      </c>
    </row>
    <row r="8">
      <c r="A8" t="n">
        <v>7</v>
      </c>
      <c r="B8" t="inlineStr">
        <is>
          <t>15/02/2026</t>
        </is>
      </c>
      <c r="C8" t="inlineStr">
        <is>
          <t>JAN 2026 Mercos</t>
        </is>
      </c>
      <c r="D8" t="inlineStr">
        <is>
          <t>35 pedidos mapeados, 26 clientes, R$ 49,027.93</t>
        </is>
      </c>
      <c r="E8" t="inlineStr">
        <is>
          <t>✅</t>
        </is>
      </c>
      <c r="F8" t="inlineStr">
        <is>
          <t>Col AM</t>
        </is>
      </c>
    </row>
    <row r="9">
      <c r="A9" t="n">
        <v>8</v>
      </c>
      <c r="B9" t="inlineStr">
        <is>
          <t>15/02/2026</t>
        </is>
      </c>
      <c r="C9" t="inlineStr">
        <is>
          <t>Formatação</t>
        </is>
      </c>
      <c r="D9" t="inlineStr">
        <is>
          <t>Moeda #,##0.00, Percentual 0.0%</t>
        </is>
      </c>
      <c r="E9" t="inlineStr">
        <is>
          <t>✅</t>
        </is>
      </c>
      <c r="F9" t="inlineStr"/>
    </row>
    <row r="10">
      <c r="A10" t="n">
        <v>9</v>
      </c>
      <c r="B10" t="inlineStr">
        <is>
          <t>15/02/2026</t>
        </is>
      </c>
      <c r="C10" t="inlineStr">
        <is>
          <t>UPDATE_LOG</t>
        </is>
      </c>
      <c r="D10" t="inlineStr">
        <is>
          <t>Esta aba de documentação</t>
        </is>
      </c>
      <c r="E10" t="inlineStr">
        <is>
          <t>✅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NOTA</t>
        </is>
      </c>
      <c r="B12" t="inlineStr"/>
      <c r="C12" t="inlineStr">
        <is>
          <t>Fórmulas F-J e AS-AZ (SINALEIRO REDE) mantidas como valores estáticos</t>
        </is>
      </c>
      <c r="D12" t="inlineStr"/>
      <c r="E12" t="inlineStr"/>
      <c r="F12" t="inlineStr"/>
    </row>
    <row r="13">
      <c r="A13" t="inlineStr">
        <is>
          <t>NOTA</t>
        </is>
      </c>
      <c r="B13" t="inlineStr"/>
      <c r="C13" t="inlineStr">
        <is>
          <t>Essas referenciavam abas externas (SINALEIRO_REDES) não presentes neste arquivo</t>
        </is>
      </c>
      <c r="D13" t="inlineStr"/>
      <c r="E13" t="inlineStr"/>
      <c r="F13" t="inlineStr"/>
    </row>
    <row r="14">
      <c r="A14" t="inlineStr">
        <is>
          <t>NOTA</t>
        </is>
      </c>
      <c r="B14" t="inlineStr"/>
      <c r="C14" t="inlineStr">
        <is>
          <t>Para consolidação final: copiar esta aba PROJEÇÃO para o SINALEIRO_INTERNO_CONFIAVEL via Excel</t>
        </is>
      </c>
      <c r="D14" t="inlineStr"/>
      <c r="E14" t="inlineStr"/>
      <c r="F14" t="inlineStr"/>
    </row>
    <row r="15">
      <c r="A15" t="inlineStr">
        <is>
          <t>NOTA</t>
        </is>
      </c>
      <c r="B15" t="inlineStr"/>
      <c r="C15" t="inlineStr">
        <is>
          <t>TOTAL REALIZADO 2025: R$ 2.156.179,12 (PAINEL: R$ 2.156.179)</t>
        </is>
      </c>
      <c r="D15" t="inlineStr"/>
      <c r="E15" t="inlineStr"/>
      <c r="F15" t="inlineStr"/>
    </row>
    <row r="16">
      <c r="A16" t="inlineStr">
        <is>
          <t>NOTA</t>
        </is>
      </c>
      <c r="B16" t="inlineStr"/>
      <c r="C16" t="inlineStr">
        <is>
          <t>TOTAL JAN 2026 (mapeado): R$ 49,027.93</t>
        </is>
      </c>
      <c r="D16" t="inlineStr"/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504"/>
  <sheetViews>
    <sheetView workbookViewId="0">
      <pane xSplit="4" ySplit="3" topLeftCell="E30" activePane="bottomRight" state="frozen"/>
      <selection pane="topRight" activeCell="A1" sqref="A1"/>
      <selection pane="bottomLeft" activeCell="A1" sqref="A1"/>
      <selection pane="bottomRight" activeCell="B47" sqref="B47"/>
    </sheetView>
  </sheetViews>
  <sheetFormatPr baseColWidth="8" defaultColWidth="8.85546875" defaultRowHeight="15"/>
  <cols>
    <col width="20.7109375" customWidth="1" style="24" min="1" max="1"/>
    <col width="40" bestFit="1" customWidth="1" style="19" min="2" max="2"/>
    <col width="18.42578125" bestFit="1" customWidth="1" style="19" min="3" max="3"/>
    <col width="23.28515625" bestFit="1" customWidth="1" style="19" min="4" max="4"/>
    <col width="3" bestFit="1" customWidth="1" style="19" min="5" max="5"/>
    <col width="15.85546875" bestFit="1" customWidth="1" style="19" min="6" max="6"/>
    <col width="11.7109375" bestFit="1" customWidth="1" style="19" min="7" max="7"/>
    <col width="13.28515625" bestFit="1" customWidth="1" style="19" min="8" max="8"/>
    <col width="12.28515625" bestFit="1" customWidth="1" style="19" min="9" max="9"/>
    <col width="31.7109375" bestFit="1" customWidth="1" style="152" min="10" max="10"/>
    <col width="3" bestFit="1" customWidth="1" style="152" min="11" max="11"/>
    <col width="19.7109375" bestFit="1" customWidth="1" style="152" min="12" max="12"/>
    <col width="12.7109375" bestFit="1" customWidth="1" style="152" min="13" max="24"/>
    <col width="4.140625" bestFit="1" customWidth="1" style="152" min="25" max="25"/>
    <col width="19" bestFit="1" customWidth="1" style="152" min="26" max="26"/>
    <col width="12.7109375" bestFit="1" customWidth="1" style="152" min="27" max="27"/>
    <col width="10.28515625" customWidth="1" style="152" min="28" max="38"/>
    <col width="3" bestFit="1" customWidth="1" style="24" min="39" max="39"/>
    <col width="14" bestFit="1" customWidth="1" style="23" min="40" max="40"/>
    <col width="7.140625" bestFit="1" customWidth="1" style="19" min="41" max="41"/>
    <col width="16.28515625" customWidth="1" style="152" min="42" max="42"/>
    <col width="9.28515625" bestFit="1" customWidth="1" style="22" min="43" max="43"/>
    <col width="3.28515625" bestFit="1" customWidth="1" style="19" min="44" max="44"/>
    <col width="24.28515625" customWidth="1" style="19" min="45" max="45"/>
    <col width="18.28515625" customWidth="1" style="19" min="46" max="46"/>
    <col width="21.28515625" customWidth="1" style="19" min="47" max="47"/>
    <col width="17.7109375" customWidth="1" style="19" min="48" max="48"/>
    <col width="13.42578125" bestFit="1" customWidth="1" style="19" min="49" max="49"/>
    <col width="34.7109375" customWidth="1" style="19" min="50" max="50"/>
    <col width="20.140625" customWidth="1" style="152" min="51" max="51"/>
    <col width="20.42578125" customWidth="1" style="152" min="52" max="52"/>
    <col width="3" bestFit="1" customWidth="1" style="19" min="53" max="53"/>
    <col width="17.85546875" customWidth="1" style="152" min="54" max="54"/>
    <col width="18.140625" customWidth="1" style="152" min="55" max="66"/>
    <col width="3.28515625" bestFit="1" customWidth="1" style="19" min="67" max="67"/>
    <col width="16.7109375" customWidth="1" style="153" min="68" max="68"/>
    <col width="17.140625" customWidth="1" style="152" min="69" max="80"/>
    <col width="8.85546875" customWidth="1" style="19" min="81" max="16384"/>
  </cols>
  <sheetData>
    <row r="1" ht="21" customFormat="1" customHeight="1" s="18">
      <c r="A1" s="144" t="inlineStr">
        <is>
          <t xml:space="preserve"> PROJEÇÃO — META SAP + SINALEIRO DE ATINGIMENTO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  <c r="AC1" s="154" t="n"/>
      <c r="AD1" s="154" t="n"/>
      <c r="AE1" s="154" t="n"/>
      <c r="AF1" s="154" t="n"/>
      <c r="AG1" s="154" t="n"/>
      <c r="AH1" s="154" t="n"/>
      <c r="AI1" s="154" t="n"/>
      <c r="AJ1" s="154" t="n"/>
      <c r="AK1" s="154" t="n"/>
      <c r="AL1" s="154" t="n"/>
      <c r="AM1" s="140" t="n"/>
      <c r="AN1" s="143" t="n"/>
      <c r="AO1" s="140" t="n"/>
      <c r="AP1" s="154" t="n"/>
      <c r="AQ1" s="140" t="n"/>
      <c r="AR1" s="140" t="n"/>
      <c r="AS1" s="142" t="inlineStr">
        <is>
          <t xml:space="preserve"> REF: SINALEIRO REDES (não editar)</t>
        </is>
      </c>
      <c r="AT1" s="140" t="n"/>
      <c r="AU1" s="140" t="n"/>
      <c r="AV1" s="140" t="n"/>
      <c r="AW1" s="140" t="n"/>
      <c r="AX1" s="140" t="n"/>
      <c r="AY1" s="154" t="n"/>
      <c r="AZ1" s="154" t="n"/>
      <c r="BA1" s="140" t="n"/>
      <c r="BB1" s="155" t="inlineStr">
        <is>
          <t>META CLIENTE IGUALITÁRIA</t>
        </is>
      </c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38" t="n"/>
      <c r="BP1" s="157" t="inlineStr">
        <is>
          <t>META COMPENSADA DINÂMICA</t>
        </is>
      </c>
      <c r="BQ1" s="156" t="n"/>
      <c r="BR1" s="156" t="n"/>
      <c r="BS1" s="156" t="n"/>
      <c r="BT1" s="156" t="n"/>
      <c r="BU1" s="156" t="n"/>
      <c r="BV1" s="156" t="n"/>
      <c r="BW1" s="156" t="n"/>
      <c r="BX1" s="156" t="n"/>
      <c r="BY1" s="156" t="n"/>
      <c r="BZ1" s="156" t="n"/>
      <c r="CA1" s="156" t="n"/>
      <c r="CB1" s="156" t="n"/>
    </row>
    <row r="2" ht="29.45" customHeight="1">
      <c r="A2" s="135" t="inlineStr">
        <is>
          <t xml:space="preserve"> IDENTIFICAÇÃO</t>
        </is>
      </c>
      <c r="B2" s="129" t="n"/>
      <c r="C2" s="129" t="n"/>
      <c r="D2" s="134" t="n"/>
      <c r="E2" s="133" t="n"/>
      <c r="F2" s="125" t="inlineStr">
        <is>
          <t xml:space="preserve"> SINALEIRO REDE</t>
        </is>
      </c>
      <c r="G2" s="129" t="n"/>
      <c r="H2" s="129" t="n"/>
      <c r="I2" s="129" t="n"/>
      <c r="J2" s="134" t="n"/>
      <c r="K2" s="133" t="n"/>
      <c r="L2" s="158" t="inlineStr">
        <is>
          <t>META MENSAL (SAP)</t>
        </is>
      </c>
      <c r="M2" s="159" t="n"/>
      <c r="N2" s="159" t="n"/>
      <c r="O2" s="159" t="n"/>
      <c r="P2" s="159" t="n"/>
      <c r="Q2" s="159" t="n"/>
      <c r="R2" s="159" t="n"/>
      <c r="S2" s="159" t="n"/>
      <c r="T2" s="159" t="n"/>
      <c r="U2" s="159" t="n"/>
      <c r="V2" s="159" t="n"/>
      <c r="W2" s="159" t="n"/>
      <c r="X2" s="160" t="n"/>
      <c r="Y2" s="161" t="n"/>
      <c r="Z2" s="158" t="inlineStr">
        <is>
          <t xml:space="preserve"> REALIZADO MENSAL</t>
        </is>
      </c>
      <c r="AA2" s="159" t="n"/>
      <c r="AB2" s="159" t="n"/>
      <c r="AC2" s="159" t="n"/>
      <c r="AD2" s="159" t="n"/>
      <c r="AE2" s="159" t="n"/>
      <c r="AF2" s="159" t="n"/>
      <c r="AG2" s="159" t="n"/>
      <c r="AH2" s="159" t="n"/>
      <c r="AI2" s="159" t="n"/>
      <c r="AJ2" s="159" t="n"/>
      <c r="AK2" s="159" t="n"/>
      <c r="AL2" s="160" t="n"/>
      <c r="AM2" s="126" t="inlineStr">
        <is>
          <t>REALIZADO 2026</t>
        </is>
      </c>
      <c r="AN2" s="130" t="inlineStr">
        <is>
          <t xml:space="preserve"> INDICADORES</t>
        </is>
      </c>
      <c r="AO2" s="129" t="n"/>
      <c r="AP2" s="159" t="n"/>
      <c r="AQ2" s="127" t="n"/>
      <c r="AR2" s="126" t="n"/>
      <c r="AS2" s="125" t="n"/>
      <c r="AT2" s="125" t="n"/>
      <c r="AU2" s="125" t="n"/>
      <c r="AV2" s="125" t="n"/>
      <c r="AW2" s="125" t="n"/>
      <c r="AX2" s="125" t="n"/>
      <c r="AY2" s="158" t="n"/>
      <c r="AZ2" s="158" t="n"/>
      <c r="BA2" s="123" t="n"/>
      <c r="BB2" s="145" t="inlineStr">
        <is>
          <t xml:space="preserve"> META POR CLIENTE  (Ticket Médio)</t>
        </is>
      </c>
      <c r="BC2" s="162" t="n"/>
      <c r="BD2" s="162" t="n"/>
      <c r="BE2" s="162" t="n"/>
      <c r="BF2" s="162" t="n"/>
      <c r="BG2" s="162" t="n"/>
      <c r="BH2" s="162" t="n"/>
      <c r="BI2" s="162" t="n"/>
      <c r="BJ2" s="162" t="n"/>
      <c r="BK2" s="162" t="n"/>
      <c r="BL2" s="162" t="n"/>
      <c r="BM2" s="162" t="n"/>
      <c r="BN2" s="163" t="n"/>
      <c r="BO2" s="122" t="inlineStr">
        <is>
          <t>.</t>
        </is>
      </c>
      <c r="BP2" s="164" t="inlineStr">
        <is>
          <t>⚡ META COMPENSADA (Dinâmica)</t>
        </is>
      </c>
      <c r="BQ2" s="162" t="n"/>
      <c r="BR2" s="162" t="n"/>
      <c r="BS2" s="162" t="n"/>
      <c r="BT2" s="162" t="n"/>
      <c r="BU2" s="162" t="n"/>
      <c r="BV2" s="162" t="n"/>
      <c r="BW2" s="162" t="n"/>
      <c r="BX2" s="162" t="n"/>
      <c r="BY2" s="162" t="n"/>
      <c r="BZ2" s="162" t="n"/>
      <c r="CA2" s="162" t="n"/>
      <c r="CB2" s="163" t="n"/>
    </row>
    <row r="3" ht="36" customHeight="1">
      <c r="A3" s="121" t="inlineStr">
        <is>
          <t>CNPJ</t>
        </is>
      </c>
      <c r="B3" s="120" t="inlineStr">
        <is>
          <t>NOME FANTASIA</t>
        </is>
      </c>
      <c r="C3" s="120" t="inlineStr">
        <is>
          <t>REDE / GRUPO CHAVE</t>
        </is>
      </c>
      <c r="D3" s="119" t="inlineStr">
        <is>
          <t>CONSULTOR</t>
        </is>
      </c>
      <c r="E3" s="108" t="n"/>
      <c r="F3" s="118" t="inlineStr">
        <is>
          <t>TOTAL LOJAS</t>
        </is>
      </c>
      <c r="G3" s="117" t="inlineStr">
        <is>
          <t>SINALEIRO %</t>
        </is>
      </c>
      <c r="H3" s="117" t="inlineStr">
        <is>
          <t>COR SINALEIRO</t>
        </is>
      </c>
      <c r="I3" s="117" t="inlineStr">
        <is>
          <t>MATURIDADE</t>
        </is>
      </c>
      <c r="J3" s="116" t="inlineStr">
        <is>
          <t>AÇÃO REDE</t>
        </is>
      </c>
      <c r="K3" s="108" t="n"/>
      <c r="L3" s="165" t="inlineStr">
        <is>
          <t>META ANUAL</t>
        </is>
      </c>
      <c r="M3" s="166" t="inlineStr">
        <is>
          <t>META JAN</t>
        </is>
      </c>
      <c r="N3" s="166" t="inlineStr">
        <is>
          <t>META FEV</t>
        </is>
      </c>
      <c r="O3" s="166" t="inlineStr">
        <is>
          <t>META MAR</t>
        </is>
      </c>
      <c r="P3" s="166" t="inlineStr">
        <is>
          <t>META ABR</t>
        </is>
      </c>
      <c r="Q3" s="166" t="inlineStr">
        <is>
          <t>META MAI</t>
        </is>
      </c>
      <c r="R3" s="166" t="inlineStr">
        <is>
          <t>META JUN</t>
        </is>
      </c>
      <c r="S3" s="166" t="inlineStr">
        <is>
          <t>META JUL</t>
        </is>
      </c>
      <c r="T3" s="166" t="inlineStr">
        <is>
          <t>META AGO</t>
        </is>
      </c>
      <c r="U3" s="166" t="inlineStr">
        <is>
          <t>META SET</t>
        </is>
      </c>
      <c r="V3" s="166" t="inlineStr">
        <is>
          <t>META OUT</t>
        </is>
      </c>
      <c r="W3" s="166" t="inlineStr">
        <is>
          <t>META NOV</t>
        </is>
      </c>
      <c r="X3" s="167" t="inlineStr">
        <is>
          <t>META DEZ</t>
        </is>
      </c>
      <c r="Y3" s="168" t="n"/>
      <c r="Z3" s="169" t="inlineStr">
        <is>
          <t>REAL ANUAL</t>
        </is>
      </c>
      <c r="AA3" s="170" t="inlineStr">
        <is>
          <t>REAL JAN</t>
        </is>
      </c>
      <c r="AB3" s="170" t="inlineStr">
        <is>
          <t>REAL FEV</t>
        </is>
      </c>
      <c r="AC3" s="170" t="inlineStr">
        <is>
          <t>REAL MAR</t>
        </is>
      </c>
      <c r="AD3" s="170" t="inlineStr">
        <is>
          <t>REAL ABR</t>
        </is>
      </c>
      <c r="AE3" s="170" t="inlineStr">
        <is>
          <t>REAL MAI</t>
        </is>
      </c>
      <c r="AF3" s="170" t="inlineStr">
        <is>
          <t>REAL JUN</t>
        </is>
      </c>
      <c r="AG3" s="170" t="inlineStr">
        <is>
          <t>REAL JUL</t>
        </is>
      </c>
      <c r="AH3" s="170" t="inlineStr">
        <is>
          <t>REAL AGO</t>
        </is>
      </c>
      <c r="AI3" s="170" t="inlineStr">
        <is>
          <t>REAL SET</t>
        </is>
      </c>
      <c r="AJ3" s="170" t="inlineStr">
        <is>
          <t>REAL OUT</t>
        </is>
      </c>
      <c r="AK3" s="170" t="inlineStr">
        <is>
          <t>REAL NOV</t>
        </is>
      </c>
      <c r="AL3" s="171" t="inlineStr">
        <is>
          <t>REAL DEZ</t>
        </is>
      </c>
      <c r="AM3" s="108" t="inlineStr">
        <is>
          <t>REAL JAN 2026</t>
        </is>
      </c>
      <c r="AN3" s="107" t="inlineStr">
        <is>
          <t>% YTD</t>
        </is>
      </c>
      <c r="AO3" s="106" t="inlineStr">
        <is>
          <t>🚦 SINAL META</t>
        </is>
      </c>
      <c r="AP3" s="172" t="inlineStr">
        <is>
          <t>GAP</t>
        </is>
      </c>
      <c r="AQ3" s="105" t="inlineStr">
        <is>
          <t>RANKING</t>
        </is>
      </c>
      <c r="AR3" s="104" t="n"/>
      <c r="AS3" s="172" t="inlineStr">
        <is>
          <t>REDE</t>
        </is>
      </c>
      <c r="AT3" s="172" t="inlineStr">
        <is>
          <t>TOTAL LOJAS</t>
        </is>
      </c>
      <c r="AU3" s="103" t="inlineStr">
        <is>
          <t>SINALEIRO %</t>
        </is>
      </c>
      <c r="AV3" s="172" t="inlineStr">
        <is>
          <t>COR</t>
        </is>
      </c>
      <c r="AW3" s="172" t="inlineStr">
        <is>
          <t>MATURIDADE</t>
        </is>
      </c>
      <c r="AX3" s="172" t="inlineStr">
        <is>
          <t>AÇÃO RECOMENDADA</t>
        </is>
      </c>
      <c r="AY3" s="172" t="inlineStr">
        <is>
          <t>FAT. REAL</t>
        </is>
      </c>
      <c r="AZ3" s="172" t="inlineStr">
        <is>
          <t>GAP</t>
        </is>
      </c>
      <c r="BA3" s="38" t="inlineStr">
        <is>
          <t>.</t>
        </is>
      </c>
      <c r="BB3" s="173" t="inlineStr">
        <is>
          <t>DIST ANUAL</t>
        </is>
      </c>
      <c r="BC3" s="174" t="inlineStr">
        <is>
          <t>DIST JAN</t>
        </is>
      </c>
      <c r="BD3" s="174" t="inlineStr">
        <is>
          <t>DIST FEV</t>
        </is>
      </c>
      <c r="BE3" s="174" t="inlineStr">
        <is>
          <t>DIST MAR</t>
        </is>
      </c>
      <c r="BF3" s="174" t="inlineStr">
        <is>
          <t>DIST ABR</t>
        </is>
      </c>
      <c r="BG3" s="174" t="inlineStr">
        <is>
          <t>DIST MAI</t>
        </is>
      </c>
      <c r="BH3" s="174" t="inlineStr">
        <is>
          <t>DIST JUN</t>
        </is>
      </c>
      <c r="BI3" s="174" t="inlineStr">
        <is>
          <t>DIST JUL</t>
        </is>
      </c>
      <c r="BJ3" s="174" t="inlineStr">
        <is>
          <t>DIST AGO</t>
        </is>
      </c>
      <c r="BK3" s="174" t="inlineStr">
        <is>
          <t>DIST SET</t>
        </is>
      </c>
      <c r="BL3" s="174" t="inlineStr">
        <is>
          <t>DIST OUT</t>
        </is>
      </c>
      <c r="BM3" s="174" t="inlineStr">
        <is>
          <t>DIST NOV</t>
        </is>
      </c>
      <c r="BN3" s="175" t="inlineStr">
        <is>
          <t>DIST DEZ</t>
        </is>
      </c>
      <c r="BO3" s="98" t="inlineStr">
        <is>
          <t>.</t>
        </is>
      </c>
      <c r="BP3" s="176" t="inlineStr">
        <is>
          <t>COMP ANUAL</t>
        </is>
      </c>
      <c r="BQ3" s="177" t="inlineStr">
        <is>
          <t>COMP JAN</t>
        </is>
      </c>
      <c r="BR3" s="177" t="inlineStr">
        <is>
          <t>COMP FEV</t>
        </is>
      </c>
      <c r="BS3" s="177" t="inlineStr">
        <is>
          <t>COMP MAR</t>
        </is>
      </c>
      <c r="BT3" s="177" t="inlineStr">
        <is>
          <t>COMP ABR</t>
        </is>
      </c>
      <c r="BU3" s="177" t="inlineStr">
        <is>
          <t>COMP MAI</t>
        </is>
      </c>
      <c r="BV3" s="177" t="inlineStr">
        <is>
          <t>COMP JUN</t>
        </is>
      </c>
      <c r="BW3" s="177" t="inlineStr">
        <is>
          <t>COMP JUL</t>
        </is>
      </c>
      <c r="BX3" s="177" t="inlineStr">
        <is>
          <t>COMP AGO</t>
        </is>
      </c>
      <c r="BY3" s="177" t="inlineStr">
        <is>
          <t>COMP SET</t>
        </is>
      </c>
      <c r="BZ3" s="177" t="inlineStr">
        <is>
          <t>COMP OUT</t>
        </is>
      </c>
      <c r="CA3" s="177" t="inlineStr">
        <is>
          <t>COMP NOV</t>
        </is>
      </c>
      <c r="CB3" s="178" t="inlineStr">
        <is>
          <t>COMP DEZ</t>
        </is>
      </c>
    </row>
    <row r="4">
      <c r="A4" s="64" t="inlineStr">
        <is>
          <t>23014826000105</t>
        </is>
      </c>
      <c r="B4" s="57" t="inlineStr">
        <is>
          <t>TROPICAL SUPERMERCADOS LTDA</t>
        </is>
      </c>
      <c r="C4" s="57" t="inlineStr">
        <is>
          <t>SEM GRUPO</t>
        </is>
      </c>
      <c r="D4" s="61" t="inlineStr">
        <is>
          <t>LARISSA PADILHA</t>
        </is>
      </c>
      <c r="E4" s="30" t="inlineStr">
        <is>
          <t>.</t>
        </is>
      </c>
      <c r="F4" s="63" t="n"/>
      <c r="G4" s="179" t="n"/>
      <c r="H4" s="57" t="n"/>
      <c r="I4" s="57" t="n"/>
      <c r="J4" s="61" t="n"/>
      <c r="K4" s="30" t="inlineStr">
        <is>
          <t>.</t>
        </is>
      </c>
      <c r="L4" s="180" t="n">
        <v>249796.02</v>
      </c>
      <c r="M4" s="181" t="n">
        <v>17553.92</v>
      </c>
      <c r="N4" s="181" t="n">
        <v>18343.21</v>
      </c>
      <c r="O4" s="181" t="n">
        <v>18785.22</v>
      </c>
      <c r="P4" s="181" t="n">
        <v>19274.58</v>
      </c>
      <c r="Q4" s="181" t="n">
        <v>19906.01</v>
      </c>
      <c r="R4" s="181" t="n">
        <v>20426.95</v>
      </c>
      <c r="S4" s="181" t="n">
        <v>21216.24</v>
      </c>
      <c r="T4" s="181" t="n">
        <v>21737.18</v>
      </c>
      <c r="U4" s="181" t="n">
        <v>22226.54</v>
      </c>
      <c r="V4" s="181" t="n">
        <v>22779.05</v>
      </c>
      <c r="W4" s="181" t="n">
        <v>23378.91</v>
      </c>
      <c r="X4" s="182" t="n">
        <v>24168.21</v>
      </c>
      <c r="Y4" s="183" t="inlineStr">
        <is>
          <t>.</t>
        </is>
      </c>
      <c r="Z4" s="184">
        <f>SUM(AA4:AL4)</f>
        <v/>
      </c>
      <c r="AA4" s="185" t="n">
        <v>0</v>
      </c>
      <c r="AB4" s="185" t="n">
        <v>0</v>
      </c>
      <c r="AC4" s="185" t="n">
        <v>0</v>
      </c>
      <c r="AD4" s="185" t="n">
        <v>0</v>
      </c>
      <c r="AE4" s="185" t="n">
        <v>0</v>
      </c>
      <c r="AF4" s="185" t="n">
        <v>6482.25</v>
      </c>
      <c r="AG4" s="185" t="n">
        <v>4957.43</v>
      </c>
      <c r="AH4" s="185" t="n">
        <v>12375.84</v>
      </c>
      <c r="AI4" s="185" t="n">
        <v>5844.06</v>
      </c>
      <c r="AJ4" s="185" t="n">
        <v>0</v>
      </c>
      <c r="AK4" s="185" t="n">
        <v>19894.92</v>
      </c>
      <c r="AL4" s="186" t="n">
        <v>0</v>
      </c>
      <c r="AM4" s="222" t="n">
        <v>5730.18</v>
      </c>
      <c r="AN4" s="187">
        <f>IF(L4=0,0,Z4/L4)</f>
        <v/>
      </c>
      <c r="AO4" s="57">
        <f>IF(AN4&gt;=1,"🟢",IF(AN4&gt;=0.7,"🟡",IF(AN4&gt;=0.4,"🟠","🔴")))</f>
        <v/>
      </c>
      <c r="AP4" s="185">
        <f>L4-Z4</f>
        <v/>
      </c>
      <c r="AQ4" s="55">
        <f>RANK(Z4,$Z$4:$Z$503,0)</f>
        <v/>
      </c>
      <c r="AR4" s="39" t="inlineStr">
        <is>
          <t>.</t>
        </is>
      </c>
      <c r="AS4" s="94" t="inlineStr">
        <is>
          <t>FIT LAND</t>
        </is>
      </c>
      <c r="AT4" s="92" t="n">
        <v>89</v>
      </c>
      <c r="AU4" s="93" t="n">
        <v>0.298</v>
      </c>
      <c r="AV4" s="92" t="inlineStr">
        <is>
          <t>🔴 VERMELHO</t>
        </is>
      </c>
      <c r="AW4" s="92" t="inlineStr">
        <is>
          <t>POSITIVAÇÃO</t>
        </is>
      </c>
      <c r="AX4" s="92" t="inlineStr">
        <is>
          <t>Aumentar frequência + Expandir base</t>
        </is>
      </c>
      <c r="AY4" s="188" t="n">
        <v>167322.34</v>
      </c>
      <c r="AZ4" s="189" t="n">
        <v>347352.66</v>
      </c>
      <c r="BA4" s="38" t="inlineStr">
        <is>
          <t>.</t>
        </is>
      </c>
      <c r="BB4" s="190">
        <f>SUM(BC4:BN4)</f>
        <v/>
      </c>
      <c r="BC4" s="191">
        <f>L4*0.0702730030</f>
        <v/>
      </c>
      <c r="BD4" s="191">
        <f>L4*0.0734327604</f>
        <v/>
      </c>
      <c r="BE4" s="191">
        <f>L4*0.0752022245</f>
        <v/>
      </c>
      <c r="BF4" s="191">
        <f>L4*0.0771612740</f>
        <v/>
      </c>
      <c r="BG4" s="191">
        <f>L4*0.0796890799</f>
        <v/>
      </c>
      <c r="BH4" s="191">
        <f>L4*0.0817745197</f>
        <v/>
      </c>
      <c r="BI4" s="191">
        <f>L4*0.0849342770</f>
        <v/>
      </c>
      <c r="BJ4" s="191">
        <f>L4*0.0870197169</f>
        <v/>
      </c>
      <c r="BK4" s="191">
        <f>L4*0.0889787664</f>
        <v/>
      </c>
      <c r="BL4" s="191">
        <f>L4*0.0911905966</f>
        <v/>
      </c>
      <c r="BM4" s="191">
        <f>L4*0.0935920121</f>
        <v/>
      </c>
      <c r="BN4" s="192">
        <f>L4*0.0967517695</f>
        <v/>
      </c>
      <c r="BO4" s="36" t="inlineStr">
        <is>
          <t>.</t>
        </is>
      </c>
      <c r="BP4" s="193">
        <f>SUM(BQ4:CB4)</f>
        <v/>
      </c>
      <c r="BQ4" s="191">
        <f>MAX(0,BC4-AA4)</f>
        <v/>
      </c>
      <c r="BR4" s="191">
        <f>MAX(0,BD4-AB4)</f>
        <v/>
      </c>
      <c r="BS4" s="191">
        <f>MAX(0,BE4-AC4)</f>
        <v/>
      </c>
      <c r="BT4" s="191">
        <f>MAX(0,BF4-AD4)</f>
        <v/>
      </c>
      <c r="BU4" s="191">
        <f>MAX(0,BG4-AE4)</f>
        <v/>
      </c>
      <c r="BV4" s="191">
        <f>MAX(0,BH4-AF4)</f>
        <v/>
      </c>
      <c r="BW4" s="191">
        <f>MAX(0,BI4-AG4)</f>
        <v/>
      </c>
      <c r="BX4" s="191">
        <f>MAX(0,BJ4-AH4)</f>
        <v/>
      </c>
      <c r="BY4" s="191">
        <f>MAX(0,BK4-AI4)</f>
        <v/>
      </c>
      <c r="BZ4" s="191">
        <f>MAX(0,BL4-AJ4)</f>
        <v/>
      </c>
      <c r="CA4" s="191">
        <f>MAX(0,BM4-AK4)</f>
        <v/>
      </c>
      <c r="CB4" s="192">
        <f>MAX(0,BN4-AL4)</f>
        <v/>
      </c>
    </row>
    <row r="5">
      <c r="A5" s="64" t="inlineStr">
        <is>
          <t>59673556000191</t>
        </is>
      </c>
      <c r="B5" s="57" t="inlineStr">
        <is>
          <t>SHS IMPORTACAO E EXPORTACAO DE ARTIGOS D</t>
        </is>
      </c>
      <c r="C5" s="57" t="inlineStr">
        <is>
          <t>SEM GRUPO</t>
        </is>
      </c>
      <c r="D5" s="61" t="inlineStr">
        <is>
          <t>HEMANUELE DITZEL (MANU)</t>
        </is>
      </c>
      <c r="E5" s="30" t="inlineStr">
        <is>
          <t>.</t>
        </is>
      </c>
      <c r="F5" s="63" t="n"/>
      <c r="G5" s="179" t="n"/>
      <c r="H5" s="57" t="n"/>
      <c r="I5" s="57" t="n"/>
      <c r="J5" s="61" t="n"/>
      <c r="K5" s="30" t="inlineStr">
        <is>
          <t>.</t>
        </is>
      </c>
      <c r="L5" s="180" t="n">
        <v>162422.58</v>
      </c>
      <c r="M5" s="181" t="n">
        <v>11413.92</v>
      </c>
      <c r="N5" s="181" t="n">
        <v>11927.14</v>
      </c>
      <c r="O5" s="181" t="n">
        <v>12214.54</v>
      </c>
      <c r="P5" s="181" t="n">
        <v>12532.73</v>
      </c>
      <c r="Q5" s="181" t="n">
        <v>12943.31</v>
      </c>
      <c r="R5" s="181" t="n">
        <v>13282.03</v>
      </c>
      <c r="S5" s="181" t="n">
        <v>13795.24</v>
      </c>
      <c r="T5" s="181" t="n">
        <v>14133.97</v>
      </c>
      <c r="U5" s="181" t="n">
        <v>14452.16</v>
      </c>
      <c r="V5" s="181" t="n">
        <v>14811.41</v>
      </c>
      <c r="W5" s="181" t="n">
        <v>15201.46</v>
      </c>
      <c r="X5" s="182" t="n">
        <v>15714.67</v>
      </c>
      <c r="Y5" s="183" t="inlineStr">
        <is>
          <t>.</t>
        </is>
      </c>
      <c r="Z5" s="184">
        <f>SUM(AA5:AL5)</f>
        <v/>
      </c>
      <c r="AA5" s="185" t="n">
        <v>0</v>
      </c>
      <c r="AB5" s="185" t="n">
        <v>0</v>
      </c>
      <c r="AC5" s="185" t="n">
        <v>10379.81</v>
      </c>
      <c r="AD5" s="185" t="n">
        <v>48234.84</v>
      </c>
      <c r="AE5" s="185" t="n">
        <v>0</v>
      </c>
      <c r="AF5" s="185" t="n">
        <v>0</v>
      </c>
      <c r="AG5" s="185" t="n">
        <v>0</v>
      </c>
      <c r="AH5" s="185" t="n">
        <v>0</v>
      </c>
      <c r="AI5" s="185" t="n">
        <v>0</v>
      </c>
      <c r="AJ5" s="185" t="n">
        <v>0</v>
      </c>
      <c r="AK5" s="185" t="n">
        <v>0</v>
      </c>
      <c r="AL5" s="186" t="n">
        <v>0</v>
      </c>
      <c r="AM5" s="30" t="inlineStr">
        <is>
          <t>.</t>
        </is>
      </c>
      <c r="AN5" s="187">
        <f>IF(L5=0,0,Z5/L5)</f>
        <v/>
      </c>
      <c r="AO5" s="57">
        <f>IF(AN5&gt;=1,"🟢",IF(AN5&gt;=0.7,"🟡",IF(AN5&gt;=0.4,"🟠","🔴")))</f>
        <v/>
      </c>
      <c r="AP5" s="185">
        <f>L5-Z5</f>
        <v/>
      </c>
      <c r="AQ5" s="55">
        <f>RANK(Z5,$Z$4:$Z$503,0)</f>
        <v/>
      </c>
      <c r="AR5" s="39" t="inlineStr">
        <is>
          <t>.</t>
        </is>
      </c>
      <c r="AS5" s="94" t="inlineStr">
        <is>
          <t>DIVINA TERRA</t>
        </is>
      </c>
      <c r="AT5" s="92" t="n">
        <v>85</v>
      </c>
      <c r="AU5" s="93" t="n">
        <v>0.1</v>
      </c>
      <c r="AV5" s="92" t="inlineStr">
        <is>
          <t>🔴 VERMELHO</t>
        </is>
      </c>
      <c r="AW5" s="92" t="inlineStr">
        <is>
          <t>POSITIVAÇÃO</t>
        </is>
      </c>
      <c r="AX5" s="92" t="inlineStr">
        <is>
          <t>Aumentar frequência + Expandir base</t>
        </is>
      </c>
      <c r="AY5" s="188" t="n">
        <v>53776.25</v>
      </c>
      <c r="AZ5" s="189" t="n">
        <v>437098.75</v>
      </c>
      <c r="BA5" s="38" t="inlineStr">
        <is>
          <t>.</t>
        </is>
      </c>
      <c r="BB5" s="190">
        <f>SUM(BC5:BN5)</f>
        <v/>
      </c>
      <c r="BC5" s="191">
        <f>L5*0.0702730030</f>
        <v/>
      </c>
      <c r="BD5" s="191">
        <f>L5*0.0734327604</f>
        <v/>
      </c>
      <c r="BE5" s="191">
        <f>L5*0.0752022245</f>
        <v/>
      </c>
      <c r="BF5" s="191">
        <f>L5*0.0771612740</f>
        <v/>
      </c>
      <c r="BG5" s="191">
        <f>L5*0.0796890799</f>
        <v/>
      </c>
      <c r="BH5" s="191">
        <f>L5*0.0817745197</f>
        <v/>
      </c>
      <c r="BI5" s="191">
        <f>L5*0.0849342770</f>
        <v/>
      </c>
      <c r="BJ5" s="191">
        <f>L5*0.0870197169</f>
        <v/>
      </c>
      <c r="BK5" s="191">
        <f>L5*0.0889787664</f>
        <v/>
      </c>
      <c r="BL5" s="191">
        <f>L5*0.0911905966</f>
        <v/>
      </c>
      <c r="BM5" s="191">
        <f>L5*0.0935920121</f>
        <v/>
      </c>
      <c r="BN5" s="192">
        <f>L5*0.0967517695</f>
        <v/>
      </c>
      <c r="BO5" s="36" t="inlineStr">
        <is>
          <t>.</t>
        </is>
      </c>
      <c r="BP5" s="193">
        <f>SUM(BQ5:CB5)</f>
        <v/>
      </c>
      <c r="BQ5" s="191">
        <f>MAX(0,BC5-AA5)</f>
        <v/>
      </c>
      <c r="BR5" s="191">
        <f>MAX(0,BD5-AB5)</f>
        <v/>
      </c>
      <c r="BS5" s="191">
        <f>MAX(0,BE5-AC5)</f>
        <v/>
      </c>
      <c r="BT5" s="191">
        <f>MAX(0,BF5-AD5)</f>
        <v/>
      </c>
      <c r="BU5" s="191">
        <f>MAX(0,BG5-AE5)</f>
        <v/>
      </c>
      <c r="BV5" s="191">
        <f>MAX(0,BH5-AF5)</f>
        <v/>
      </c>
      <c r="BW5" s="191">
        <f>MAX(0,BI5-AG5)</f>
        <v/>
      </c>
      <c r="BX5" s="191">
        <f>MAX(0,BJ5-AH5)</f>
        <v/>
      </c>
      <c r="BY5" s="191">
        <f>MAX(0,BK5-AI5)</f>
        <v/>
      </c>
      <c r="BZ5" s="191">
        <f>MAX(0,BL5-AJ5)</f>
        <v/>
      </c>
      <c r="CA5" s="191">
        <f>MAX(0,BM5-AK5)</f>
        <v/>
      </c>
      <c r="CB5" s="192">
        <f>MAX(0,BN5-AL5)</f>
        <v/>
      </c>
    </row>
    <row r="6">
      <c r="A6" s="64" t="inlineStr">
        <is>
          <t>42535786000191</t>
        </is>
      </c>
      <c r="B6" s="57" t="inlineStr">
        <is>
          <t>BEVILACQUA CEREAIS LTDA - EPP</t>
        </is>
      </c>
      <c r="C6" s="57" t="inlineStr">
        <is>
          <t>SEM GRUPO</t>
        </is>
      </c>
      <c r="D6" s="61" t="inlineStr">
        <is>
          <t>LARISSA PADILHA</t>
        </is>
      </c>
      <c r="E6" s="30" t="inlineStr">
        <is>
          <t>.</t>
        </is>
      </c>
      <c r="F6" s="63" t="n"/>
      <c r="G6" s="179" t="n"/>
      <c r="H6" s="57" t="n"/>
      <c r="I6" s="57" t="n"/>
      <c r="J6" s="61" t="n"/>
      <c r="K6" s="30" t="inlineStr">
        <is>
          <t>.</t>
        </is>
      </c>
      <c r="L6" s="180" t="n">
        <v>125085.15</v>
      </c>
      <c r="M6" s="181" t="n">
        <v>8790.110000000001</v>
      </c>
      <c r="N6" s="181" t="n">
        <v>9185.35</v>
      </c>
      <c r="O6" s="181" t="n">
        <v>9406.68</v>
      </c>
      <c r="P6" s="181" t="n">
        <v>9651.73</v>
      </c>
      <c r="Q6" s="181" t="n">
        <v>9967.92</v>
      </c>
      <c r="R6" s="181" t="n">
        <v>10228.78</v>
      </c>
      <c r="S6" s="181" t="n">
        <v>10624.02</v>
      </c>
      <c r="T6" s="181" t="n">
        <v>10884.87</v>
      </c>
      <c r="U6" s="181" t="n">
        <v>11129.92</v>
      </c>
      <c r="V6" s="181" t="n">
        <v>11406.59</v>
      </c>
      <c r="W6" s="181" t="n">
        <v>11706.97</v>
      </c>
      <c r="X6" s="182" t="n">
        <v>12102.21</v>
      </c>
      <c r="Y6" s="183" t="inlineStr">
        <is>
          <t>.</t>
        </is>
      </c>
      <c r="Z6" s="184">
        <f>SUM(AA6:AL6)</f>
        <v/>
      </c>
      <c r="AA6" s="185" t="n">
        <v>0</v>
      </c>
      <c r="AB6" s="185" t="n">
        <v>0</v>
      </c>
      <c r="AC6" s="185" t="n">
        <v>0</v>
      </c>
      <c r="AD6" s="185" t="n">
        <v>7747.95</v>
      </c>
      <c r="AE6" s="185" t="n">
        <v>32624.06</v>
      </c>
      <c r="AF6" s="185" t="n">
        <v>0</v>
      </c>
      <c r="AG6" s="185" t="n">
        <v>0</v>
      </c>
      <c r="AH6" s="185" t="n">
        <v>9618.73</v>
      </c>
      <c r="AI6" s="185" t="n">
        <v>0</v>
      </c>
      <c r="AJ6" s="185" t="n">
        <v>0</v>
      </c>
      <c r="AK6" s="185" t="n">
        <v>0</v>
      </c>
      <c r="AL6" s="186" t="n">
        <v>0</v>
      </c>
      <c r="AM6" s="30" t="inlineStr">
        <is>
          <t>.</t>
        </is>
      </c>
      <c r="AN6" s="187">
        <f>IF(L6=0,0,Z6/L6)</f>
        <v/>
      </c>
      <c r="AO6" s="57">
        <f>IF(AN6&gt;=1,"🟢",IF(AN6&gt;=0.7,"🟡",IF(AN6&gt;=0.4,"🟠","🔴")))</f>
        <v/>
      </c>
      <c r="AP6" s="185">
        <f>L6-Z6</f>
        <v/>
      </c>
      <c r="AQ6" s="55">
        <f>RANK(Z6,$Z$4:$Z$503,0)</f>
        <v/>
      </c>
      <c r="AR6" s="39" t="inlineStr">
        <is>
          <t>.</t>
        </is>
      </c>
      <c r="AS6" s="94" t="inlineStr">
        <is>
          <t>VIDA LEVE</t>
        </is>
      </c>
      <c r="AT6" s="92" t="n">
        <v>81</v>
      </c>
      <c r="AU6" s="93" t="n">
        <v>0.08</v>
      </c>
      <c r="AV6" s="92" t="inlineStr">
        <is>
          <t>🔴 VERMELHO</t>
        </is>
      </c>
      <c r="AW6" s="92" t="inlineStr">
        <is>
          <t>ATIVAÇÃO</t>
        </is>
      </c>
      <c r="AX6" s="92" t="inlineStr">
        <is>
          <t>Reativar inativos + Prospectar</t>
        </is>
      </c>
      <c r="AY6" s="188" t="n">
        <v>41056.24</v>
      </c>
      <c r="AZ6" s="189" t="n">
        <v>426618.76</v>
      </c>
      <c r="BA6" s="38" t="inlineStr">
        <is>
          <t>.</t>
        </is>
      </c>
      <c r="BB6" s="190">
        <f>SUM(BC6:BN6)</f>
        <v/>
      </c>
      <c r="BC6" s="191">
        <f>L6*0.0702730030</f>
        <v/>
      </c>
      <c r="BD6" s="191">
        <f>L6*0.0734327604</f>
        <v/>
      </c>
      <c r="BE6" s="191">
        <f>L6*0.0752022245</f>
        <v/>
      </c>
      <c r="BF6" s="191">
        <f>L6*0.0771612740</f>
        <v/>
      </c>
      <c r="BG6" s="191">
        <f>L6*0.0796890799</f>
        <v/>
      </c>
      <c r="BH6" s="191">
        <f>L6*0.0817745197</f>
        <v/>
      </c>
      <c r="BI6" s="191">
        <f>L6*0.0849342770</f>
        <v/>
      </c>
      <c r="BJ6" s="191">
        <f>L6*0.0870197169</f>
        <v/>
      </c>
      <c r="BK6" s="191">
        <f>L6*0.0889787664</f>
        <v/>
      </c>
      <c r="BL6" s="191">
        <f>L6*0.0911905966</f>
        <v/>
      </c>
      <c r="BM6" s="191">
        <f>L6*0.0935920121</f>
        <v/>
      </c>
      <c r="BN6" s="192">
        <f>L6*0.0967517695</f>
        <v/>
      </c>
      <c r="BO6" s="36" t="inlineStr">
        <is>
          <t>.</t>
        </is>
      </c>
      <c r="BP6" s="193">
        <f>SUM(BQ6:CB6)</f>
        <v/>
      </c>
      <c r="BQ6" s="191">
        <f>MAX(0,BC6-AA6)</f>
        <v/>
      </c>
      <c r="BR6" s="191">
        <f>MAX(0,BD6-AB6)</f>
        <v/>
      </c>
      <c r="BS6" s="191">
        <f>MAX(0,BE6-AC6)</f>
        <v/>
      </c>
      <c r="BT6" s="191">
        <f>MAX(0,BF6-AD6)</f>
        <v/>
      </c>
      <c r="BU6" s="191">
        <f>MAX(0,BG6-AE6)</f>
        <v/>
      </c>
      <c r="BV6" s="191">
        <f>MAX(0,BH6-AF6)</f>
        <v/>
      </c>
      <c r="BW6" s="191">
        <f>MAX(0,BI6-AG6)</f>
        <v/>
      </c>
      <c r="BX6" s="191">
        <f>MAX(0,BJ6-AH6)</f>
        <v/>
      </c>
      <c r="BY6" s="191">
        <f>MAX(0,BK6-AI6)</f>
        <v/>
      </c>
      <c r="BZ6" s="191">
        <f>MAX(0,BL6-AJ6)</f>
        <v/>
      </c>
      <c r="CA6" s="191">
        <f>MAX(0,BM6-AK6)</f>
        <v/>
      </c>
      <c r="CB6" s="192">
        <f>MAX(0,BN6-AL6)</f>
        <v/>
      </c>
    </row>
    <row r="7">
      <c r="A7" s="64" t="inlineStr">
        <is>
          <t>41418074000120</t>
        </is>
      </c>
      <c r="B7" s="57" t="inlineStr">
        <is>
          <t>SIMPLES E SAUDAVEL COMERCIO PRODUTOS NAT</t>
        </is>
      </c>
      <c r="C7" s="57" t="inlineStr">
        <is>
          <t>SEM GRUPO</t>
        </is>
      </c>
      <c r="D7" s="61" t="inlineStr">
        <is>
          <t>LARISSA PADILHA</t>
        </is>
      </c>
      <c r="E7" s="30" t="inlineStr">
        <is>
          <t>.</t>
        </is>
      </c>
      <c r="F7" s="63" t="n"/>
      <c r="G7" s="179" t="n"/>
      <c r="H7" s="57" t="n"/>
      <c r="I7" s="57" t="n"/>
      <c r="J7" s="61" t="n"/>
      <c r="K7" s="30" t="inlineStr">
        <is>
          <t>.</t>
        </is>
      </c>
      <c r="L7" s="180" t="n">
        <v>103481.47</v>
      </c>
      <c r="M7" s="181" t="n">
        <v>7271.95</v>
      </c>
      <c r="N7" s="181" t="n">
        <v>7598.93</v>
      </c>
      <c r="O7" s="181" t="n">
        <v>7782.04</v>
      </c>
      <c r="P7" s="181" t="n">
        <v>7984.76</v>
      </c>
      <c r="Q7" s="181" t="n">
        <v>8246.34</v>
      </c>
      <c r="R7" s="181" t="n">
        <v>8462.15</v>
      </c>
      <c r="S7" s="181" t="n">
        <v>8789.120000000001</v>
      </c>
      <c r="T7" s="181" t="n">
        <v>9004.93</v>
      </c>
      <c r="U7" s="181" t="n">
        <v>9207.65</v>
      </c>
      <c r="V7" s="181" t="n">
        <v>9436.540000000001</v>
      </c>
      <c r="W7" s="181" t="n">
        <v>9685.040000000001</v>
      </c>
      <c r="X7" s="182" t="n">
        <v>10012.02</v>
      </c>
      <c r="Y7" s="183" t="inlineStr">
        <is>
          <t>.</t>
        </is>
      </c>
      <c r="Z7" s="184">
        <f>SUM(AA7:AL7)</f>
        <v/>
      </c>
      <c r="AA7" s="185" t="n">
        <v>7110.81</v>
      </c>
      <c r="AB7" s="185" t="n">
        <v>8575.99</v>
      </c>
      <c r="AC7" s="185" t="n">
        <v>4692.28</v>
      </c>
      <c r="AD7" s="185" t="n">
        <v>2901.54</v>
      </c>
      <c r="AE7" s="185" t="n">
        <v>4131.42</v>
      </c>
      <c r="AF7" s="185" t="n">
        <v>0</v>
      </c>
      <c r="AG7" s="185" t="n">
        <v>5472.25</v>
      </c>
      <c r="AH7" s="185" t="n">
        <v>5127.23</v>
      </c>
      <c r="AI7" s="185" t="n">
        <v>7515.09</v>
      </c>
      <c r="AJ7" s="185" t="n">
        <v>9420.870000000001</v>
      </c>
      <c r="AK7" s="185" t="n">
        <v>0</v>
      </c>
      <c r="AL7" s="186" t="n">
        <v>0</v>
      </c>
      <c r="AM7" s="30" t="inlineStr">
        <is>
          <t>.</t>
        </is>
      </c>
      <c r="AN7" s="187">
        <f>IF(L7=0,0,Z7/L7)</f>
        <v/>
      </c>
      <c r="AO7" s="57">
        <f>IF(AN7&gt;=1,"🟢",IF(AN7&gt;=0.7,"🟡",IF(AN7&gt;=0.4,"🟠","🔴")))</f>
        <v/>
      </c>
      <c r="AP7" s="185">
        <f>L7-Z7</f>
        <v/>
      </c>
      <c r="AQ7" s="55">
        <f>RANK(Z7,$Z$4:$Z$503,0)</f>
        <v/>
      </c>
      <c r="AR7" s="39" t="inlineStr">
        <is>
          <t>.</t>
        </is>
      </c>
      <c r="AS7" s="94" t="inlineStr">
        <is>
          <t>CIA DA SAUDE</t>
        </is>
      </c>
      <c r="AT7" s="92" t="n">
        <v>163</v>
      </c>
      <c r="AU7" s="93" t="n">
        <v>0.026</v>
      </c>
      <c r="AV7" s="92" t="inlineStr">
        <is>
          <t>🔴 VERMELHO</t>
        </is>
      </c>
      <c r="AW7" s="92" t="inlineStr">
        <is>
          <t>ATIVAÇÃO</t>
        </is>
      </c>
      <c r="AX7" s="92" t="inlineStr">
        <is>
          <t>Reativar inativos + Prospectar</t>
        </is>
      </c>
      <c r="AY7" s="188" t="n">
        <v>26360.53</v>
      </c>
      <c r="AZ7" s="189" t="n">
        <v>914514.47</v>
      </c>
      <c r="BA7" s="38" t="inlineStr">
        <is>
          <t>.</t>
        </is>
      </c>
      <c r="BB7" s="190">
        <f>SUM(BC7:BN7)</f>
        <v/>
      </c>
      <c r="BC7" s="191">
        <f>L7*0.0702730030</f>
        <v/>
      </c>
      <c r="BD7" s="191">
        <f>L7*0.0734327604</f>
        <v/>
      </c>
      <c r="BE7" s="191">
        <f>L7*0.0752022245</f>
        <v/>
      </c>
      <c r="BF7" s="191">
        <f>L7*0.0771612740</f>
        <v/>
      </c>
      <c r="BG7" s="191">
        <f>L7*0.0796890799</f>
        <v/>
      </c>
      <c r="BH7" s="191">
        <f>L7*0.0817745197</f>
        <v/>
      </c>
      <c r="BI7" s="191">
        <f>L7*0.0849342770</f>
        <v/>
      </c>
      <c r="BJ7" s="191">
        <f>L7*0.0870197169</f>
        <v/>
      </c>
      <c r="BK7" s="191">
        <f>L7*0.0889787664</f>
        <v/>
      </c>
      <c r="BL7" s="191">
        <f>L7*0.0911905966</f>
        <v/>
      </c>
      <c r="BM7" s="191">
        <f>L7*0.0935920121</f>
        <v/>
      </c>
      <c r="BN7" s="192">
        <f>L7*0.0967517695</f>
        <v/>
      </c>
      <c r="BO7" s="36" t="inlineStr">
        <is>
          <t>.</t>
        </is>
      </c>
      <c r="BP7" s="193">
        <f>SUM(BQ7:CB7)</f>
        <v/>
      </c>
      <c r="BQ7" s="191">
        <f>MAX(0,BC7-AA7)</f>
        <v/>
      </c>
      <c r="BR7" s="191">
        <f>MAX(0,BD7-AB7)</f>
        <v/>
      </c>
      <c r="BS7" s="191">
        <f>MAX(0,BE7-AC7)</f>
        <v/>
      </c>
      <c r="BT7" s="191">
        <f>MAX(0,BF7-AD7)</f>
        <v/>
      </c>
      <c r="BU7" s="191">
        <f>MAX(0,BG7-AE7)</f>
        <v/>
      </c>
      <c r="BV7" s="191">
        <f>MAX(0,BH7-AF7)</f>
        <v/>
      </c>
      <c r="BW7" s="191">
        <f>MAX(0,BI7-AG7)</f>
        <v/>
      </c>
      <c r="BX7" s="191">
        <f>MAX(0,BJ7-AH7)</f>
        <v/>
      </c>
      <c r="BY7" s="191">
        <f>MAX(0,BK7-AI7)</f>
        <v/>
      </c>
      <c r="BZ7" s="191">
        <f>MAX(0,BL7-AJ7)</f>
        <v/>
      </c>
      <c r="CA7" s="191">
        <f>MAX(0,BM7-AK7)</f>
        <v/>
      </c>
      <c r="CB7" s="192">
        <f>MAX(0,BN7-AL7)</f>
        <v/>
      </c>
    </row>
    <row r="8">
      <c r="A8" s="64" t="inlineStr">
        <is>
          <t>00939085000178</t>
        </is>
      </c>
      <c r="B8" s="57" t="inlineStr">
        <is>
          <t>PORT-GALI HOTELARIA E TURISMO LTDA</t>
        </is>
      </c>
      <c r="C8" s="57" t="inlineStr">
        <is>
          <t>SEM GRUPO</t>
        </is>
      </c>
      <c r="D8" s="61" t="inlineStr">
        <is>
          <t>LARISSA PADILHA</t>
        </is>
      </c>
      <c r="E8" s="30" t="inlineStr">
        <is>
          <t>.</t>
        </is>
      </c>
      <c r="F8" s="63" t="n"/>
      <c r="G8" s="179" t="n"/>
      <c r="H8" s="57" t="n"/>
      <c r="I8" s="57" t="n"/>
      <c r="J8" s="61" t="n"/>
      <c r="K8" s="30" t="inlineStr">
        <is>
          <t>.</t>
        </is>
      </c>
      <c r="L8" s="180" t="n">
        <v>96766.44</v>
      </c>
      <c r="M8" s="181" t="n">
        <v>6800.07</v>
      </c>
      <c r="N8" s="181" t="n">
        <v>7105.83</v>
      </c>
      <c r="O8" s="181" t="n">
        <v>7277.05</v>
      </c>
      <c r="P8" s="181" t="n">
        <v>7466.62</v>
      </c>
      <c r="Q8" s="181" t="n">
        <v>7711.23</v>
      </c>
      <c r="R8" s="181" t="n">
        <v>7913.03</v>
      </c>
      <c r="S8" s="181" t="n">
        <v>8218.790000000001</v>
      </c>
      <c r="T8" s="181" t="n">
        <v>8420.59</v>
      </c>
      <c r="U8" s="181" t="n">
        <v>8610.16</v>
      </c>
      <c r="V8" s="181" t="n">
        <v>8824.190000000001</v>
      </c>
      <c r="W8" s="181" t="n">
        <v>9056.559999999999</v>
      </c>
      <c r="X8" s="182" t="n">
        <v>9362.32</v>
      </c>
      <c r="Y8" s="183" t="inlineStr">
        <is>
          <t>.</t>
        </is>
      </c>
      <c r="Z8" s="184">
        <f>SUM(AA8:AL8)</f>
        <v/>
      </c>
      <c r="AA8" s="185" t="n">
        <v>0</v>
      </c>
      <c r="AB8" s="185" t="n">
        <v>0</v>
      </c>
      <c r="AC8" s="185" t="n">
        <v>0</v>
      </c>
      <c r="AD8" s="185" t="n">
        <v>4342.07</v>
      </c>
      <c r="AE8" s="185" t="n">
        <v>0</v>
      </c>
      <c r="AF8" s="185" t="n">
        <v>5032.81</v>
      </c>
      <c r="AG8" s="185" t="n">
        <v>0</v>
      </c>
      <c r="AH8" s="185" t="n">
        <v>0</v>
      </c>
      <c r="AI8" s="185" t="n">
        <v>5673.48</v>
      </c>
      <c r="AJ8" s="185" t="n">
        <v>15446.82</v>
      </c>
      <c r="AK8" s="185" t="n">
        <v>7283.23</v>
      </c>
      <c r="AL8" s="186" t="n">
        <v>8410.82</v>
      </c>
      <c r="AM8" s="222" t="n">
        <v>7020</v>
      </c>
      <c r="AN8" s="187">
        <f>IF(L8=0,0,Z8/L8)</f>
        <v/>
      </c>
      <c r="AO8" s="57">
        <f>IF(AN8&gt;=1,"🟢",IF(AN8&gt;=0.7,"🟡",IF(AN8&gt;=0.4,"🟠","🔴")))</f>
        <v/>
      </c>
      <c r="AP8" s="185">
        <f>L8-Z8</f>
        <v/>
      </c>
      <c r="AQ8" s="55">
        <f>RANK(Z8,$Z$4:$Z$503,0)</f>
        <v/>
      </c>
      <c r="AR8" s="39" t="inlineStr">
        <is>
          <t>.</t>
        </is>
      </c>
      <c r="AS8" s="94" t="inlineStr">
        <is>
          <t>MUNDO VERDE</t>
        </is>
      </c>
      <c r="AT8" s="92" t="n">
        <v>199</v>
      </c>
      <c r="AU8" s="93" t="n">
        <v>0.014</v>
      </c>
      <c r="AV8" s="92" t="inlineStr">
        <is>
          <t>🔴 VERMELHO</t>
        </is>
      </c>
      <c r="AW8" s="92" t="inlineStr">
        <is>
          <t>ATIVAÇÃO</t>
        </is>
      </c>
      <c r="AX8" s="92" t="inlineStr">
        <is>
          <t>Reativar inativos + Prospectar</t>
        </is>
      </c>
      <c r="AY8" s="188" t="n">
        <v>17415.19</v>
      </c>
      <c r="AZ8" s="189" t="n">
        <v>1131659.81</v>
      </c>
      <c r="BA8" s="38" t="inlineStr">
        <is>
          <t>.</t>
        </is>
      </c>
      <c r="BB8" s="190">
        <f>SUM(BC8:BN8)</f>
        <v/>
      </c>
      <c r="BC8" s="191">
        <f>L8*0.0702730030</f>
        <v/>
      </c>
      <c r="BD8" s="191">
        <f>L8*0.0734327604</f>
        <v/>
      </c>
      <c r="BE8" s="191">
        <f>L8*0.0752022245</f>
        <v/>
      </c>
      <c r="BF8" s="191">
        <f>L8*0.0771612740</f>
        <v/>
      </c>
      <c r="BG8" s="191">
        <f>L8*0.0796890799</f>
        <v/>
      </c>
      <c r="BH8" s="191">
        <f>L8*0.0817745197</f>
        <v/>
      </c>
      <c r="BI8" s="191">
        <f>L8*0.0849342770</f>
        <v/>
      </c>
      <c r="BJ8" s="191">
        <f>L8*0.0870197169</f>
        <v/>
      </c>
      <c r="BK8" s="191">
        <f>L8*0.0889787664</f>
        <v/>
      </c>
      <c r="BL8" s="191">
        <f>L8*0.0911905966</f>
        <v/>
      </c>
      <c r="BM8" s="191">
        <f>L8*0.0935920121</f>
        <v/>
      </c>
      <c r="BN8" s="192">
        <f>L8*0.0967517695</f>
        <v/>
      </c>
      <c r="BO8" s="36" t="inlineStr">
        <is>
          <t>.</t>
        </is>
      </c>
      <c r="BP8" s="193">
        <f>SUM(BQ8:CB8)</f>
        <v/>
      </c>
      <c r="BQ8" s="191">
        <f>MAX(0,BC8-AA8)</f>
        <v/>
      </c>
      <c r="BR8" s="191">
        <f>MAX(0,BD8-AB8)</f>
        <v/>
      </c>
      <c r="BS8" s="191">
        <f>MAX(0,BE8-AC8)</f>
        <v/>
      </c>
      <c r="BT8" s="191">
        <f>MAX(0,BF8-AD8)</f>
        <v/>
      </c>
      <c r="BU8" s="191">
        <f>MAX(0,BG8-AE8)</f>
        <v/>
      </c>
      <c r="BV8" s="191">
        <f>MAX(0,BH8-AF8)</f>
        <v/>
      </c>
      <c r="BW8" s="191">
        <f>MAX(0,BI8-AG8)</f>
        <v/>
      </c>
      <c r="BX8" s="191">
        <f>MAX(0,BJ8-AH8)</f>
        <v/>
      </c>
      <c r="BY8" s="191">
        <f>MAX(0,BK8-AI8)</f>
        <v/>
      </c>
      <c r="BZ8" s="191">
        <f>MAX(0,BL8-AJ8)</f>
        <v/>
      </c>
      <c r="CA8" s="191">
        <f>MAX(0,BM8-AK8)</f>
        <v/>
      </c>
      <c r="CB8" s="192">
        <f>MAX(0,BN8-AL8)</f>
        <v/>
      </c>
    </row>
    <row r="9">
      <c r="A9" s="64" t="inlineStr">
        <is>
          <t>15265760000106</t>
        </is>
      </c>
      <c r="B9" s="57" t="inlineStr">
        <is>
          <t>A CEREALISSIMA COMERCIO DE PRODUTOS NATU</t>
        </is>
      </c>
      <c r="C9" s="57" t="inlineStr">
        <is>
          <t>SEM GRUPO</t>
        </is>
      </c>
      <c r="D9" s="61" t="inlineStr">
        <is>
          <t>LARISSA PADILHA</t>
        </is>
      </c>
      <c r="E9" s="30" t="inlineStr">
        <is>
          <t>.</t>
        </is>
      </c>
      <c r="F9" s="63" t="n"/>
      <c r="G9" s="179" t="n"/>
      <c r="H9" s="57" t="n"/>
      <c r="I9" s="57" t="n"/>
      <c r="J9" s="61" t="n"/>
      <c r="K9" s="30" t="inlineStr">
        <is>
          <t>.</t>
        </is>
      </c>
      <c r="L9" s="180" t="n">
        <v>83332.29000000001</v>
      </c>
      <c r="M9" s="181" t="n">
        <v>5856.01</v>
      </c>
      <c r="N9" s="181" t="n">
        <v>6119.32</v>
      </c>
      <c r="O9" s="181" t="n">
        <v>6266.77</v>
      </c>
      <c r="P9" s="181" t="n">
        <v>6430.03</v>
      </c>
      <c r="Q9" s="181" t="n">
        <v>6640.67</v>
      </c>
      <c r="R9" s="181" t="n">
        <v>6814.46</v>
      </c>
      <c r="S9" s="181" t="n">
        <v>7077.77</v>
      </c>
      <c r="T9" s="181" t="n">
        <v>7251.55</v>
      </c>
      <c r="U9" s="181" t="n">
        <v>7414.8</v>
      </c>
      <c r="V9" s="181" t="n">
        <v>7599.12</v>
      </c>
      <c r="W9" s="181" t="n">
        <v>7799.24</v>
      </c>
      <c r="X9" s="182" t="n">
        <v>8062.55</v>
      </c>
      <c r="Y9" s="183" t="inlineStr">
        <is>
          <t>.</t>
        </is>
      </c>
      <c r="Z9" s="184">
        <f>SUM(AA9:AL9)</f>
        <v/>
      </c>
      <c r="AA9" s="185" t="n">
        <v>0</v>
      </c>
      <c r="AB9" s="185" t="n">
        <v>0</v>
      </c>
      <c r="AC9" s="185" t="n">
        <v>2926.72</v>
      </c>
      <c r="AD9" s="185" t="n">
        <v>0</v>
      </c>
      <c r="AE9" s="185" t="n">
        <v>0</v>
      </c>
      <c r="AF9" s="185" t="n">
        <v>2377.84</v>
      </c>
      <c r="AG9" s="185" t="n">
        <v>4608.71</v>
      </c>
      <c r="AH9" s="185" t="n">
        <v>8625.43</v>
      </c>
      <c r="AI9" s="185" t="n">
        <v>6120.54</v>
      </c>
      <c r="AJ9" s="185" t="n">
        <v>5092.36</v>
      </c>
      <c r="AK9" s="185" t="n">
        <v>11143.24</v>
      </c>
      <c r="AL9" s="186" t="n">
        <v>0</v>
      </c>
      <c r="AM9" s="30" t="inlineStr">
        <is>
          <t>.</t>
        </is>
      </c>
      <c r="AN9" s="187">
        <f>IF(L9=0,0,Z9/L9)</f>
        <v/>
      </c>
      <c r="AO9" s="57">
        <f>IF(AN9&gt;=1,"🟢",IF(AN9&gt;=0.7,"🟡",IF(AN9&gt;=0.4,"🟠","🔴")))</f>
        <v/>
      </c>
      <c r="AP9" s="185">
        <f>L9-Z9</f>
        <v/>
      </c>
      <c r="AQ9" s="55">
        <f>RANK(Z9,$Z$4:$Z$503,0)</f>
        <v/>
      </c>
      <c r="AR9" s="39" t="inlineStr">
        <is>
          <t>.</t>
        </is>
      </c>
      <c r="AS9" s="94" t="inlineStr">
        <is>
          <t>BIOMUNDO</t>
        </is>
      </c>
      <c r="AT9" s="92" t="n">
        <v>167</v>
      </c>
      <c r="AU9" s="93" t="n">
        <v>0.014</v>
      </c>
      <c r="AV9" s="92" t="inlineStr">
        <is>
          <t>🔴 VERMELHO</t>
        </is>
      </c>
      <c r="AW9" s="92" t="inlineStr">
        <is>
          <t>ATIVAÇÃO</t>
        </is>
      </c>
      <c r="AX9" s="92" t="inlineStr">
        <is>
          <t>Reativar inativos + Prospectar</t>
        </is>
      </c>
      <c r="AY9" s="188" t="n">
        <v>15059.76</v>
      </c>
      <c r="AZ9" s="189" t="n">
        <v>949665.24</v>
      </c>
      <c r="BA9" s="38" t="inlineStr">
        <is>
          <t>.</t>
        </is>
      </c>
      <c r="BB9" s="190">
        <f>SUM(BC9:BN9)</f>
        <v/>
      </c>
      <c r="BC9" s="191">
        <f>L9*0.0702730030</f>
        <v/>
      </c>
      <c r="BD9" s="191">
        <f>L9*0.0734327604</f>
        <v/>
      </c>
      <c r="BE9" s="191">
        <f>L9*0.0752022245</f>
        <v/>
      </c>
      <c r="BF9" s="191">
        <f>L9*0.0771612740</f>
        <v/>
      </c>
      <c r="BG9" s="191">
        <f>L9*0.0796890799</f>
        <v/>
      </c>
      <c r="BH9" s="191">
        <f>L9*0.0817745197</f>
        <v/>
      </c>
      <c r="BI9" s="191">
        <f>L9*0.0849342770</f>
        <v/>
      </c>
      <c r="BJ9" s="191">
        <f>L9*0.0870197169</f>
        <v/>
      </c>
      <c r="BK9" s="191">
        <f>L9*0.0889787664</f>
        <v/>
      </c>
      <c r="BL9" s="191">
        <f>L9*0.0911905966</f>
        <v/>
      </c>
      <c r="BM9" s="191">
        <f>L9*0.0935920121</f>
        <v/>
      </c>
      <c r="BN9" s="192">
        <f>L9*0.0967517695</f>
        <v/>
      </c>
      <c r="BO9" s="36" t="inlineStr">
        <is>
          <t>.</t>
        </is>
      </c>
      <c r="BP9" s="193">
        <f>SUM(BQ9:CB9)</f>
        <v/>
      </c>
      <c r="BQ9" s="191">
        <f>MAX(0,BC9-AA9)</f>
        <v/>
      </c>
      <c r="BR9" s="191">
        <f>MAX(0,BD9-AB9)</f>
        <v/>
      </c>
      <c r="BS9" s="191">
        <f>MAX(0,BE9-AC9)</f>
        <v/>
      </c>
      <c r="BT9" s="191">
        <f>MAX(0,BF9-AD9)</f>
        <v/>
      </c>
      <c r="BU9" s="191">
        <f>MAX(0,BG9-AE9)</f>
        <v/>
      </c>
      <c r="BV9" s="191">
        <f>MAX(0,BH9-AF9)</f>
        <v/>
      </c>
      <c r="BW9" s="191">
        <f>MAX(0,BI9-AG9)</f>
        <v/>
      </c>
      <c r="BX9" s="191">
        <f>MAX(0,BJ9-AH9)</f>
        <v/>
      </c>
      <c r="BY9" s="191">
        <f>MAX(0,BK9-AI9)</f>
        <v/>
      </c>
      <c r="BZ9" s="191">
        <f>MAX(0,BL9-AJ9)</f>
        <v/>
      </c>
      <c r="CA9" s="191">
        <f>MAX(0,BM9-AK9)</f>
        <v/>
      </c>
      <c r="CB9" s="192">
        <f>MAX(0,BN9-AL9)</f>
        <v/>
      </c>
    </row>
    <row r="10">
      <c r="A10" s="64" t="inlineStr">
        <is>
          <t>08895369000111</t>
        </is>
      </c>
      <c r="B10" s="57" t="inlineStr">
        <is>
          <t>ROTTA DO SOL HOTELARIA E TURISMO LTDA</t>
        </is>
      </c>
      <c r="C10" s="57" t="inlineStr">
        <is>
          <t>SEM GRUPO</t>
        </is>
      </c>
      <c r="D10" s="61" t="inlineStr">
        <is>
          <t>LARISSA PADILHA</t>
        </is>
      </c>
      <c r="E10" s="30" t="inlineStr">
        <is>
          <t>.</t>
        </is>
      </c>
      <c r="F10" s="63" t="n"/>
      <c r="G10" s="179" t="n"/>
      <c r="H10" s="57" t="n"/>
      <c r="I10" s="57" t="n"/>
      <c r="J10" s="61" t="n"/>
      <c r="K10" s="30" t="inlineStr">
        <is>
          <t>.</t>
        </is>
      </c>
      <c r="L10" s="180" t="n">
        <v>75249.03</v>
      </c>
      <c r="M10" s="181" t="n">
        <v>5287.98</v>
      </c>
      <c r="N10" s="181" t="n">
        <v>5525.74</v>
      </c>
      <c r="O10" s="181" t="n">
        <v>5658.89</v>
      </c>
      <c r="P10" s="181" t="n">
        <v>5806.31</v>
      </c>
      <c r="Q10" s="181" t="n">
        <v>5996.53</v>
      </c>
      <c r="R10" s="181" t="n">
        <v>6153.45</v>
      </c>
      <c r="S10" s="181" t="n">
        <v>6391.22</v>
      </c>
      <c r="T10" s="181" t="n">
        <v>6548.15</v>
      </c>
      <c r="U10" s="181" t="n">
        <v>6695.57</v>
      </c>
      <c r="V10" s="181" t="n">
        <v>6862</v>
      </c>
      <c r="W10" s="181" t="n">
        <v>7042.71</v>
      </c>
      <c r="X10" s="182" t="n">
        <v>7280.48</v>
      </c>
      <c r="Y10" s="183" t="inlineStr">
        <is>
          <t>.</t>
        </is>
      </c>
      <c r="Z10" s="184">
        <f>SUM(AA10:AL10)</f>
        <v/>
      </c>
      <c r="AA10" s="185" t="n">
        <v>0</v>
      </c>
      <c r="AB10" s="185" t="n">
        <v>0</v>
      </c>
      <c r="AC10" s="185" t="n">
        <v>0</v>
      </c>
      <c r="AD10" s="185" t="n">
        <v>5898.4</v>
      </c>
      <c r="AE10" s="185" t="n">
        <v>3813.73</v>
      </c>
      <c r="AF10" s="185" t="n">
        <v>0</v>
      </c>
      <c r="AG10" s="185" t="n">
        <v>8952.41</v>
      </c>
      <c r="AH10" s="185" t="n">
        <v>0</v>
      </c>
      <c r="AI10" s="185" t="n">
        <v>6521.63</v>
      </c>
      <c r="AJ10" s="185" t="n">
        <v>0</v>
      </c>
      <c r="AK10" s="185" t="n">
        <v>9157.059999999999</v>
      </c>
      <c r="AL10" s="186" t="n">
        <v>0</v>
      </c>
      <c r="AM10" s="30" t="inlineStr">
        <is>
          <t>.</t>
        </is>
      </c>
      <c r="AN10" s="187">
        <f>IF(L10=0,0,Z10/L10)</f>
        <v/>
      </c>
      <c r="AO10" s="57">
        <f>IF(AN10&gt;=1,"🟢",IF(AN10&gt;=0.7,"🟡",IF(AN10&gt;=0.4,"🟠","🔴")))</f>
        <v/>
      </c>
      <c r="AP10" s="185">
        <f>L10-Z10</f>
        <v/>
      </c>
      <c r="AQ10" s="55">
        <f>RANK(Z10,$Z$4:$Z$503,0)</f>
        <v/>
      </c>
      <c r="AR10" s="39" t="inlineStr">
        <is>
          <t>.</t>
        </is>
      </c>
      <c r="AS10" s="94" t="inlineStr">
        <is>
          <t>TUDO EM GRAOS</t>
        </is>
      </c>
      <c r="AT10" s="92" t="n">
        <v>25</v>
      </c>
      <c r="AU10" s="93" t="n">
        <v>0.062</v>
      </c>
      <c r="AV10" s="92" t="inlineStr">
        <is>
          <t>🔴 VERMELHO</t>
        </is>
      </c>
      <c r="AW10" s="92" t="inlineStr">
        <is>
          <t>ATIVAÇÃO</t>
        </is>
      </c>
      <c r="AX10" s="92" t="inlineStr">
        <is>
          <t>Reativar inativos + Prospectar</t>
        </is>
      </c>
      <c r="AY10" s="188" t="n">
        <v>9808.5</v>
      </c>
      <c r="AZ10" s="189" t="n">
        <v>134566.5</v>
      </c>
      <c r="BA10" s="38" t="inlineStr">
        <is>
          <t>.</t>
        </is>
      </c>
      <c r="BB10" s="190">
        <f>SUM(BC10:BN10)</f>
        <v/>
      </c>
      <c r="BC10" s="191">
        <f>L10*0.0702730030</f>
        <v/>
      </c>
      <c r="BD10" s="191">
        <f>L10*0.0734327604</f>
        <v/>
      </c>
      <c r="BE10" s="191">
        <f>L10*0.0752022245</f>
        <v/>
      </c>
      <c r="BF10" s="191">
        <f>L10*0.0771612740</f>
        <v/>
      </c>
      <c r="BG10" s="191">
        <f>L10*0.0796890799</f>
        <v/>
      </c>
      <c r="BH10" s="191">
        <f>L10*0.0817745197</f>
        <v/>
      </c>
      <c r="BI10" s="191">
        <f>L10*0.0849342770</f>
        <v/>
      </c>
      <c r="BJ10" s="191">
        <f>L10*0.0870197169</f>
        <v/>
      </c>
      <c r="BK10" s="191">
        <f>L10*0.0889787664</f>
        <v/>
      </c>
      <c r="BL10" s="191">
        <f>L10*0.0911905966</f>
        <v/>
      </c>
      <c r="BM10" s="191">
        <f>L10*0.0935920121</f>
        <v/>
      </c>
      <c r="BN10" s="192">
        <f>L10*0.0967517695</f>
        <v/>
      </c>
      <c r="BO10" s="36" t="inlineStr">
        <is>
          <t>.</t>
        </is>
      </c>
      <c r="BP10" s="193">
        <f>SUM(BQ10:CB10)</f>
        <v/>
      </c>
      <c r="BQ10" s="191">
        <f>MAX(0,BC10-AA10)</f>
        <v/>
      </c>
      <c r="BR10" s="191">
        <f>MAX(0,BD10-AB10)</f>
        <v/>
      </c>
      <c r="BS10" s="191">
        <f>MAX(0,BE10-AC10)</f>
        <v/>
      </c>
      <c r="BT10" s="191">
        <f>MAX(0,BF10-AD10)</f>
        <v/>
      </c>
      <c r="BU10" s="191">
        <f>MAX(0,BG10-AE10)</f>
        <v/>
      </c>
      <c r="BV10" s="191">
        <f>MAX(0,BH10-AF10)</f>
        <v/>
      </c>
      <c r="BW10" s="191">
        <f>MAX(0,BI10-AG10)</f>
        <v/>
      </c>
      <c r="BX10" s="191">
        <f>MAX(0,BJ10-AH10)</f>
        <v/>
      </c>
      <c r="BY10" s="191">
        <f>MAX(0,BK10-AI10)</f>
        <v/>
      </c>
      <c r="BZ10" s="191">
        <f>MAX(0,BL10-AJ10)</f>
        <v/>
      </c>
      <c r="CA10" s="191">
        <f>MAX(0,BM10-AK10)</f>
        <v/>
      </c>
      <c r="CB10" s="192">
        <f>MAX(0,BN10-AL10)</f>
        <v/>
      </c>
    </row>
    <row r="11">
      <c r="A11" s="64" t="inlineStr">
        <is>
          <t>55615538000283</t>
        </is>
      </c>
      <c r="B11" s="57" t="inlineStr">
        <is>
          <t>COMERCIAL TICAZO HIRATA SA</t>
        </is>
      </c>
      <c r="C11" s="57" t="inlineStr">
        <is>
          <t>SEM GRUPO</t>
        </is>
      </c>
      <c r="D11" s="61" t="inlineStr">
        <is>
          <t>LARISSA PADILHA</t>
        </is>
      </c>
      <c r="E11" s="30" t="inlineStr">
        <is>
          <t>.</t>
        </is>
      </c>
      <c r="F11" s="63" t="n"/>
      <c r="G11" s="179" t="n"/>
      <c r="H11" s="57" t="n"/>
      <c r="I11" s="57" t="n"/>
      <c r="J11" s="61" t="n"/>
      <c r="K11" s="30" t="inlineStr">
        <is>
          <t>.</t>
        </is>
      </c>
      <c r="L11" s="180" t="n">
        <v>64642.76000000001</v>
      </c>
      <c r="M11" s="181" t="n">
        <v>4542.64</v>
      </c>
      <c r="N11" s="181" t="n">
        <v>4746.9</v>
      </c>
      <c r="O11" s="181" t="n">
        <v>4861.28</v>
      </c>
      <c r="P11" s="181" t="n">
        <v>4987.92</v>
      </c>
      <c r="Q11" s="181" t="n">
        <v>5151.32</v>
      </c>
      <c r="R11" s="181" t="n">
        <v>5286.13</v>
      </c>
      <c r="S11" s="181" t="n">
        <v>5490.39</v>
      </c>
      <c r="T11" s="181" t="n">
        <v>5625.19</v>
      </c>
      <c r="U11" s="181" t="n">
        <v>5751.83</v>
      </c>
      <c r="V11" s="181" t="n">
        <v>5894.81</v>
      </c>
      <c r="W11" s="181" t="n">
        <v>6050.05</v>
      </c>
      <c r="X11" s="182" t="n">
        <v>6254.3</v>
      </c>
      <c r="Y11" s="183" t="inlineStr">
        <is>
          <t>.</t>
        </is>
      </c>
      <c r="Z11" s="184">
        <f>SUM(AA11:AL11)</f>
        <v/>
      </c>
      <c r="AA11" s="185" t="n">
        <v>0</v>
      </c>
      <c r="AB11" s="185" t="n">
        <v>0</v>
      </c>
      <c r="AC11" s="185" t="n">
        <v>4065.22</v>
      </c>
      <c r="AD11" s="185" t="n">
        <v>2718.16</v>
      </c>
      <c r="AE11" s="185" t="n">
        <v>5232.76</v>
      </c>
      <c r="AF11" s="185" t="n">
        <v>0</v>
      </c>
      <c r="AG11" s="185" t="n">
        <v>6292.28</v>
      </c>
      <c r="AH11" s="185" t="n">
        <v>2745.89</v>
      </c>
      <c r="AI11" s="185" t="n">
        <v>0</v>
      </c>
      <c r="AJ11" s="185" t="n">
        <v>6121.02</v>
      </c>
      <c r="AK11" s="185" t="n">
        <v>2803.82</v>
      </c>
      <c r="AL11" s="186" t="n">
        <v>0</v>
      </c>
      <c r="AM11" s="30" t="inlineStr">
        <is>
          <t>.</t>
        </is>
      </c>
      <c r="AN11" s="187">
        <f>IF(L11=0,0,Z11/L11)</f>
        <v/>
      </c>
      <c r="AO11" s="57">
        <f>IF(AN11&gt;=1,"🟢",IF(AN11&gt;=0.7,"🟡",IF(AN11&gt;=0.4,"🟠","🔴")))</f>
        <v/>
      </c>
      <c r="AP11" s="185">
        <f>L11-Z11</f>
        <v/>
      </c>
      <c r="AQ11" s="55">
        <f>RANK(Z11,$Z$4:$Z$503,0)</f>
        <v/>
      </c>
      <c r="AR11" s="39" t="inlineStr">
        <is>
          <t>.</t>
        </is>
      </c>
      <c r="AS11" s="94" t="inlineStr">
        <is>
          <t>ARMAZEM FITSTORE</t>
        </is>
      </c>
      <c r="AT11" s="92" t="n">
        <v>114</v>
      </c>
      <c r="AU11" s="93" t="n">
        <v>0</v>
      </c>
      <c r="AV11" s="92" t="inlineStr">
        <is>
          <t>🟣 ROXO</t>
        </is>
      </c>
      <c r="AW11" s="92" t="inlineStr">
        <is>
          <t>PROSPECÇÃO</t>
        </is>
      </c>
      <c r="AX11" s="92" t="inlineStr">
        <is>
          <t>Mapear decisores + Apresentação institucional</t>
        </is>
      </c>
      <c r="AY11" s="188" t="n">
        <v>0</v>
      </c>
      <c r="AZ11" s="189" t="n">
        <v>659175</v>
      </c>
      <c r="BA11" s="38" t="inlineStr">
        <is>
          <t>.</t>
        </is>
      </c>
      <c r="BB11" s="190">
        <f>SUM(BC11:BN11)</f>
        <v/>
      </c>
      <c r="BC11" s="191">
        <f>L11*0.0702730030</f>
        <v/>
      </c>
      <c r="BD11" s="191">
        <f>L11*0.0734327604</f>
        <v/>
      </c>
      <c r="BE11" s="191">
        <f>L11*0.0752022245</f>
        <v/>
      </c>
      <c r="BF11" s="191">
        <f>L11*0.0771612740</f>
        <v/>
      </c>
      <c r="BG11" s="191">
        <f>L11*0.0796890799</f>
        <v/>
      </c>
      <c r="BH11" s="191">
        <f>L11*0.0817745197</f>
        <v/>
      </c>
      <c r="BI11" s="191">
        <f>L11*0.0849342770</f>
        <v/>
      </c>
      <c r="BJ11" s="191">
        <f>L11*0.0870197169</f>
        <v/>
      </c>
      <c r="BK11" s="191">
        <f>L11*0.0889787664</f>
        <v/>
      </c>
      <c r="BL11" s="191">
        <f>L11*0.0911905966</f>
        <v/>
      </c>
      <c r="BM11" s="191">
        <f>L11*0.0935920121</f>
        <v/>
      </c>
      <c r="BN11" s="192">
        <f>L11*0.0967517695</f>
        <v/>
      </c>
      <c r="BO11" s="36" t="inlineStr">
        <is>
          <t>.</t>
        </is>
      </c>
      <c r="BP11" s="193">
        <f>SUM(BQ11:CB11)</f>
        <v/>
      </c>
      <c r="BQ11" s="191">
        <f>MAX(0,BC11-AA11)</f>
        <v/>
      </c>
      <c r="BR11" s="191">
        <f>MAX(0,BD11-AB11)</f>
        <v/>
      </c>
      <c r="BS11" s="191">
        <f>MAX(0,BE11-AC11)</f>
        <v/>
      </c>
      <c r="BT11" s="191">
        <f>MAX(0,BF11-AD11)</f>
        <v/>
      </c>
      <c r="BU11" s="191">
        <f>MAX(0,BG11-AE11)</f>
        <v/>
      </c>
      <c r="BV11" s="191">
        <f>MAX(0,BH11-AF11)</f>
        <v/>
      </c>
      <c r="BW11" s="191">
        <f>MAX(0,BI11-AG11)</f>
        <v/>
      </c>
      <c r="BX11" s="191">
        <f>MAX(0,BJ11-AH11)</f>
        <v/>
      </c>
      <c r="BY11" s="191">
        <f>MAX(0,BK11-AI11)</f>
        <v/>
      </c>
      <c r="BZ11" s="191">
        <f>MAX(0,BL11-AJ11)</f>
        <v/>
      </c>
      <c r="CA11" s="191">
        <f>MAX(0,BM11-AK11)</f>
        <v/>
      </c>
      <c r="CB11" s="192">
        <f>MAX(0,BN11-AL11)</f>
        <v/>
      </c>
    </row>
    <row r="12">
      <c r="A12" s="64" t="inlineStr">
        <is>
          <t>34924371000181</t>
        </is>
      </c>
      <c r="B12" s="57" t="inlineStr">
        <is>
          <t>SOARES DISTRIBUIDORA DE PRODUTOS EM GERA</t>
        </is>
      </c>
      <c r="C12" s="57" t="inlineStr">
        <is>
          <t>SEM GRUPO</t>
        </is>
      </c>
      <c r="D12" s="61" t="inlineStr">
        <is>
          <t>HEMANUELE DITZEL (MANU)</t>
        </is>
      </c>
      <c r="E12" s="30" t="inlineStr">
        <is>
          <t>.</t>
        </is>
      </c>
      <c r="F12" s="63" t="n"/>
      <c r="G12" s="179" t="n"/>
      <c r="H12" s="57" t="n"/>
      <c r="I12" s="57" t="n"/>
      <c r="J12" s="61" t="n"/>
      <c r="K12" s="30" t="inlineStr">
        <is>
          <t>.</t>
        </is>
      </c>
      <c r="L12" s="180" t="n">
        <v>64453.39</v>
      </c>
      <c r="M12" s="181" t="n">
        <v>4529.33</v>
      </c>
      <c r="N12" s="181" t="n">
        <v>4732.99</v>
      </c>
      <c r="O12" s="181" t="n">
        <v>4847.04</v>
      </c>
      <c r="P12" s="181" t="n">
        <v>4973.31</v>
      </c>
      <c r="Q12" s="181" t="n">
        <v>5136.23</v>
      </c>
      <c r="R12" s="181" t="n">
        <v>5270.65</v>
      </c>
      <c r="S12" s="181" t="n">
        <v>5474.3</v>
      </c>
      <c r="T12" s="181" t="n">
        <v>5608.72</v>
      </c>
      <c r="U12" s="181" t="n">
        <v>5734.98</v>
      </c>
      <c r="V12" s="181" t="n">
        <v>5877.54</v>
      </c>
      <c r="W12" s="181" t="n">
        <v>6032.32</v>
      </c>
      <c r="X12" s="182" t="n">
        <v>6235.98</v>
      </c>
      <c r="Y12" s="183" t="inlineStr">
        <is>
          <t>.</t>
        </is>
      </c>
      <c r="Z12" s="184">
        <f>SUM(AA12:AL12)</f>
        <v/>
      </c>
      <c r="AA12" s="185" t="n">
        <v>0</v>
      </c>
      <c r="AB12" s="185" t="n">
        <v>0</v>
      </c>
      <c r="AC12" s="185" t="n">
        <v>0</v>
      </c>
      <c r="AD12" s="185" t="n">
        <v>0</v>
      </c>
      <c r="AE12" s="185" t="n">
        <v>0</v>
      </c>
      <c r="AF12" s="185" t="n">
        <v>25883.01</v>
      </c>
      <c r="AG12" s="185" t="n">
        <v>0</v>
      </c>
      <c r="AH12" s="185" t="n">
        <v>0</v>
      </c>
      <c r="AI12" s="185" t="n">
        <v>0</v>
      </c>
      <c r="AJ12" s="185" t="n">
        <v>0</v>
      </c>
      <c r="AK12" s="185" t="n">
        <v>0</v>
      </c>
      <c r="AL12" s="186" t="n">
        <v>0</v>
      </c>
      <c r="AM12" s="30" t="inlineStr">
        <is>
          <t>.</t>
        </is>
      </c>
      <c r="AN12" s="187">
        <f>IF(L12=0,0,Z12/L12)</f>
        <v/>
      </c>
      <c r="AO12" s="57">
        <f>IF(AN12&gt;=1,"🟢",IF(AN12&gt;=0.7,"🟡",IF(AN12&gt;=0.4,"🟠","🔴")))</f>
        <v/>
      </c>
      <c r="AP12" s="185">
        <f>L12-Z12</f>
        <v/>
      </c>
      <c r="AQ12" s="55">
        <f>RANK(Z12,$Z$4:$Z$503,0)</f>
        <v/>
      </c>
      <c r="AR12" s="39" t="inlineStr">
        <is>
          <t>.</t>
        </is>
      </c>
      <c r="AS12" s="94" t="inlineStr">
        <is>
          <t>FITLAND</t>
        </is>
      </c>
      <c r="AT12" s="92" t="n">
        <v>89</v>
      </c>
      <c r="AU12" s="93" t="n">
        <v>0.298</v>
      </c>
      <c r="AV12" s="92" t="inlineStr">
        <is>
          <t>🔴 VERMELHO</t>
        </is>
      </c>
      <c r="AW12" s="92" t="inlineStr">
        <is>
          <t>POSITIVAÇÃO</t>
        </is>
      </c>
      <c r="AX12" s="92" t="inlineStr">
        <is>
          <t>Aumentar frequência + Expandir base</t>
        </is>
      </c>
      <c r="AY12" s="188" t="n">
        <v>167322.34</v>
      </c>
      <c r="AZ12" s="189" t="n">
        <v>347352.66</v>
      </c>
      <c r="BA12" s="38" t="inlineStr">
        <is>
          <t>.</t>
        </is>
      </c>
      <c r="BB12" s="190">
        <f>SUM(BC12:BN12)</f>
        <v/>
      </c>
      <c r="BC12" s="191">
        <f>L12*0.0702730030</f>
        <v/>
      </c>
      <c r="BD12" s="191">
        <f>L12*0.0734327604</f>
        <v/>
      </c>
      <c r="BE12" s="191">
        <f>L12*0.0752022245</f>
        <v/>
      </c>
      <c r="BF12" s="191">
        <f>L12*0.0771612740</f>
        <v/>
      </c>
      <c r="BG12" s="191">
        <f>L12*0.0796890799</f>
        <v/>
      </c>
      <c r="BH12" s="191">
        <f>L12*0.0817745197</f>
        <v/>
      </c>
      <c r="BI12" s="191">
        <f>L12*0.0849342770</f>
        <v/>
      </c>
      <c r="BJ12" s="191">
        <f>L12*0.0870197169</f>
        <v/>
      </c>
      <c r="BK12" s="191">
        <f>L12*0.0889787664</f>
        <v/>
      </c>
      <c r="BL12" s="191">
        <f>L12*0.0911905966</f>
        <v/>
      </c>
      <c r="BM12" s="191">
        <f>L12*0.0935920121</f>
        <v/>
      </c>
      <c r="BN12" s="192">
        <f>L12*0.0967517695</f>
        <v/>
      </c>
      <c r="BO12" s="36" t="inlineStr">
        <is>
          <t>.</t>
        </is>
      </c>
      <c r="BP12" s="193">
        <f>SUM(BQ12:CB12)</f>
        <v/>
      </c>
      <c r="BQ12" s="191">
        <f>MAX(0,BC12-AA12)</f>
        <v/>
      </c>
      <c r="BR12" s="191">
        <f>MAX(0,BD12-AB12)</f>
        <v/>
      </c>
      <c r="BS12" s="191">
        <f>MAX(0,BE12-AC12)</f>
        <v/>
      </c>
      <c r="BT12" s="191">
        <f>MAX(0,BF12-AD12)</f>
        <v/>
      </c>
      <c r="BU12" s="191">
        <f>MAX(0,BG12-AE12)</f>
        <v/>
      </c>
      <c r="BV12" s="191">
        <f>MAX(0,BH12-AF12)</f>
        <v/>
      </c>
      <c r="BW12" s="191">
        <f>MAX(0,BI12-AG12)</f>
        <v/>
      </c>
      <c r="BX12" s="191">
        <f>MAX(0,BJ12-AH12)</f>
        <v/>
      </c>
      <c r="BY12" s="191">
        <f>MAX(0,BK12-AI12)</f>
        <v/>
      </c>
      <c r="BZ12" s="191">
        <f>MAX(0,BL12-AJ12)</f>
        <v/>
      </c>
      <c r="CA12" s="191">
        <f>MAX(0,BM12-AK12)</f>
        <v/>
      </c>
      <c r="CB12" s="192">
        <f>MAX(0,BN12-AL12)</f>
        <v/>
      </c>
    </row>
    <row r="13">
      <c r="A13" s="64" t="inlineStr">
        <is>
          <t>41887017000190</t>
        </is>
      </c>
      <c r="B13" s="57" t="inlineStr">
        <is>
          <t>CHOKOLATEN ALIMENTOS INDUSTRIA E COMERCI</t>
        </is>
      </c>
      <c r="C13" s="57" t="inlineStr">
        <is>
          <t>SEM GRUPO</t>
        </is>
      </c>
      <c r="D13" s="61" t="inlineStr">
        <is>
          <t>HEMANUELE DITZEL (MANU)</t>
        </is>
      </c>
      <c r="E13" s="30" t="inlineStr">
        <is>
          <t>.</t>
        </is>
      </c>
      <c r="F13" s="63" t="n"/>
      <c r="G13" s="179" t="n"/>
      <c r="H13" s="57" t="n"/>
      <c r="I13" s="57" t="n"/>
      <c r="J13" s="61" t="n"/>
      <c r="K13" s="30" t="inlineStr">
        <is>
          <t>.</t>
        </is>
      </c>
      <c r="L13" s="180" t="n">
        <v>57545.51</v>
      </c>
      <c r="M13" s="181" t="n">
        <v>4043.9</v>
      </c>
      <c r="N13" s="181" t="n">
        <v>4225.72</v>
      </c>
      <c r="O13" s="181" t="n">
        <v>4327.55</v>
      </c>
      <c r="P13" s="181" t="n">
        <v>4440.28</v>
      </c>
      <c r="Q13" s="181" t="n">
        <v>4585.75</v>
      </c>
      <c r="R13" s="181" t="n">
        <v>4705.76</v>
      </c>
      <c r="S13" s="181" t="n">
        <v>4887.59</v>
      </c>
      <c r="T13" s="181" t="n">
        <v>5007.59</v>
      </c>
      <c r="U13" s="181" t="n">
        <v>5120.33</v>
      </c>
      <c r="V13" s="181" t="n">
        <v>5247.61</v>
      </c>
      <c r="W13" s="181" t="n">
        <v>5385.8</v>
      </c>
      <c r="X13" s="182" t="n">
        <v>5567.63</v>
      </c>
      <c r="Y13" s="183" t="inlineStr">
        <is>
          <t>.</t>
        </is>
      </c>
      <c r="Z13" s="184">
        <f>SUM(AA13:AL13)</f>
        <v/>
      </c>
      <c r="AA13" s="185" t="n">
        <v>0</v>
      </c>
      <c r="AB13" s="185" t="n">
        <v>0</v>
      </c>
      <c r="AC13" s="185" t="n">
        <v>0</v>
      </c>
      <c r="AD13" s="185" t="n">
        <v>0</v>
      </c>
      <c r="AE13" s="185" t="n">
        <v>0</v>
      </c>
      <c r="AF13" s="185" t="n">
        <v>0</v>
      </c>
      <c r="AG13" s="185" t="n">
        <v>4252.33</v>
      </c>
      <c r="AH13" s="185" t="n">
        <v>0</v>
      </c>
      <c r="AI13" s="185" t="n">
        <v>13830.82</v>
      </c>
      <c r="AJ13" s="185" t="n">
        <v>0</v>
      </c>
      <c r="AK13" s="185" t="n">
        <v>12718.73</v>
      </c>
      <c r="AL13" s="186" t="n">
        <v>0</v>
      </c>
      <c r="AM13" s="30" t="inlineStr">
        <is>
          <t>.</t>
        </is>
      </c>
      <c r="AN13" s="187">
        <f>IF(L13=0,0,Z13/L13)</f>
        <v/>
      </c>
      <c r="AO13" s="57">
        <f>IF(AN13&gt;=1,"🟢",IF(AN13&gt;=0.7,"🟡",IF(AN13&gt;=0.4,"🟠","🔴")))</f>
        <v/>
      </c>
      <c r="AP13" s="185">
        <f>L13-Z13</f>
        <v/>
      </c>
      <c r="AQ13" s="55">
        <f>RANK(Z13,$Z$4:$Z$503,0)</f>
        <v/>
      </c>
      <c r="AR13" s="39" t="inlineStr">
        <is>
          <t>.</t>
        </is>
      </c>
      <c r="AS13" s="94" t="inlineStr">
        <is>
          <t>FIT LAND</t>
        </is>
      </c>
      <c r="AT13" s="92" t="n">
        <v>89</v>
      </c>
      <c r="AU13" s="93" t="n">
        <v>0.298</v>
      </c>
      <c r="AV13" s="92" t="inlineStr">
        <is>
          <t>🔴 VERMELHO</t>
        </is>
      </c>
      <c r="AW13" s="92" t="inlineStr">
        <is>
          <t>POSITIVAÇÃO</t>
        </is>
      </c>
      <c r="AX13" s="92" t="inlineStr">
        <is>
          <t>Aumentar frequência + Expandir base</t>
        </is>
      </c>
      <c r="AY13" s="188" t="n">
        <v>167322.34</v>
      </c>
      <c r="AZ13" s="189" t="n">
        <v>347352.66</v>
      </c>
      <c r="BA13" s="38" t="inlineStr">
        <is>
          <t>.</t>
        </is>
      </c>
      <c r="BB13" s="190">
        <f>SUM(BC13:BN13)</f>
        <v/>
      </c>
      <c r="BC13" s="191">
        <f>L13*0.0702730030</f>
        <v/>
      </c>
      <c r="BD13" s="191">
        <f>L13*0.0734327604</f>
        <v/>
      </c>
      <c r="BE13" s="191">
        <f>L13*0.0752022245</f>
        <v/>
      </c>
      <c r="BF13" s="191">
        <f>L13*0.0771612740</f>
        <v/>
      </c>
      <c r="BG13" s="191">
        <f>L13*0.0796890799</f>
        <v/>
      </c>
      <c r="BH13" s="191">
        <f>L13*0.0817745197</f>
        <v/>
      </c>
      <c r="BI13" s="191">
        <f>L13*0.0849342770</f>
        <v/>
      </c>
      <c r="BJ13" s="191">
        <f>L13*0.0870197169</f>
        <v/>
      </c>
      <c r="BK13" s="191">
        <f>L13*0.0889787664</f>
        <v/>
      </c>
      <c r="BL13" s="191">
        <f>L13*0.0911905966</f>
        <v/>
      </c>
      <c r="BM13" s="191">
        <f>L13*0.0935920121</f>
        <v/>
      </c>
      <c r="BN13" s="192">
        <f>L13*0.0967517695</f>
        <v/>
      </c>
      <c r="BO13" s="36" t="inlineStr">
        <is>
          <t>.</t>
        </is>
      </c>
      <c r="BP13" s="193">
        <f>SUM(BQ13:CB13)</f>
        <v/>
      </c>
      <c r="BQ13" s="191">
        <f>MAX(0,BC13-AA13)</f>
        <v/>
      </c>
      <c r="BR13" s="191">
        <f>MAX(0,BD13-AB13)</f>
        <v/>
      </c>
      <c r="BS13" s="191">
        <f>MAX(0,BE13-AC13)</f>
        <v/>
      </c>
      <c r="BT13" s="191">
        <f>MAX(0,BF13-AD13)</f>
        <v/>
      </c>
      <c r="BU13" s="191">
        <f>MAX(0,BG13-AE13)</f>
        <v/>
      </c>
      <c r="BV13" s="191">
        <f>MAX(0,BH13-AF13)</f>
        <v/>
      </c>
      <c r="BW13" s="191">
        <f>MAX(0,BI13-AG13)</f>
        <v/>
      </c>
      <c r="BX13" s="191">
        <f>MAX(0,BJ13-AH13)</f>
        <v/>
      </c>
      <c r="BY13" s="191">
        <f>MAX(0,BK13-AI13)</f>
        <v/>
      </c>
      <c r="BZ13" s="191">
        <f>MAX(0,BL13-AJ13)</f>
        <v/>
      </c>
      <c r="CA13" s="191">
        <f>MAX(0,BM13-AK13)</f>
        <v/>
      </c>
      <c r="CB13" s="192">
        <f>MAX(0,BN13-AL13)</f>
        <v/>
      </c>
    </row>
    <row r="14">
      <c r="A14" s="64" t="inlineStr">
        <is>
          <t>31545180000110</t>
        </is>
      </c>
      <c r="B14" s="57" t="inlineStr">
        <is>
          <t>NATURALIS PRODUTOS NATURAIS LTDA - EPP</t>
        </is>
      </c>
      <c r="C14" s="57" t="inlineStr">
        <is>
          <t>SEM GRUPO</t>
        </is>
      </c>
      <c r="D14" s="61" t="inlineStr">
        <is>
          <t>HEMANUELE DITZEL (MANU)</t>
        </is>
      </c>
      <c r="E14" s="30" t="inlineStr">
        <is>
          <t>.</t>
        </is>
      </c>
      <c r="F14" s="63" t="n"/>
      <c r="G14" s="179" t="n"/>
      <c r="H14" s="57" t="n"/>
      <c r="I14" s="57" t="n"/>
      <c r="J14" s="61" t="n"/>
      <c r="K14" s="30" t="inlineStr">
        <is>
          <t>.</t>
        </is>
      </c>
      <c r="L14" s="180" t="n">
        <v>55925.26</v>
      </c>
      <c r="M14" s="181" t="n">
        <v>3930.04</v>
      </c>
      <c r="N14" s="181" t="n">
        <v>4106.75</v>
      </c>
      <c r="O14" s="181" t="n">
        <v>4205.7</v>
      </c>
      <c r="P14" s="181" t="n">
        <v>4315.26</v>
      </c>
      <c r="Q14" s="181" t="n">
        <v>4456.63</v>
      </c>
      <c r="R14" s="181" t="n">
        <v>4573.26</v>
      </c>
      <c r="S14" s="181" t="n">
        <v>4749.97</v>
      </c>
      <c r="T14" s="181" t="n">
        <v>4866.6</v>
      </c>
      <c r="U14" s="181" t="n">
        <v>4976.16</v>
      </c>
      <c r="V14" s="181" t="n">
        <v>5099.86</v>
      </c>
      <c r="W14" s="181" t="n">
        <v>5234.16</v>
      </c>
      <c r="X14" s="182" t="n">
        <v>5410.87</v>
      </c>
      <c r="Y14" s="183" t="inlineStr">
        <is>
          <t>.</t>
        </is>
      </c>
      <c r="Z14" s="184">
        <f>SUM(AA14:AL14)</f>
        <v/>
      </c>
      <c r="AA14" s="185" t="n">
        <v>0</v>
      </c>
      <c r="AB14" s="185" t="n">
        <v>3779.55</v>
      </c>
      <c r="AC14" s="185" t="n">
        <v>0</v>
      </c>
      <c r="AD14" s="185" t="n">
        <v>4266.68</v>
      </c>
      <c r="AE14" s="185" t="n">
        <v>2600</v>
      </c>
      <c r="AF14" s="185" t="n">
        <v>0</v>
      </c>
      <c r="AG14" s="185" t="n">
        <v>0</v>
      </c>
      <c r="AH14" s="185" t="n">
        <v>5220.52</v>
      </c>
      <c r="AI14" s="185" t="n">
        <v>1284.05</v>
      </c>
      <c r="AJ14" s="185" t="n">
        <v>4751.53</v>
      </c>
      <c r="AK14" s="185" t="n">
        <v>0</v>
      </c>
      <c r="AL14" s="186" t="n">
        <v>4527.29</v>
      </c>
      <c r="AM14" s="30" t="inlineStr">
        <is>
          <t>.</t>
        </is>
      </c>
      <c r="AN14" s="187">
        <f>IF(L14=0,0,Z14/L14)</f>
        <v/>
      </c>
      <c r="AO14" s="57">
        <f>IF(AN14&gt;=1,"🟢",IF(AN14&gt;=0.7,"🟡",IF(AN14&gt;=0.4,"🟠","🔴")))</f>
        <v/>
      </c>
      <c r="AP14" s="185">
        <f>L14-Z14</f>
        <v/>
      </c>
      <c r="AQ14" s="55">
        <f>RANK(Z14,$Z$4:$Z$503,0)</f>
        <v/>
      </c>
      <c r="AR14" s="39" t="inlineStr">
        <is>
          <t>.</t>
        </is>
      </c>
      <c r="AS14" s="94" t="inlineStr">
        <is>
          <t>CIA DA SAÚDE</t>
        </is>
      </c>
      <c r="AT14" s="92" t="n">
        <v>163</v>
      </c>
      <c r="AU14" s="93" t="n">
        <v>0.026</v>
      </c>
      <c r="AV14" s="92" t="inlineStr">
        <is>
          <t>🔴 VERMELHO</t>
        </is>
      </c>
      <c r="AW14" s="92" t="inlineStr">
        <is>
          <t>ATIVAÇÃO</t>
        </is>
      </c>
      <c r="AX14" s="92" t="inlineStr">
        <is>
          <t>Reativar inativos + Prospectar</t>
        </is>
      </c>
      <c r="AY14" s="188" t="n">
        <v>26360.53</v>
      </c>
      <c r="AZ14" s="189" t="n">
        <v>914514.47</v>
      </c>
      <c r="BA14" s="38" t="inlineStr">
        <is>
          <t>.</t>
        </is>
      </c>
      <c r="BB14" s="190">
        <f>SUM(BC14:BN14)</f>
        <v/>
      </c>
      <c r="BC14" s="191">
        <f>L14*0.0702730030</f>
        <v/>
      </c>
      <c r="BD14" s="191">
        <f>L14*0.0734327604</f>
        <v/>
      </c>
      <c r="BE14" s="191">
        <f>L14*0.0752022245</f>
        <v/>
      </c>
      <c r="BF14" s="191">
        <f>L14*0.0771612740</f>
        <v/>
      </c>
      <c r="BG14" s="191">
        <f>L14*0.0796890799</f>
        <v/>
      </c>
      <c r="BH14" s="191">
        <f>L14*0.0817745197</f>
        <v/>
      </c>
      <c r="BI14" s="191">
        <f>L14*0.0849342770</f>
        <v/>
      </c>
      <c r="BJ14" s="191">
        <f>L14*0.0870197169</f>
        <v/>
      </c>
      <c r="BK14" s="191">
        <f>L14*0.0889787664</f>
        <v/>
      </c>
      <c r="BL14" s="191">
        <f>L14*0.0911905966</f>
        <v/>
      </c>
      <c r="BM14" s="191">
        <f>L14*0.0935920121</f>
        <v/>
      </c>
      <c r="BN14" s="192">
        <f>L14*0.0967517695</f>
        <v/>
      </c>
      <c r="BO14" s="36" t="inlineStr">
        <is>
          <t>.</t>
        </is>
      </c>
      <c r="BP14" s="193">
        <f>SUM(BQ14:CB14)</f>
        <v/>
      </c>
      <c r="BQ14" s="191">
        <f>MAX(0,BC14-AA14)</f>
        <v/>
      </c>
      <c r="BR14" s="191">
        <f>MAX(0,BD14-AB14)</f>
        <v/>
      </c>
      <c r="BS14" s="191">
        <f>MAX(0,BE14-AC14)</f>
        <v/>
      </c>
      <c r="BT14" s="191">
        <f>MAX(0,BF14-AD14)</f>
        <v/>
      </c>
      <c r="BU14" s="191">
        <f>MAX(0,BG14-AE14)</f>
        <v/>
      </c>
      <c r="BV14" s="191">
        <f>MAX(0,BH14-AF14)</f>
        <v/>
      </c>
      <c r="BW14" s="191">
        <f>MAX(0,BI14-AG14)</f>
        <v/>
      </c>
      <c r="BX14" s="191">
        <f>MAX(0,BJ14-AH14)</f>
        <v/>
      </c>
      <c r="BY14" s="191">
        <f>MAX(0,BK14-AI14)</f>
        <v/>
      </c>
      <c r="BZ14" s="191">
        <f>MAX(0,BL14-AJ14)</f>
        <v/>
      </c>
      <c r="CA14" s="191">
        <f>MAX(0,BM14-AK14)</f>
        <v/>
      </c>
      <c r="CB14" s="192">
        <f>MAX(0,BN14-AL14)</f>
        <v/>
      </c>
    </row>
    <row r="15">
      <c r="A15" s="64" t="inlineStr">
        <is>
          <t>34901637000170</t>
        </is>
      </c>
      <c r="B15" s="57" t="inlineStr">
        <is>
          <t>MERCANTIL SALES LTDA - ME</t>
        </is>
      </c>
      <c r="C15" s="57" t="inlineStr">
        <is>
          <t>SEM GRUPO</t>
        </is>
      </c>
      <c r="D15" s="61" t="inlineStr">
        <is>
          <t>LARISSA PADILHA</t>
        </is>
      </c>
      <c r="E15" s="30" t="inlineStr">
        <is>
          <t>.</t>
        </is>
      </c>
      <c r="F15" s="63" t="n"/>
      <c r="G15" s="179" t="n"/>
      <c r="H15" s="57" t="n"/>
      <c r="I15" s="57" t="n"/>
      <c r="J15" s="61" t="n"/>
      <c r="K15" s="30" t="inlineStr">
        <is>
          <t>.</t>
        </is>
      </c>
      <c r="L15" s="180" t="n">
        <v>54236.21000000001</v>
      </c>
      <c r="M15" s="181" t="n">
        <v>3811.34</v>
      </c>
      <c r="N15" s="181" t="n">
        <v>3982.72</v>
      </c>
      <c r="O15" s="181" t="n">
        <v>4078.68</v>
      </c>
      <c r="P15" s="181" t="n">
        <v>4184.94</v>
      </c>
      <c r="Q15" s="181" t="n">
        <v>4322.03</v>
      </c>
      <c r="R15" s="181" t="n">
        <v>4435.14</v>
      </c>
      <c r="S15" s="181" t="n">
        <v>4606.51</v>
      </c>
      <c r="T15" s="181" t="n">
        <v>4719.62</v>
      </c>
      <c r="U15" s="181" t="n">
        <v>4825.87</v>
      </c>
      <c r="V15" s="181" t="n">
        <v>4945.83</v>
      </c>
      <c r="W15" s="181" t="n">
        <v>5076.08</v>
      </c>
      <c r="X15" s="182" t="n">
        <v>5247.45</v>
      </c>
      <c r="Y15" s="183" t="inlineStr">
        <is>
          <t>.</t>
        </is>
      </c>
      <c r="Z15" s="184">
        <f>SUM(AA15:AL15)</f>
        <v/>
      </c>
      <c r="AA15" s="185" t="n">
        <v>9919.75</v>
      </c>
      <c r="AB15" s="185" t="n">
        <v>0</v>
      </c>
      <c r="AC15" s="185" t="n">
        <v>4524.6</v>
      </c>
      <c r="AD15" s="185" t="n">
        <v>0</v>
      </c>
      <c r="AE15" s="185" t="n">
        <v>2172.7</v>
      </c>
      <c r="AF15" s="185" t="n">
        <v>4430.19</v>
      </c>
      <c r="AG15" s="185" t="n">
        <v>0</v>
      </c>
      <c r="AH15" s="185" t="n">
        <v>3662.81</v>
      </c>
      <c r="AI15" s="185" t="n">
        <v>4271.32</v>
      </c>
      <c r="AJ15" s="185" t="n">
        <v>0</v>
      </c>
      <c r="AK15" s="185" t="n">
        <v>3362.18</v>
      </c>
      <c r="AL15" s="186" t="n">
        <v>0</v>
      </c>
      <c r="AM15" s="30" t="inlineStr">
        <is>
          <t>.</t>
        </is>
      </c>
      <c r="AN15" s="187">
        <f>IF(L15=0,0,Z15/L15)</f>
        <v/>
      </c>
      <c r="AO15" s="57">
        <f>IF(AN15&gt;=1,"🟢",IF(AN15&gt;=0.7,"🟡",IF(AN15&gt;=0.4,"🟠","🔴")))</f>
        <v/>
      </c>
      <c r="AP15" s="185">
        <f>L15-Z15</f>
        <v/>
      </c>
      <c r="AQ15" s="55">
        <f>RANK(Z15,$Z$4:$Z$503,0)</f>
        <v/>
      </c>
      <c r="AR15" s="39" t="inlineStr">
        <is>
          <t>.</t>
        </is>
      </c>
      <c r="AS15" s="94" t="inlineStr">
        <is>
          <t>BIO MUNDO</t>
        </is>
      </c>
      <c r="AT15" s="92" t="n">
        <v>167</v>
      </c>
      <c r="AU15" s="93" t="n">
        <v>0.014</v>
      </c>
      <c r="AV15" s="92" t="inlineStr">
        <is>
          <t>🔴 VERMELHO</t>
        </is>
      </c>
      <c r="AW15" s="92" t="inlineStr">
        <is>
          <t>ATIVAÇÃO</t>
        </is>
      </c>
      <c r="AX15" s="92" t="inlineStr">
        <is>
          <t>Reativar inativos + Prospectar</t>
        </is>
      </c>
      <c r="AY15" s="188" t="n">
        <v>15059.76</v>
      </c>
      <c r="AZ15" s="189" t="n">
        <v>949665.24</v>
      </c>
      <c r="BA15" s="38" t="inlineStr">
        <is>
          <t>.</t>
        </is>
      </c>
      <c r="BB15" s="190">
        <f>SUM(BC15:BN15)</f>
        <v/>
      </c>
      <c r="BC15" s="191">
        <f>L15*0.0702730030</f>
        <v/>
      </c>
      <c r="BD15" s="191">
        <f>L15*0.0734327604</f>
        <v/>
      </c>
      <c r="BE15" s="191">
        <f>L15*0.0752022245</f>
        <v/>
      </c>
      <c r="BF15" s="191">
        <f>L15*0.0771612740</f>
        <v/>
      </c>
      <c r="BG15" s="191">
        <f>L15*0.0796890799</f>
        <v/>
      </c>
      <c r="BH15" s="191">
        <f>L15*0.0817745197</f>
        <v/>
      </c>
      <c r="BI15" s="191">
        <f>L15*0.0849342770</f>
        <v/>
      </c>
      <c r="BJ15" s="191">
        <f>L15*0.0870197169</f>
        <v/>
      </c>
      <c r="BK15" s="191">
        <f>L15*0.0889787664</f>
        <v/>
      </c>
      <c r="BL15" s="191">
        <f>L15*0.0911905966</f>
        <v/>
      </c>
      <c r="BM15" s="191">
        <f>L15*0.0935920121</f>
        <v/>
      </c>
      <c r="BN15" s="192">
        <f>L15*0.0967517695</f>
        <v/>
      </c>
      <c r="BO15" s="36" t="inlineStr">
        <is>
          <t>.</t>
        </is>
      </c>
      <c r="BP15" s="193">
        <f>SUM(BQ15:CB15)</f>
        <v/>
      </c>
      <c r="BQ15" s="191">
        <f>MAX(0,BC15-AA15)</f>
        <v/>
      </c>
      <c r="BR15" s="191">
        <f>MAX(0,BD15-AB15)</f>
        <v/>
      </c>
      <c r="BS15" s="191">
        <f>MAX(0,BE15-AC15)</f>
        <v/>
      </c>
      <c r="BT15" s="191">
        <f>MAX(0,BF15-AD15)</f>
        <v/>
      </c>
      <c r="BU15" s="191">
        <f>MAX(0,BG15-AE15)</f>
        <v/>
      </c>
      <c r="BV15" s="191">
        <f>MAX(0,BH15-AF15)</f>
        <v/>
      </c>
      <c r="BW15" s="191">
        <f>MAX(0,BI15-AG15)</f>
        <v/>
      </c>
      <c r="BX15" s="191">
        <f>MAX(0,BJ15-AH15)</f>
        <v/>
      </c>
      <c r="BY15" s="191">
        <f>MAX(0,BK15-AI15)</f>
        <v/>
      </c>
      <c r="BZ15" s="191">
        <f>MAX(0,BL15-AJ15)</f>
        <v/>
      </c>
      <c r="CA15" s="191">
        <f>MAX(0,BM15-AK15)</f>
        <v/>
      </c>
      <c r="CB15" s="192">
        <f>MAX(0,BN15-AL15)</f>
        <v/>
      </c>
    </row>
    <row r="16">
      <c r="A16" s="64" t="inlineStr">
        <is>
          <t>14133092000192</t>
        </is>
      </c>
      <c r="B16" s="57" t="inlineStr">
        <is>
          <t>BESCO INDUSTRIAL DE ALIMENTOS LTDA - ME</t>
        </is>
      </c>
      <c r="C16" s="57" t="inlineStr">
        <is>
          <t>SEM GRUPO</t>
        </is>
      </c>
      <c r="D16" s="61" t="inlineStr">
        <is>
          <t>HEMANUELE DITZEL (MANU)</t>
        </is>
      </c>
      <c r="E16" s="30" t="inlineStr">
        <is>
          <t>.</t>
        </is>
      </c>
      <c r="F16" s="63" t="n"/>
      <c r="G16" s="179" t="n"/>
      <c r="H16" s="57" t="n"/>
      <c r="I16" s="57" t="n"/>
      <c r="J16" s="61" t="n"/>
      <c r="K16" s="30" t="inlineStr">
        <is>
          <t>.</t>
        </is>
      </c>
      <c r="L16" s="180" t="n">
        <v>53677.08000000001</v>
      </c>
      <c r="M16" s="181" t="n">
        <v>3772.05</v>
      </c>
      <c r="N16" s="181" t="n">
        <v>3941.66</v>
      </c>
      <c r="O16" s="181" t="n">
        <v>4036.64</v>
      </c>
      <c r="P16" s="181" t="n">
        <v>4141.79</v>
      </c>
      <c r="Q16" s="181" t="n">
        <v>4277.48</v>
      </c>
      <c r="R16" s="181" t="n">
        <v>4389.42</v>
      </c>
      <c r="S16" s="181" t="n">
        <v>4559.02</v>
      </c>
      <c r="T16" s="181" t="n">
        <v>4670.96</v>
      </c>
      <c r="U16" s="181" t="n">
        <v>4776.12</v>
      </c>
      <c r="V16" s="181" t="n">
        <v>4894.84</v>
      </c>
      <c r="W16" s="181" t="n">
        <v>5023.75</v>
      </c>
      <c r="X16" s="182" t="n">
        <v>5193.35</v>
      </c>
      <c r="Y16" s="183" t="inlineStr">
        <is>
          <t>.</t>
        </is>
      </c>
      <c r="Z16" s="184">
        <f>SUM(AA16:AL16)</f>
        <v/>
      </c>
      <c r="AA16" s="185" t="n">
        <v>0</v>
      </c>
      <c r="AB16" s="185" t="n">
        <v>0</v>
      </c>
      <c r="AC16" s="185" t="n">
        <v>0</v>
      </c>
      <c r="AD16" s="185" t="n">
        <v>0</v>
      </c>
      <c r="AE16" s="185" t="n">
        <v>8516.48</v>
      </c>
      <c r="AF16" s="185" t="n">
        <v>8221.16</v>
      </c>
      <c r="AG16" s="185" t="n">
        <v>6900.13</v>
      </c>
      <c r="AH16" s="185" t="n">
        <v>0</v>
      </c>
      <c r="AI16" s="185" t="n">
        <v>0</v>
      </c>
      <c r="AJ16" s="185" t="n">
        <v>0</v>
      </c>
      <c r="AK16" s="185" t="n">
        <v>0</v>
      </c>
      <c r="AL16" s="186" t="n">
        <v>0</v>
      </c>
      <c r="AM16" s="30" t="inlineStr">
        <is>
          <t>.</t>
        </is>
      </c>
      <c r="AN16" s="187">
        <f>IF(L16=0,0,Z16/L16)</f>
        <v/>
      </c>
      <c r="AO16" s="57">
        <f>IF(AN16&gt;=1,"🟢",IF(AN16&gt;=0.7,"🟡",IF(AN16&gt;=0.4,"🟠","🔴")))</f>
        <v/>
      </c>
      <c r="AP16" s="185">
        <f>L16-Z16</f>
        <v/>
      </c>
      <c r="AQ16" s="55">
        <f>RANK(Z16,$Z$4:$Z$503,0)</f>
        <v/>
      </c>
      <c r="AR16" s="39" t="inlineStr">
        <is>
          <t>.</t>
        </is>
      </c>
      <c r="AS16" s="94" t="inlineStr">
        <is>
          <t>ARMAZÉM FITSTORE</t>
        </is>
      </c>
      <c r="AT16" s="92" t="n">
        <v>114</v>
      </c>
      <c r="AU16" s="93" t="n">
        <v>0</v>
      </c>
      <c r="AV16" s="92" t="inlineStr">
        <is>
          <t>🟣 ROXO</t>
        </is>
      </c>
      <c r="AW16" s="92" t="inlineStr">
        <is>
          <t>PROSPECÇÃO</t>
        </is>
      </c>
      <c r="AX16" s="92" t="inlineStr">
        <is>
          <t>Mapear decisores + Apresentação institucional</t>
        </is>
      </c>
      <c r="AY16" s="188" t="n">
        <v>0</v>
      </c>
      <c r="AZ16" s="189" t="n">
        <v>659175</v>
      </c>
      <c r="BA16" s="38" t="inlineStr">
        <is>
          <t>.</t>
        </is>
      </c>
      <c r="BB16" s="190">
        <f>SUM(BC16:BN16)</f>
        <v/>
      </c>
      <c r="BC16" s="191">
        <f>L16*0.0702730030</f>
        <v/>
      </c>
      <c r="BD16" s="191">
        <f>L16*0.0734327604</f>
        <v/>
      </c>
      <c r="BE16" s="191">
        <f>L16*0.0752022245</f>
        <v/>
      </c>
      <c r="BF16" s="191">
        <f>L16*0.0771612740</f>
        <v/>
      </c>
      <c r="BG16" s="191">
        <f>L16*0.0796890799</f>
        <v/>
      </c>
      <c r="BH16" s="191">
        <f>L16*0.0817745197</f>
        <v/>
      </c>
      <c r="BI16" s="191">
        <f>L16*0.0849342770</f>
        <v/>
      </c>
      <c r="BJ16" s="191">
        <f>L16*0.0870197169</f>
        <v/>
      </c>
      <c r="BK16" s="191">
        <f>L16*0.0889787664</f>
        <v/>
      </c>
      <c r="BL16" s="191">
        <f>L16*0.0911905966</f>
        <v/>
      </c>
      <c r="BM16" s="191">
        <f>L16*0.0935920121</f>
        <v/>
      </c>
      <c r="BN16" s="192">
        <f>L16*0.0967517695</f>
        <v/>
      </c>
      <c r="BO16" s="36" t="inlineStr">
        <is>
          <t>.</t>
        </is>
      </c>
      <c r="BP16" s="193">
        <f>SUM(BQ16:CB16)</f>
        <v/>
      </c>
      <c r="BQ16" s="191">
        <f>MAX(0,BC16-AA16)</f>
        <v/>
      </c>
      <c r="BR16" s="191">
        <f>MAX(0,BD16-AB16)</f>
        <v/>
      </c>
      <c r="BS16" s="191">
        <f>MAX(0,BE16-AC16)</f>
        <v/>
      </c>
      <c r="BT16" s="191">
        <f>MAX(0,BF16-AD16)</f>
        <v/>
      </c>
      <c r="BU16" s="191">
        <f>MAX(0,BG16-AE16)</f>
        <v/>
      </c>
      <c r="BV16" s="191">
        <f>MAX(0,BH16-AF16)</f>
        <v/>
      </c>
      <c r="BW16" s="191">
        <f>MAX(0,BI16-AG16)</f>
        <v/>
      </c>
      <c r="BX16" s="191">
        <f>MAX(0,BJ16-AH16)</f>
        <v/>
      </c>
      <c r="BY16" s="191">
        <f>MAX(0,BK16-AI16)</f>
        <v/>
      </c>
      <c r="BZ16" s="191">
        <f>MAX(0,BL16-AJ16)</f>
        <v/>
      </c>
      <c r="CA16" s="191">
        <f>MAX(0,BM16-AK16)</f>
        <v/>
      </c>
      <c r="CB16" s="192">
        <f>MAX(0,BN16-AL16)</f>
        <v/>
      </c>
    </row>
    <row r="17">
      <c r="A17" s="64" t="inlineStr">
        <is>
          <t>80230774000148</t>
        </is>
      </c>
      <c r="B17" s="57" t="inlineStr">
        <is>
          <t>COOP. CENTRAL CREDITO, POUPANCA E INVEST</t>
        </is>
      </c>
      <c r="C17" s="57" t="inlineStr">
        <is>
          <t>SEM GRUPO</t>
        </is>
      </c>
      <c r="D17" s="61" t="inlineStr">
        <is>
          <t>HEMANUELE DITZEL (MANU)</t>
        </is>
      </c>
      <c r="E17" s="30" t="inlineStr">
        <is>
          <t>.</t>
        </is>
      </c>
      <c r="F17" s="63" t="n"/>
      <c r="G17" s="179" t="n"/>
      <c r="H17" s="57" t="n"/>
      <c r="I17" s="57" t="n"/>
      <c r="J17" s="61" t="n"/>
      <c r="K17" s="30" t="inlineStr">
        <is>
          <t>.</t>
        </is>
      </c>
      <c r="L17" s="180" t="n">
        <v>45011.84999999999</v>
      </c>
      <c r="M17" s="181" t="n">
        <v>3163.12</v>
      </c>
      <c r="N17" s="181" t="n">
        <v>3305.34</v>
      </c>
      <c r="O17" s="181" t="n">
        <v>3384.99</v>
      </c>
      <c r="P17" s="181" t="n">
        <v>3473.17</v>
      </c>
      <c r="Q17" s="181" t="n">
        <v>3586.95</v>
      </c>
      <c r="R17" s="181" t="n">
        <v>3680.82</v>
      </c>
      <c r="S17" s="181" t="n">
        <v>3823.05</v>
      </c>
      <c r="T17" s="181" t="n">
        <v>3916.92</v>
      </c>
      <c r="U17" s="181" t="n">
        <v>4005.1</v>
      </c>
      <c r="V17" s="181" t="n">
        <v>4104.66</v>
      </c>
      <c r="W17" s="181" t="n">
        <v>4212.75</v>
      </c>
      <c r="X17" s="182" t="n">
        <v>4354.98</v>
      </c>
      <c r="Y17" s="183" t="inlineStr">
        <is>
          <t>.</t>
        </is>
      </c>
      <c r="Z17" s="184">
        <f>SUM(AA17:AL17)</f>
        <v/>
      </c>
      <c r="AA17" s="185" t="n">
        <v>0</v>
      </c>
      <c r="AB17" s="185" t="n">
        <v>7079.07</v>
      </c>
      <c r="AC17" s="185" t="n">
        <v>0</v>
      </c>
      <c r="AD17" s="185" t="n">
        <v>2025.42</v>
      </c>
      <c r="AE17" s="185" t="n">
        <v>2317.7</v>
      </c>
      <c r="AF17" s="185" t="n">
        <v>0</v>
      </c>
      <c r="AG17" s="185" t="n">
        <v>2524.53</v>
      </c>
      <c r="AH17" s="185" t="n">
        <v>2097.26</v>
      </c>
      <c r="AI17" s="185" t="n">
        <v>3757.54</v>
      </c>
      <c r="AJ17" s="185" t="n">
        <v>4718.92</v>
      </c>
      <c r="AK17" s="185" t="n">
        <v>0</v>
      </c>
      <c r="AL17" s="186" t="n">
        <v>0</v>
      </c>
      <c r="AM17" s="30" t="inlineStr">
        <is>
          <t>.</t>
        </is>
      </c>
      <c r="AN17" s="187">
        <f>IF(L17=0,0,Z17/L17)</f>
        <v/>
      </c>
      <c r="AO17" s="57">
        <f>IF(AN17&gt;=1,"🟢",IF(AN17&gt;=0.7,"🟡",IF(AN17&gt;=0.4,"🟠","🔴")))</f>
        <v/>
      </c>
      <c r="AP17" s="185">
        <f>L17-Z17</f>
        <v/>
      </c>
      <c r="AQ17" s="55">
        <f>RANK(Z17,$Z$4:$Z$503,0)</f>
        <v/>
      </c>
      <c r="AR17" s="39" t="inlineStr">
        <is>
          <t>.</t>
        </is>
      </c>
      <c r="AS17" s="89" t="inlineStr">
        <is>
          <t>ARMAZEM FIT STORE</t>
        </is>
      </c>
      <c r="AT17" s="87" t="n">
        <v>114</v>
      </c>
      <c r="AU17" s="88" t="n">
        <v>0</v>
      </c>
      <c r="AV17" s="87" t="inlineStr">
        <is>
          <t>🟣 ROXO</t>
        </is>
      </c>
      <c r="AW17" s="87" t="inlineStr">
        <is>
          <t>PROSPECÇÃO</t>
        </is>
      </c>
      <c r="AX17" s="87" t="inlineStr">
        <is>
          <t>Mapear decisores + Apresentação institucional</t>
        </is>
      </c>
      <c r="AY17" s="194" t="n">
        <v>0</v>
      </c>
      <c r="AZ17" s="195" t="n">
        <v>659175</v>
      </c>
      <c r="BA17" s="38" t="inlineStr">
        <is>
          <t>.</t>
        </is>
      </c>
      <c r="BB17" s="190">
        <f>SUM(BC17:BN17)</f>
        <v/>
      </c>
      <c r="BC17" s="191">
        <f>L17*0.0702730030</f>
        <v/>
      </c>
      <c r="BD17" s="191">
        <f>L17*0.0734327604</f>
        <v/>
      </c>
      <c r="BE17" s="191">
        <f>L17*0.0752022245</f>
        <v/>
      </c>
      <c r="BF17" s="191">
        <f>L17*0.0771612740</f>
        <v/>
      </c>
      <c r="BG17" s="191">
        <f>L17*0.0796890799</f>
        <v/>
      </c>
      <c r="BH17" s="191">
        <f>L17*0.0817745197</f>
        <v/>
      </c>
      <c r="BI17" s="191">
        <f>L17*0.0849342770</f>
        <v/>
      </c>
      <c r="BJ17" s="191">
        <f>L17*0.0870197169</f>
        <v/>
      </c>
      <c r="BK17" s="191">
        <f>L17*0.0889787664</f>
        <v/>
      </c>
      <c r="BL17" s="191">
        <f>L17*0.0911905966</f>
        <v/>
      </c>
      <c r="BM17" s="191">
        <f>L17*0.0935920121</f>
        <v/>
      </c>
      <c r="BN17" s="192">
        <f>L17*0.0967517695</f>
        <v/>
      </c>
      <c r="BO17" s="36" t="inlineStr">
        <is>
          <t>.</t>
        </is>
      </c>
      <c r="BP17" s="193">
        <f>SUM(BQ17:CB17)</f>
        <v/>
      </c>
      <c r="BQ17" s="191">
        <f>MAX(0,BC17-AA17)</f>
        <v/>
      </c>
      <c r="BR17" s="191">
        <f>MAX(0,BD17-AB17)</f>
        <v/>
      </c>
      <c r="BS17" s="191">
        <f>MAX(0,BE17-AC17)</f>
        <v/>
      </c>
      <c r="BT17" s="191">
        <f>MAX(0,BF17-AD17)</f>
        <v/>
      </c>
      <c r="BU17" s="191">
        <f>MAX(0,BG17-AE17)</f>
        <v/>
      </c>
      <c r="BV17" s="191">
        <f>MAX(0,BH17-AF17)</f>
        <v/>
      </c>
      <c r="BW17" s="191">
        <f>MAX(0,BI17-AG17)</f>
        <v/>
      </c>
      <c r="BX17" s="191">
        <f>MAX(0,BJ17-AH17)</f>
        <v/>
      </c>
      <c r="BY17" s="191">
        <f>MAX(0,BK17-AI17)</f>
        <v/>
      </c>
      <c r="BZ17" s="191">
        <f>MAX(0,BL17-AJ17)</f>
        <v/>
      </c>
      <c r="CA17" s="191">
        <f>MAX(0,BM17-AK17)</f>
        <v/>
      </c>
      <c r="CB17" s="192">
        <f>MAX(0,BN17-AL17)</f>
        <v/>
      </c>
    </row>
    <row r="18">
      <c r="A18" s="64" t="inlineStr">
        <is>
          <t>31599810000130</t>
        </is>
      </c>
      <c r="B18" s="57" t="inlineStr">
        <is>
          <t>ALANA GARCIA MOREIRA SUARES DA SILVA - M</t>
        </is>
      </c>
      <c r="C18" s="57" t="inlineStr">
        <is>
          <t>SEM GRUPO</t>
        </is>
      </c>
      <c r="D18" s="61" t="inlineStr">
        <is>
          <t>LARISSA PADILHA</t>
        </is>
      </c>
      <c r="E18" s="30" t="inlineStr">
        <is>
          <t>.</t>
        </is>
      </c>
      <c r="F18" s="63" t="n"/>
      <c r="G18" s="179" t="n"/>
      <c r="H18" s="57" t="n"/>
      <c r="I18" s="57" t="n"/>
      <c r="J18" s="61" t="n"/>
      <c r="K18" s="30" t="inlineStr">
        <is>
          <t>.</t>
        </is>
      </c>
      <c r="L18" s="180" t="n">
        <v>43421.47</v>
      </c>
      <c r="M18" s="181" t="n">
        <v>3051.36</v>
      </c>
      <c r="N18" s="181" t="n">
        <v>3188.56</v>
      </c>
      <c r="O18" s="181" t="n">
        <v>3265.39</v>
      </c>
      <c r="P18" s="181" t="n">
        <v>3350.46</v>
      </c>
      <c r="Q18" s="181" t="n">
        <v>3460.22</v>
      </c>
      <c r="R18" s="181" t="n">
        <v>3550.77</v>
      </c>
      <c r="S18" s="181" t="n">
        <v>3687.97</v>
      </c>
      <c r="T18" s="181" t="n">
        <v>3778.52</v>
      </c>
      <c r="U18" s="181" t="n">
        <v>3863.59</v>
      </c>
      <c r="V18" s="181" t="n">
        <v>3959.63</v>
      </c>
      <c r="W18" s="181" t="n">
        <v>4063.9</v>
      </c>
      <c r="X18" s="182" t="n">
        <v>4201.1</v>
      </c>
      <c r="Y18" s="183" t="inlineStr">
        <is>
          <t>.</t>
        </is>
      </c>
      <c r="Z18" s="184">
        <f>SUM(AA18:AL18)</f>
        <v/>
      </c>
      <c r="AA18" s="185" t="n">
        <v>0</v>
      </c>
      <c r="AB18" s="185" t="n">
        <v>0</v>
      </c>
      <c r="AC18" s="185" t="n">
        <v>0</v>
      </c>
      <c r="AD18" s="185" t="n">
        <v>0</v>
      </c>
      <c r="AE18" s="185" t="n">
        <v>1703.38</v>
      </c>
      <c r="AF18" s="185" t="n">
        <v>4044.22</v>
      </c>
      <c r="AG18" s="185" t="n">
        <v>8667.870000000001</v>
      </c>
      <c r="AH18" s="185" t="n">
        <v>0</v>
      </c>
      <c r="AI18" s="185" t="n">
        <v>0</v>
      </c>
      <c r="AJ18" s="185" t="n">
        <v>4567.14</v>
      </c>
      <c r="AK18" s="185" t="n">
        <v>0</v>
      </c>
      <c r="AL18" s="186" t="n">
        <v>1907.49</v>
      </c>
      <c r="AM18" s="30" t="inlineStr">
        <is>
          <t>.</t>
        </is>
      </c>
      <c r="AN18" s="187">
        <f>IF(L18=0,0,Z18/L18)</f>
        <v/>
      </c>
      <c r="AO18" s="57">
        <f>IF(AN18&gt;=1,"🟢",IF(AN18&gt;=0.7,"🟡",IF(AN18&gt;=0.4,"🟠","🔴")))</f>
        <v/>
      </c>
      <c r="AP18" s="185">
        <f>L18-Z18</f>
        <v/>
      </c>
      <c r="AQ18" s="55">
        <f>RANK(Z18,$Z$4:$Z$503,0)</f>
        <v/>
      </c>
      <c r="AR18" s="39" t="inlineStr">
        <is>
          <t>.</t>
        </is>
      </c>
      <c r="AS18" s="32" t="n"/>
      <c r="AT18" s="32" t="n"/>
      <c r="AU18" s="32" t="n"/>
      <c r="AV18" s="32" t="n"/>
      <c r="AW18" s="32" t="n"/>
      <c r="AX18" s="32" t="n"/>
      <c r="AY18" s="196" t="n"/>
      <c r="AZ18" s="196" t="n"/>
      <c r="BA18" s="38" t="inlineStr">
        <is>
          <t>.</t>
        </is>
      </c>
      <c r="BB18" s="190">
        <f>SUM(BC18:BN18)</f>
        <v/>
      </c>
      <c r="BC18" s="191">
        <f>L18*0.0702730030</f>
        <v/>
      </c>
      <c r="BD18" s="191">
        <f>L18*0.0734327604</f>
        <v/>
      </c>
      <c r="BE18" s="191">
        <f>L18*0.0752022245</f>
        <v/>
      </c>
      <c r="BF18" s="191">
        <f>L18*0.0771612740</f>
        <v/>
      </c>
      <c r="BG18" s="191">
        <f>L18*0.0796890799</f>
        <v/>
      </c>
      <c r="BH18" s="191">
        <f>L18*0.0817745197</f>
        <v/>
      </c>
      <c r="BI18" s="191">
        <f>L18*0.0849342770</f>
        <v/>
      </c>
      <c r="BJ18" s="191">
        <f>L18*0.0870197169</f>
        <v/>
      </c>
      <c r="BK18" s="191">
        <f>L18*0.0889787664</f>
        <v/>
      </c>
      <c r="BL18" s="191">
        <f>L18*0.0911905966</f>
        <v/>
      </c>
      <c r="BM18" s="191">
        <f>L18*0.0935920121</f>
        <v/>
      </c>
      <c r="BN18" s="192">
        <f>L18*0.0967517695</f>
        <v/>
      </c>
      <c r="BO18" s="36" t="inlineStr">
        <is>
          <t>.</t>
        </is>
      </c>
      <c r="BP18" s="193">
        <f>SUM(BQ18:CB18)</f>
        <v/>
      </c>
      <c r="BQ18" s="191">
        <f>MAX(0,BC18-AA18)</f>
        <v/>
      </c>
      <c r="BR18" s="191">
        <f>MAX(0,BD18-AB18)</f>
        <v/>
      </c>
      <c r="BS18" s="191">
        <f>MAX(0,BE18-AC18)</f>
        <v/>
      </c>
      <c r="BT18" s="191">
        <f>MAX(0,BF18-AD18)</f>
        <v/>
      </c>
      <c r="BU18" s="191">
        <f>MAX(0,BG18-AE18)</f>
        <v/>
      </c>
      <c r="BV18" s="191">
        <f>MAX(0,BH18-AF18)</f>
        <v/>
      </c>
      <c r="BW18" s="191">
        <f>MAX(0,BI18-AG18)</f>
        <v/>
      </c>
      <c r="BX18" s="191">
        <f>MAX(0,BJ18-AH18)</f>
        <v/>
      </c>
      <c r="BY18" s="191">
        <f>MAX(0,BK18-AI18)</f>
        <v/>
      </c>
      <c r="BZ18" s="191">
        <f>MAX(0,BL18-AJ18)</f>
        <v/>
      </c>
      <c r="CA18" s="191">
        <f>MAX(0,BM18-AK18)</f>
        <v/>
      </c>
      <c r="CB18" s="192">
        <f>MAX(0,BN18-AL18)</f>
        <v/>
      </c>
    </row>
    <row r="19">
      <c r="A19" s="64" t="inlineStr">
        <is>
          <t>05382867000253</t>
        </is>
      </c>
      <c r="B19" s="57" t="inlineStr">
        <is>
          <t>SUPERMERCADO MERCOCENTRO LTDA</t>
        </is>
      </c>
      <c r="C19" s="57" t="inlineStr">
        <is>
          <t>SEM GRUPO</t>
        </is>
      </c>
      <c r="D19" s="61" t="inlineStr">
        <is>
          <t>HEMANUELE DITZEL (MANU)</t>
        </is>
      </c>
      <c r="E19" s="30" t="inlineStr">
        <is>
          <t>.</t>
        </is>
      </c>
      <c r="F19" s="63" t="n"/>
      <c r="G19" s="179" t="n"/>
      <c r="H19" s="57" t="n"/>
      <c r="I19" s="57" t="n"/>
      <c r="J19" s="61" t="n"/>
      <c r="K19" s="30" t="inlineStr">
        <is>
          <t>.</t>
        </is>
      </c>
      <c r="L19" s="180" t="n">
        <v>41090.39</v>
      </c>
      <c r="M19" s="181" t="n">
        <v>2887.54</v>
      </c>
      <c r="N19" s="181" t="n">
        <v>3017.38</v>
      </c>
      <c r="O19" s="181" t="n">
        <v>3090.09</v>
      </c>
      <c r="P19" s="181" t="n">
        <v>3170.59</v>
      </c>
      <c r="Q19" s="181" t="n">
        <v>3274.46</v>
      </c>
      <c r="R19" s="181" t="n">
        <v>3360.15</v>
      </c>
      <c r="S19" s="181" t="n">
        <v>3489.98</v>
      </c>
      <c r="T19" s="181" t="n">
        <v>3575.67</v>
      </c>
      <c r="U19" s="181" t="n">
        <v>3656.17</v>
      </c>
      <c r="V19" s="181" t="n">
        <v>3747.06</v>
      </c>
      <c r="W19" s="181" t="n">
        <v>3845.73</v>
      </c>
      <c r="X19" s="182" t="n">
        <v>3975.57</v>
      </c>
      <c r="Y19" s="183" t="inlineStr">
        <is>
          <t>.</t>
        </is>
      </c>
      <c r="Z19" s="184">
        <f>SUM(AA19:AL19)</f>
        <v/>
      </c>
      <c r="AA19" s="185" t="n">
        <v>0</v>
      </c>
      <c r="AB19" s="185" t="n">
        <v>0</v>
      </c>
      <c r="AC19" s="185" t="n">
        <v>0</v>
      </c>
      <c r="AD19" s="185" t="n">
        <v>0</v>
      </c>
      <c r="AE19" s="185" t="n">
        <v>0</v>
      </c>
      <c r="AF19" s="185" t="n">
        <v>0</v>
      </c>
      <c r="AG19" s="185" t="n">
        <v>2472.36</v>
      </c>
      <c r="AH19" s="185" t="n">
        <v>2781.17</v>
      </c>
      <c r="AI19" s="185" t="n">
        <v>3124.05</v>
      </c>
      <c r="AJ19" s="185" t="n">
        <v>3682.68</v>
      </c>
      <c r="AK19" s="185" t="n">
        <v>2685.4</v>
      </c>
      <c r="AL19" s="186" t="n">
        <v>0</v>
      </c>
      <c r="AM19" s="222" t="n">
        <v>2081.76</v>
      </c>
      <c r="AN19" s="187">
        <f>IF(L19=0,0,Z19/L19)</f>
        <v/>
      </c>
      <c r="AO19" s="57">
        <f>IF(AN19&gt;=1,"🟢",IF(AN19&gt;=0.7,"🟡",IF(AN19&gt;=0.4,"🟠","🔴")))</f>
        <v/>
      </c>
      <c r="AP19" s="185">
        <f>L19-Z19</f>
        <v/>
      </c>
      <c r="AQ19" s="55">
        <f>RANK(Z19,$Z$4:$Z$503,0)</f>
        <v/>
      </c>
      <c r="AR19" s="39" t="inlineStr">
        <is>
          <t>.</t>
        </is>
      </c>
      <c r="AS19" s="83" t="inlineStr">
        <is>
          <t xml:space="preserve"> REF: META 2026 GLOBAL (SAP)</t>
        </is>
      </c>
      <c r="AT19" s="73" t="n"/>
      <c r="AU19" s="73" t="n"/>
      <c r="AV19" s="73" t="n"/>
      <c r="AW19" s="73" t="n"/>
      <c r="AX19" s="73" t="n"/>
      <c r="AY19" s="197" t="n"/>
      <c r="AZ19" s="198" t="n"/>
      <c r="BA19" s="38" t="inlineStr">
        <is>
          <t>.</t>
        </is>
      </c>
      <c r="BB19" s="190">
        <f>SUM(BC19:BN19)</f>
        <v/>
      </c>
      <c r="BC19" s="191">
        <f>L19*0.0702730030</f>
        <v/>
      </c>
      <c r="BD19" s="191">
        <f>L19*0.0734327604</f>
        <v/>
      </c>
      <c r="BE19" s="191">
        <f>L19*0.0752022245</f>
        <v/>
      </c>
      <c r="BF19" s="191">
        <f>L19*0.0771612740</f>
        <v/>
      </c>
      <c r="BG19" s="191">
        <f>L19*0.0796890799</f>
        <v/>
      </c>
      <c r="BH19" s="191">
        <f>L19*0.0817745197</f>
        <v/>
      </c>
      <c r="BI19" s="191">
        <f>L19*0.0849342770</f>
        <v/>
      </c>
      <c r="BJ19" s="191">
        <f>L19*0.0870197169</f>
        <v/>
      </c>
      <c r="BK19" s="191">
        <f>L19*0.0889787664</f>
        <v/>
      </c>
      <c r="BL19" s="191">
        <f>L19*0.0911905966</f>
        <v/>
      </c>
      <c r="BM19" s="191">
        <f>L19*0.0935920121</f>
        <v/>
      </c>
      <c r="BN19" s="192">
        <f>L19*0.0967517695</f>
        <v/>
      </c>
      <c r="BO19" s="36" t="inlineStr">
        <is>
          <t>.</t>
        </is>
      </c>
      <c r="BP19" s="193">
        <f>SUM(BQ19:CB19)</f>
        <v/>
      </c>
      <c r="BQ19" s="191">
        <f>MAX(0,BC19-AA19)</f>
        <v/>
      </c>
      <c r="BR19" s="191">
        <f>MAX(0,BD19-AB19)</f>
        <v/>
      </c>
      <c r="BS19" s="191">
        <f>MAX(0,BE19-AC19)</f>
        <v/>
      </c>
      <c r="BT19" s="191">
        <f>MAX(0,BF19-AD19)</f>
        <v/>
      </c>
      <c r="BU19" s="191">
        <f>MAX(0,BG19-AE19)</f>
        <v/>
      </c>
      <c r="BV19" s="191">
        <f>MAX(0,BH19-AF19)</f>
        <v/>
      </c>
      <c r="BW19" s="191">
        <f>MAX(0,BI19-AG19)</f>
        <v/>
      </c>
      <c r="BX19" s="191">
        <f>MAX(0,BJ19-AH19)</f>
        <v/>
      </c>
      <c r="BY19" s="191">
        <f>MAX(0,BK19-AI19)</f>
        <v/>
      </c>
      <c r="BZ19" s="191">
        <f>MAX(0,BL19-AJ19)</f>
        <v/>
      </c>
      <c r="CA19" s="191">
        <f>MAX(0,BM19-AK19)</f>
        <v/>
      </c>
      <c r="CB19" s="192">
        <f>MAX(0,BN19-AL19)</f>
        <v/>
      </c>
    </row>
    <row r="20">
      <c r="A20" s="64" t="inlineStr">
        <is>
          <t>54211982000190</t>
        </is>
      </c>
      <c r="B20" s="57" t="inlineStr">
        <is>
          <t>MAGOGA HORTIFRUTI LTDA - EPP</t>
        </is>
      </c>
      <c r="C20" s="57" t="inlineStr">
        <is>
          <t>SEM GRUPO</t>
        </is>
      </c>
      <c r="D20" s="61" t="inlineStr">
        <is>
          <t>LARISSA PADILHA</t>
        </is>
      </c>
      <c r="E20" s="30" t="inlineStr">
        <is>
          <t>.</t>
        </is>
      </c>
      <c r="F20" s="63" t="n"/>
      <c r="G20" s="179" t="n"/>
      <c r="H20" s="57" t="n"/>
      <c r="I20" s="57" t="n"/>
      <c r="J20" s="61" t="n"/>
      <c r="K20" s="30" t="inlineStr">
        <is>
          <t>.</t>
        </is>
      </c>
      <c r="L20" s="180" t="n">
        <v>40182.04</v>
      </c>
      <c r="M20" s="181" t="n">
        <v>2823.71</v>
      </c>
      <c r="N20" s="181" t="n">
        <v>2950.68</v>
      </c>
      <c r="O20" s="181" t="n">
        <v>3021.78</v>
      </c>
      <c r="P20" s="181" t="n">
        <v>3100.5</v>
      </c>
      <c r="Q20" s="181" t="n">
        <v>3202.07</v>
      </c>
      <c r="R20" s="181" t="n">
        <v>3285.87</v>
      </c>
      <c r="S20" s="181" t="n">
        <v>3412.83</v>
      </c>
      <c r="T20" s="181" t="n">
        <v>3496.63</v>
      </c>
      <c r="U20" s="181" t="n">
        <v>3575.35</v>
      </c>
      <c r="V20" s="181" t="n">
        <v>3664.22</v>
      </c>
      <c r="W20" s="181" t="n">
        <v>3760.72</v>
      </c>
      <c r="X20" s="182" t="n">
        <v>3887.68</v>
      </c>
      <c r="Y20" s="183" t="inlineStr">
        <is>
          <t>.</t>
        </is>
      </c>
      <c r="Z20" s="184">
        <f>SUM(AA20:AL20)</f>
        <v/>
      </c>
      <c r="AA20" s="185" t="n">
        <v>0</v>
      </c>
      <c r="AB20" s="185" t="n">
        <v>0</v>
      </c>
      <c r="AC20" s="185" t="n">
        <v>0</v>
      </c>
      <c r="AD20" s="185" t="n">
        <v>3514.97</v>
      </c>
      <c r="AE20" s="185" t="n">
        <v>5129.95</v>
      </c>
      <c r="AF20" s="185" t="n">
        <v>2223.66</v>
      </c>
      <c r="AG20" s="185" t="n">
        <v>2654.7</v>
      </c>
      <c r="AH20" s="185" t="n">
        <v>0</v>
      </c>
      <c r="AI20" s="185" t="n">
        <v>1966.76</v>
      </c>
      <c r="AJ20" s="185" t="n">
        <v>0</v>
      </c>
      <c r="AK20" s="185" t="n">
        <v>0</v>
      </c>
      <c r="AL20" s="186" t="n">
        <v>1107.2</v>
      </c>
      <c r="AM20" s="222" t="n">
        <v>946.64</v>
      </c>
      <c r="AN20" s="187">
        <f>IF(L20=0,0,Z20/L20)</f>
        <v/>
      </c>
      <c r="AO20" s="57">
        <f>IF(AN20&gt;=1,"🟢",IF(AN20&gt;=0.7,"🟡",IF(AN20&gt;=0.4,"🟠","🔴")))</f>
        <v/>
      </c>
      <c r="AP20" s="185">
        <f>L20-Z20</f>
        <v/>
      </c>
      <c r="AQ20" s="55">
        <f>RANK(Z20,$Z$4:$Z$503,0)</f>
        <v/>
      </c>
      <c r="AR20" s="39" t="inlineStr">
        <is>
          <t>.</t>
        </is>
      </c>
      <c r="AS20" s="82" t="inlineStr">
        <is>
          <t>MÊS</t>
        </is>
      </c>
      <c r="AT20" s="199" t="inlineStr">
        <is>
          <t>META R$</t>
        </is>
      </c>
      <c r="AU20" s="199" t="inlineStr">
        <is>
          <t>FAT 2025 R$</t>
        </is>
      </c>
      <c r="AV20" s="81" t="inlineStr">
        <is>
          <t>% ATING</t>
        </is>
      </c>
      <c r="AW20" s="81" t="n"/>
      <c r="AX20" s="81" t="n"/>
      <c r="AY20" s="199" t="n"/>
      <c r="AZ20" s="199" t="n"/>
      <c r="BA20" s="38" t="inlineStr">
        <is>
          <t>.</t>
        </is>
      </c>
      <c r="BB20" s="190">
        <f>SUM(BC20:BN20)</f>
        <v/>
      </c>
      <c r="BC20" s="191">
        <f>L20*0.0702730030</f>
        <v/>
      </c>
      <c r="BD20" s="191">
        <f>L20*0.0734327604</f>
        <v/>
      </c>
      <c r="BE20" s="191">
        <f>L20*0.0752022245</f>
        <v/>
      </c>
      <c r="BF20" s="191">
        <f>L20*0.0771612740</f>
        <v/>
      </c>
      <c r="BG20" s="191">
        <f>L20*0.0796890799</f>
        <v/>
      </c>
      <c r="BH20" s="191">
        <f>L20*0.0817745197</f>
        <v/>
      </c>
      <c r="BI20" s="191">
        <f>L20*0.0849342770</f>
        <v/>
      </c>
      <c r="BJ20" s="191">
        <f>L20*0.0870197169</f>
        <v/>
      </c>
      <c r="BK20" s="191">
        <f>L20*0.0889787664</f>
        <v/>
      </c>
      <c r="BL20" s="191">
        <f>L20*0.0911905966</f>
        <v/>
      </c>
      <c r="BM20" s="191">
        <f>L20*0.0935920121</f>
        <v/>
      </c>
      <c r="BN20" s="192">
        <f>L20*0.0967517695</f>
        <v/>
      </c>
      <c r="BO20" s="36" t="inlineStr">
        <is>
          <t>.</t>
        </is>
      </c>
      <c r="BP20" s="193">
        <f>SUM(BQ20:CB20)</f>
        <v/>
      </c>
      <c r="BQ20" s="191">
        <f>MAX(0,BC20-AA20)</f>
        <v/>
      </c>
      <c r="BR20" s="191">
        <f>MAX(0,BD20-AB20)</f>
        <v/>
      </c>
      <c r="BS20" s="191">
        <f>MAX(0,BE20-AC20)</f>
        <v/>
      </c>
      <c r="BT20" s="191">
        <f>MAX(0,BF20-AD20)</f>
        <v/>
      </c>
      <c r="BU20" s="191">
        <f>MAX(0,BG20-AE20)</f>
        <v/>
      </c>
      <c r="BV20" s="191">
        <f>MAX(0,BH20-AF20)</f>
        <v/>
      </c>
      <c r="BW20" s="191">
        <f>MAX(0,BI20-AG20)</f>
        <v/>
      </c>
      <c r="BX20" s="191">
        <f>MAX(0,BJ20-AH20)</f>
        <v/>
      </c>
      <c r="BY20" s="191">
        <f>MAX(0,BK20-AI20)</f>
        <v/>
      </c>
      <c r="BZ20" s="191">
        <f>MAX(0,BL20-AJ20)</f>
        <v/>
      </c>
      <c r="CA20" s="191">
        <f>MAX(0,BM20-AK20)</f>
        <v/>
      </c>
      <c r="CB20" s="192">
        <f>MAX(0,BN20-AL20)</f>
        <v/>
      </c>
    </row>
    <row r="21">
      <c r="A21" s="64" t="inlineStr">
        <is>
          <t>01005782000114</t>
        </is>
      </c>
      <c r="B21" s="57" t="inlineStr">
        <is>
          <t>ORGANIZACAO BARATELLA E BALTAZAR EVENTOS</t>
        </is>
      </c>
      <c r="C21" s="57" t="inlineStr">
        <is>
          <t>SEM GRUPO</t>
        </is>
      </c>
      <c r="D21" s="61" t="inlineStr">
        <is>
          <t>LARISSA PADILHA</t>
        </is>
      </c>
      <c r="E21" s="30" t="inlineStr">
        <is>
          <t>.</t>
        </is>
      </c>
      <c r="F21" s="63" t="n"/>
      <c r="G21" s="179" t="n"/>
      <c r="H21" s="57" t="n"/>
      <c r="I21" s="57" t="n"/>
      <c r="J21" s="61" t="n"/>
      <c r="K21" s="30" t="inlineStr">
        <is>
          <t>.</t>
        </is>
      </c>
      <c r="L21" s="180" t="n">
        <v>38724.51000000001</v>
      </c>
      <c r="M21" s="181" t="n">
        <v>2721.29</v>
      </c>
      <c r="N21" s="181" t="n">
        <v>2843.65</v>
      </c>
      <c r="O21" s="181" t="n">
        <v>2912.17</v>
      </c>
      <c r="P21" s="181" t="n">
        <v>2988.03</v>
      </c>
      <c r="Q21" s="181" t="n">
        <v>3085.92</v>
      </c>
      <c r="R21" s="181" t="n">
        <v>3166.68</v>
      </c>
      <c r="S21" s="181" t="n">
        <v>3289.04</v>
      </c>
      <c r="T21" s="181" t="n">
        <v>3369.8</v>
      </c>
      <c r="U21" s="181" t="n">
        <v>3445.66</v>
      </c>
      <c r="V21" s="181" t="n">
        <v>3531.31</v>
      </c>
      <c r="W21" s="181" t="n">
        <v>3624.3</v>
      </c>
      <c r="X21" s="182" t="n">
        <v>3746.66</v>
      </c>
      <c r="Y21" s="183" t="inlineStr">
        <is>
          <t>.</t>
        </is>
      </c>
      <c r="Z21" s="184">
        <f>SUM(AA21:AL21)</f>
        <v/>
      </c>
      <c r="AA21" s="185" t="n">
        <v>0</v>
      </c>
      <c r="AB21" s="185" t="n">
        <v>0</v>
      </c>
      <c r="AC21" s="185" t="n">
        <v>0</v>
      </c>
      <c r="AD21" s="185" t="n">
        <v>0</v>
      </c>
      <c r="AE21" s="185" t="n">
        <v>0</v>
      </c>
      <c r="AF21" s="185" t="n">
        <v>0</v>
      </c>
      <c r="AG21" s="185" t="n">
        <v>0</v>
      </c>
      <c r="AH21" s="185" t="n">
        <v>0</v>
      </c>
      <c r="AI21" s="185" t="n">
        <v>17540.94</v>
      </c>
      <c r="AJ21" s="185" t="n">
        <v>0</v>
      </c>
      <c r="AK21" s="185" t="n">
        <v>0</v>
      </c>
      <c r="AL21" s="186" t="n">
        <v>0</v>
      </c>
      <c r="AM21" s="30" t="inlineStr">
        <is>
          <t>.</t>
        </is>
      </c>
      <c r="AN21" s="187">
        <f>IF(L21=0,0,Z21/L21)</f>
        <v/>
      </c>
      <c r="AO21" s="57">
        <f>IF(AN21&gt;=1,"🟢",IF(AN21&gt;=0.7,"🟡",IF(AN21&gt;=0.4,"🟠","🔴")))</f>
        <v/>
      </c>
      <c r="AP21" s="185">
        <f>L21-Z21</f>
        <v/>
      </c>
      <c r="AQ21" s="55">
        <f>RANK(Z21,$Z$4:$Z$503,0)</f>
        <v/>
      </c>
      <c r="AR21" s="39" t="inlineStr">
        <is>
          <t>.</t>
        </is>
      </c>
      <c r="AS21" s="63" t="inlineStr">
        <is>
          <t>JAN</t>
        </is>
      </c>
      <c r="AT21" s="181" t="n">
        <v>333600</v>
      </c>
      <c r="AU21" s="181" t="n">
        <v>43265</v>
      </c>
      <c r="AV21" s="179" t="n">
        <v>0.1296912470023981</v>
      </c>
      <c r="AZ21" s="200" t="n"/>
      <c r="BA21" s="38" t="inlineStr">
        <is>
          <t>.</t>
        </is>
      </c>
      <c r="BB21" s="190">
        <f>SUM(BC21:BN21)</f>
        <v/>
      </c>
      <c r="BC21" s="191">
        <f>L21*0.0702730030</f>
        <v/>
      </c>
      <c r="BD21" s="191">
        <f>L21*0.0734327604</f>
        <v/>
      </c>
      <c r="BE21" s="191">
        <f>L21*0.0752022245</f>
        <v/>
      </c>
      <c r="BF21" s="191">
        <f>L21*0.0771612740</f>
        <v/>
      </c>
      <c r="BG21" s="191">
        <f>L21*0.0796890799</f>
        <v/>
      </c>
      <c r="BH21" s="191">
        <f>L21*0.0817745197</f>
        <v/>
      </c>
      <c r="BI21" s="191">
        <f>L21*0.0849342770</f>
        <v/>
      </c>
      <c r="BJ21" s="191">
        <f>L21*0.0870197169</f>
        <v/>
      </c>
      <c r="BK21" s="191">
        <f>L21*0.0889787664</f>
        <v/>
      </c>
      <c r="BL21" s="191">
        <f>L21*0.0911905966</f>
        <v/>
      </c>
      <c r="BM21" s="191">
        <f>L21*0.0935920121</f>
        <v/>
      </c>
      <c r="BN21" s="192">
        <f>L21*0.0967517695</f>
        <v/>
      </c>
      <c r="BO21" s="36" t="inlineStr">
        <is>
          <t>.</t>
        </is>
      </c>
      <c r="BP21" s="193">
        <f>SUM(BQ21:CB21)</f>
        <v/>
      </c>
      <c r="BQ21" s="191">
        <f>MAX(0,BC21-AA21)</f>
        <v/>
      </c>
      <c r="BR21" s="191">
        <f>MAX(0,BD21-AB21)</f>
        <v/>
      </c>
      <c r="BS21" s="191">
        <f>MAX(0,BE21-AC21)</f>
        <v/>
      </c>
      <c r="BT21" s="191">
        <f>MAX(0,BF21-AD21)</f>
        <v/>
      </c>
      <c r="BU21" s="191">
        <f>MAX(0,BG21-AE21)</f>
        <v/>
      </c>
      <c r="BV21" s="191">
        <f>MAX(0,BH21-AF21)</f>
        <v/>
      </c>
      <c r="BW21" s="191">
        <f>MAX(0,BI21-AG21)</f>
        <v/>
      </c>
      <c r="BX21" s="191">
        <f>MAX(0,BJ21-AH21)</f>
        <v/>
      </c>
      <c r="BY21" s="191">
        <f>MAX(0,BK21-AI21)</f>
        <v/>
      </c>
      <c r="BZ21" s="191">
        <f>MAX(0,BL21-AJ21)</f>
        <v/>
      </c>
      <c r="CA21" s="191">
        <f>MAX(0,BM21-AK21)</f>
        <v/>
      </c>
      <c r="CB21" s="192">
        <f>MAX(0,BN21-AL21)</f>
        <v/>
      </c>
    </row>
    <row r="22">
      <c r="A22" s="64" t="inlineStr">
        <is>
          <t>37370567000160</t>
        </is>
      </c>
      <c r="B22" s="57" t="inlineStr">
        <is>
          <t>KAROLINE SABINO DA SILVA - ME</t>
        </is>
      </c>
      <c r="C22" s="57" t="inlineStr">
        <is>
          <t>SEM GRUPO</t>
        </is>
      </c>
      <c r="D22" s="61" t="inlineStr">
        <is>
          <t>LARISSA PADILHA</t>
        </is>
      </c>
      <c r="E22" s="30" t="inlineStr">
        <is>
          <t>.</t>
        </is>
      </c>
      <c r="F22" s="63" t="n"/>
      <c r="G22" s="179" t="n"/>
      <c r="H22" s="57" t="n"/>
      <c r="I22" s="57" t="n"/>
      <c r="J22" s="61" t="n"/>
      <c r="K22" s="30" t="inlineStr">
        <is>
          <t>.</t>
        </is>
      </c>
      <c r="L22" s="180" t="n">
        <v>37991.86</v>
      </c>
      <c r="M22" s="181" t="n">
        <v>2669.8</v>
      </c>
      <c r="N22" s="181" t="n">
        <v>2789.85</v>
      </c>
      <c r="O22" s="181" t="n">
        <v>2857.07</v>
      </c>
      <c r="P22" s="181" t="n">
        <v>2931.5</v>
      </c>
      <c r="Q22" s="181" t="n">
        <v>3027.54</v>
      </c>
      <c r="R22" s="181" t="n">
        <v>3106.77</v>
      </c>
      <c r="S22" s="181" t="n">
        <v>3226.81</v>
      </c>
      <c r="T22" s="181" t="n">
        <v>3306.04</v>
      </c>
      <c r="U22" s="181" t="n">
        <v>3380.47</v>
      </c>
      <c r="V22" s="181" t="n">
        <v>3464.5</v>
      </c>
      <c r="W22" s="181" t="n">
        <v>3555.73</v>
      </c>
      <c r="X22" s="182" t="n">
        <v>3675.78</v>
      </c>
      <c r="Y22" s="183" t="inlineStr">
        <is>
          <t>.</t>
        </is>
      </c>
      <c r="Z22" s="184">
        <f>SUM(AA22:AL22)</f>
        <v/>
      </c>
      <c r="AA22" s="185" t="n">
        <v>0</v>
      </c>
      <c r="AB22" s="185" t="n">
        <v>0</v>
      </c>
      <c r="AC22" s="185" t="n">
        <v>0</v>
      </c>
      <c r="AD22" s="185" t="n">
        <v>0</v>
      </c>
      <c r="AE22" s="185" t="n">
        <v>0</v>
      </c>
      <c r="AF22" s="185" t="n">
        <v>0</v>
      </c>
      <c r="AG22" s="185" t="n">
        <v>2516.03</v>
      </c>
      <c r="AH22" s="185" t="n">
        <v>3567.52</v>
      </c>
      <c r="AI22" s="185" t="n">
        <v>3429.55</v>
      </c>
      <c r="AJ22" s="185" t="n">
        <v>4894.32</v>
      </c>
      <c r="AK22" s="185" t="n">
        <v>0</v>
      </c>
      <c r="AL22" s="186" t="n">
        <v>3886.72</v>
      </c>
      <c r="AM22" s="222" t="n">
        <v>4468.5</v>
      </c>
      <c r="AN22" s="187">
        <f>IF(L22=0,0,Z22/L22)</f>
        <v/>
      </c>
      <c r="AO22" s="57">
        <f>IF(AN22&gt;=1,"🟢",IF(AN22&gt;=0.7,"🟡",IF(AN22&gt;=0.4,"🟠","🔴")))</f>
        <v/>
      </c>
      <c r="AP22" s="185">
        <f>L22-Z22</f>
        <v/>
      </c>
      <c r="AQ22" s="55">
        <f>RANK(Z22,$Z$4:$Z$503,0)</f>
        <v/>
      </c>
      <c r="AR22" s="39" t="inlineStr">
        <is>
          <t>.</t>
        </is>
      </c>
      <c r="AS22" s="63" t="inlineStr">
        <is>
          <t>FEV</t>
        </is>
      </c>
      <c r="AT22" s="181" t="n">
        <v>348600</v>
      </c>
      <c r="AU22" s="181" t="n">
        <v>38004</v>
      </c>
      <c r="AV22" s="179" t="n">
        <v>0.1090189328743546</v>
      </c>
      <c r="AZ22" s="200" t="n"/>
      <c r="BA22" s="38" t="inlineStr">
        <is>
          <t>.</t>
        </is>
      </c>
      <c r="BB22" s="190">
        <f>SUM(BC22:BN22)</f>
        <v/>
      </c>
      <c r="BC22" s="191">
        <f>L22*0.0702730030</f>
        <v/>
      </c>
      <c r="BD22" s="191">
        <f>L22*0.0734327604</f>
        <v/>
      </c>
      <c r="BE22" s="191">
        <f>L22*0.0752022245</f>
        <v/>
      </c>
      <c r="BF22" s="191">
        <f>L22*0.0771612740</f>
        <v/>
      </c>
      <c r="BG22" s="191">
        <f>L22*0.0796890799</f>
        <v/>
      </c>
      <c r="BH22" s="191">
        <f>L22*0.0817745197</f>
        <v/>
      </c>
      <c r="BI22" s="191">
        <f>L22*0.0849342770</f>
        <v/>
      </c>
      <c r="BJ22" s="191">
        <f>L22*0.0870197169</f>
        <v/>
      </c>
      <c r="BK22" s="191">
        <f>L22*0.0889787664</f>
        <v/>
      </c>
      <c r="BL22" s="191">
        <f>L22*0.0911905966</f>
        <v/>
      </c>
      <c r="BM22" s="191">
        <f>L22*0.0935920121</f>
        <v/>
      </c>
      <c r="BN22" s="192">
        <f>L22*0.0967517695</f>
        <v/>
      </c>
      <c r="BO22" s="36" t="inlineStr">
        <is>
          <t>.</t>
        </is>
      </c>
      <c r="BP22" s="193">
        <f>SUM(BQ22:CB22)</f>
        <v/>
      </c>
      <c r="BQ22" s="191">
        <f>MAX(0,BC22-AA22)</f>
        <v/>
      </c>
      <c r="BR22" s="191">
        <f>MAX(0,BD22-AB22)</f>
        <v/>
      </c>
      <c r="BS22" s="191">
        <f>MAX(0,BE22-AC22)</f>
        <v/>
      </c>
      <c r="BT22" s="191">
        <f>MAX(0,BF22-AD22)</f>
        <v/>
      </c>
      <c r="BU22" s="191">
        <f>MAX(0,BG22-AE22)</f>
        <v/>
      </c>
      <c r="BV22" s="191">
        <f>MAX(0,BH22-AF22)</f>
        <v/>
      </c>
      <c r="BW22" s="191">
        <f>MAX(0,BI22-AG22)</f>
        <v/>
      </c>
      <c r="BX22" s="191">
        <f>MAX(0,BJ22-AH22)</f>
        <v/>
      </c>
      <c r="BY22" s="191">
        <f>MAX(0,BK22-AI22)</f>
        <v/>
      </c>
      <c r="BZ22" s="191">
        <f>MAX(0,BL22-AJ22)</f>
        <v/>
      </c>
      <c r="CA22" s="191">
        <f>MAX(0,BM22-AK22)</f>
        <v/>
      </c>
      <c r="CB22" s="192">
        <f>MAX(0,BN22-AL22)</f>
        <v/>
      </c>
    </row>
    <row r="23">
      <c r="A23" s="64" t="inlineStr">
        <is>
          <t>13495805000103</t>
        </is>
      </c>
      <c r="B23" s="57" t="inlineStr">
        <is>
          <t>E-LABORE COMERCIO DE PRODUTOS ALIMENTICI</t>
        </is>
      </c>
      <c r="C23" s="57" t="inlineStr">
        <is>
          <t>SEM GRUPO</t>
        </is>
      </c>
      <c r="D23" s="61" t="inlineStr">
        <is>
          <t>HEMANUELE DITZEL (MANU)</t>
        </is>
      </c>
      <c r="E23" s="30" t="inlineStr">
        <is>
          <t>.</t>
        </is>
      </c>
      <c r="F23" s="63" t="n"/>
      <c r="G23" s="179" t="n"/>
      <c r="H23" s="57" t="n"/>
      <c r="I23" s="57" t="n"/>
      <c r="J23" s="61" t="n"/>
      <c r="K23" s="30" t="inlineStr">
        <is>
          <t>.</t>
        </is>
      </c>
      <c r="L23" s="180" t="n">
        <v>37194.54</v>
      </c>
      <c r="M23" s="181" t="n">
        <v>2613.77</v>
      </c>
      <c r="N23" s="181" t="n">
        <v>2731.3</v>
      </c>
      <c r="O23" s="181" t="n">
        <v>2797.11</v>
      </c>
      <c r="P23" s="181" t="n">
        <v>2869.98</v>
      </c>
      <c r="Q23" s="181" t="n">
        <v>2964</v>
      </c>
      <c r="R23" s="181" t="n">
        <v>3041.57</v>
      </c>
      <c r="S23" s="181" t="n">
        <v>3159.09</v>
      </c>
      <c r="T23" s="181" t="n">
        <v>3236.66</v>
      </c>
      <c r="U23" s="181" t="n">
        <v>3309.52</v>
      </c>
      <c r="V23" s="181" t="n">
        <v>3391.79</v>
      </c>
      <c r="W23" s="181" t="n">
        <v>3481.11</v>
      </c>
      <c r="X23" s="182" t="n">
        <v>3598.64</v>
      </c>
      <c r="Y23" s="183" t="inlineStr">
        <is>
          <t>.</t>
        </is>
      </c>
      <c r="Z23" s="184">
        <f>SUM(AA23:AL23)</f>
        <v/>
      </c>
      <c r="AA23" s="185" t="n">
        <v>0</v>
      </c>
      <c r="AB23" s="185" t="n">
        <v>0</v>
      </c>
      <c r="AC23" s="185" t="n">
        <v>0</v>
      </c>
      <c r="AD23" s="185" t="n">
        <v>0</v>
      </c>
      <c r="AE23" s="185" t="n">
        <v>925.52</v>
      </c>
      <c r="AF23" s="185" t="n">
        <v>6441.46</v>
      </c>
      <c r="AG23" s="185" t="n">
        <v>0</v>
      </c>
      <c r="AH23" s="185" t="n">
        <v>7952.57</v>
      </c>
      <c r="AI23" s="185" t="n">
        <v>0</v>
      </c>
      <c r="AJ23" s="185" t="n">
        <v>0</v>
      </c>
      <c r="AK23" s="185" t="n">
        <v>0</v>
      </c>
      <c r="AL23" s="186" t="n">
        <v>0</v>
      </c>
      <c r="AM23" s="30" t="inlineStr">
        <is>
          <t>.</t>
        </is>
      </c>
      <c r="AN23" s="187">
        <f>IF(L23=0,0,Z23/L23)</f>
        <v/>
      </c>
      <c r="AO23" s="57">
        <f>IF(AN23&gt;=1,"🟢",IF(AN23&gt;=0.7,"🟡",IF(AN23&gt;=0.4,"🟠","🔴")))</f>
        <v/>
      </c>
      <c r="AP23" s="185">
        <f>L23-Z23</f>
        <v/>
      </c>
      <c r="AQ23" s="55">
        <f>RANK(Z23,$Z$4:$Z$503,0)</f>
        <v/>
      </c>
      <c r="AR23" s="39" t="inlineStr">
        <is>
          <t>.</t>
        </is>
      </c>
      <c r="AS23" s="63" t="inlineStr">
        <is>
          <t>MAR</t>
        </is>
      </c>
      <c r="AT23" s="181" t="n">
        <v>357000</v>
      </c>
      <c r="AU23" s="181" t="n">
        <v>113363</v>
      </c>
      <c r="AV23" s="179" t="n">
        <v>0.3175434173669468</v>
      </c>
      <c r="AZ23" s="200" t="n"/>
      <c r="BA23" s="38" t="inlineStr">
        <is>
          <t>.</t>
        </is>
      </c>
      <c r="BB23" s="190">
        <f>SUM(BC23:BN23)</f>
        <v/>
      </c>
      <c r="BC23" s="191">
        <f>L23*0.0702730030</f>
        <v/>
      </c>
      <c r="BD23" s="191">
        <f>L23*0.0734327604</f>
        <v/>
      </c>
      <c r="BE23" s="191">
        <f>L23*0.0752022245</f>
        <v/>
      </c>
      <c r="BF23" s="191">
        <f>L23*0.0771612740</f>
        <v/>
      </c>
      <c r="BG23" s="191">
        <f>L23*0.0796890799</f>
        <v/>
      </c>
      <c r="BH23" s="191">
        <f>L23*0.0817745197</f>
        <v/>
      </c>
      <c r="BI23" s="191">
        <f>L23*0.0849342770</f>
        <v/>
      </c>
      <c r="BJ23" s="191">
        <f>L23*0.0870197169</f>
        <v/>
      </c>
      <c r="BK23" s="191">
        <f>L23*0.0889787664</f>
        <v/>
      </c>
      <c r="BL23" s="191">
        <f>L23*0.0911905966</f>
        <v/>
      </c>
      <c r="BM23" s="191">
        <f>L23*0.0935920121</f>
        <v/>
      </c>
      <c r="BN23" s="192">
        <f>L23*0.0967517695</f>
        <v/>
      </c>
      <c r="BO23" s="36" t="inlineStr">
        <is>
          <t>.</t>
        </is>
      </c>
      <c r="BP23" s="193">
        <f>SUM(BQ23:CB23)</f>
        <v/>
      </c>
      <c r="BQ23" s="191">
        <f>MAX(0,BC23-AA23)</f>
        <v/>
      </c>
      <c r="BR23" s="191">
        <f>MAX(0,BD23-AB23)</f>
        <v/>
      </c>
      <c r="BS23" s="191">
        <f>MAX(0,BE23-AC23)</f>
        <v/>
      </c>
      <c r="BT23" s="191">
        <f>MAX(0,BF23-AD23)</f>
        <v/>
      </c>
      <c r="BU23" s="191">
        <f>MAX(0,BG23-AE23)</f>
        <v/>
      </c>
      <c r="BV23" s="191">
        <f>MAX(0,BH23-AF23)</f>
        <v/>
      </c>
      <c r="BW23" s="191">
        <f>MAX(0,BI23-AG23)</f>
        <v/>
      </c>
      <c r="BX23" s="191">
        <f>MAX(0,BJ23-AH23)</f>
        <v/>
      </c>
      <c r="BY23" s="191">
        <f>MAX(0,BK23-AI23)</f>
        <v/>
      </c>
      <c r="BZ23" s="191">
        <f>MAX(0,BL23-AJ23)</f>
        <v/>
      </c>
      <c r="CA23" s="191">
        <f>MAX(0,BM23-AK23)</f>
        <v/>
      </c>
      <c r="CB23" s="192">
        <f>MAX(0,BN23-AL23)</f>
        <v/>
      </c>
    </row>
    <row r="24">
      <c r="A24" s="64" t="inlineStr">
        <is>
          <t>35751273000152</t>
        </is>
      </c>
      <c r="B24" s="57" t="inlineStr">
        <is>
          <t>SR A GRANEL - PRODUTOS NATURAIS LTDA - E</t>
        </is>
      </c>
      <c r="C24" s="57" t="inlineStr">
        <is>
          <t>SEM GRUPO</t>
        </is>
      </c>
      <c r="D24" s="61" t="inlineStr">
        <is>
          <t>LARISSA PADILHA</t>
        </is>
      </c>
      <c r="E24" s="30" t="inlineStr">
        <is>
          <t>.</t>
        </is>
      </c>
      <c r="F24" s="63" t="n"/>
      <c r="G24" s="179" t="n"/>
      <c r="H24" s="57" t="n"/>
      <c r="I24" s="57" t="n"/>
      <c r="J24" s="61" t="n"/>
      <c r="K24" s="30" t="inlineStr">
        <is>
          <t>.</t>
        </is>
      </c>
      <c r="L24" s="180" t="n">
        <v>34853.91999999999</v>
      </c>
      <c r="M24" s="181" t="n">
        <v>2449.29</v>
      </c>
      <c r="N24" s="181" t="n">
        <v>2559.42</v>
      </c>
      <c r="O24" s="181" t="n">
        <v>2621.09</v>
      </c>
      <c r="P24" s="181" t="n">
        <v>2689.37</v>
      </c>
      <c r="Q24" s="181" t="n">
        <v>2777.48</v>
      </c>
      <c r="R24" s="181" t="n">
        <v>2850.16</v>
      </c>
      <c r="S24" s="181" t="n">
        <v>2960.29</v>
      </c>
      <c r="T24" s="181" t="n">
        <v>3032.98</v>
      </c>
      <c r="U24" s="181" t="n">
        <v>3101.26</v>
      </c>
      <c r="V24" s="181" t="n">
        <v>3178.35</v>
      </c>
      <c r="W24" s="181" t="n">
        <v>3262.05</v>
      </c>
      <c r="X24" s="182" t="n">
        <v>3372.18</v>
      </c>
      <c r="Y24" s="183" t="inlineStr">
        <is>
          <t>.</t>
        </is>
      </c>
      <c r="Z24" s="184">
        <f>SUM(AA24:AL24)</f>
        <v/>
      </c>
      <c r="AA24" s="185" t="n">
        <v>2317.58</v>
      </c>
      <c r="AB24" s="185" t="n">
        <v>0</v>
      </c>
      <c r="AC24" s="185" t="n">
        <v>0</v>
      </c>
      <c r="AD24" s="185" t="n">
        <v>3274.96</v>
      </c>
      <c r="AE24" s="185" t="n">
        <v>0</v>
      </c>
      <c r="AF24" s="185" t="n">
        <v>0</v>
      </c>
      <c r="AG24" s="185" t="n">
        <v>0</v>
      </c>
      <c r="AH24" s="185" t="n">
        <v>6062.29</v>
      </c>
      <c r="AI24" s="185" t="n">
        <v>0</v>
      </c>
      <c r="AJ24" s="185" t="n">
        <v>0</v>
      </c>
      <c r="AK24" s="185" t="n">
        <v>6455.36</v>
      </c>
      <c r="AL24" s="186" t="n">
        <v>0</v>
      </c>
      <c r="AM24" s="30" t="inlineStr">
        <is>
          <t>.</t>
        </is>
      </c>
      <c r="AN24" s="187">
        <f>IF(L24=0,0,Z24/L24)</f>
        <v/>
      </c>
      <c r="AO24" s="57">
        <f>IF(AN24&gt;=1,"🟢",IF(AN24&gt;=0.7,"🟡",IF(AN24&gt;=0.4,"🟠","🔴")))</f>
        <v/>
      </c>
      <c r="AP24" s="185">
        <f>L24-Z24</f>
        <v/>
      </c>
      <c r="AQ24" s="55">
        <f>RANK(Z24,$Z$4:$Z$503,0)</f>
        <v/>
      </c>
      <c r="AR24" s="39" t="inlineStr">
        <is>
          <t>.</t>
        </is>
      </c>
      <c r="AS24" s="63" t="inlineStr">
        <is>
          <t>ABR</t>
        </is>
      </c>
      <c r="AT24" s="181" t="n">
        <v>366300</v>
      </c>
      <c r="AU24" s="181" t="n">
        <v>17994</v>
      </c>
      <c r="AV24" s="179" t="n">
        <v>0.04912366912366913</v>
      </c>
      <c r="AZ24" s="200" t="n"/>
      <c r="BA24" s="38" t="inlineStr">
        <is>
          <t>.</t>
        </is>
      </c>
      <c r="BB24" s="190">
        <f>SUM(BC24:BN24)</f>
        <v/>
      </c>
      <c r="BC24" s="191">
        <f>L24*0.0702730030</f>
        <v/>
      </c>
      <c r="BD24" s="191">
        <f>L24*0.0734327604</f>
        <v/>
      </c>
      <c r="BE24" s="191">
        <f>L24*0.0752022245</f>
        <v/>
      </c>
      <c r="BF24" s="191">
        <f>L24*0.0771612740</f>
        <v/>
      </c>
      <c r="BG24" s="191">
        <f>L24*0.0796890799</f>
        <v/>
      </c>
      <c r="BH24" s="191">
        <f>L24*0.0817745197</f>
        <v/>
      </c>
      <c r="BI24" s="191">
        <f>L24*0.0849342770</f>
        <v/>
      </c>
      <c r="BJ24" s="191">
        <f>L24*0.0870197169</f>
        <v/>
      </c>
      <c r="BK24" s="191">
        <f>L24*0.0889787664</f>
        <v/>
      </c>
      <c r="BL24" s="191">
        <f>L24*0.0911905966</f>
        <v/>
      </c>
      <c r="BM24" s="191">
        <f>L24*0.0935920121</f>
        <v/>
      </c>
      <c r="BN24" s="192">
        <f>L24*0.0967517695</f>
        <v/>
      </c>
      <c r="BO24" s="36" t="inlineStr">
        <is>
          <t>.</t>
        </is>
      </c>
      <c r="BP24" s="193">
        <f>SUM(BQ24:CB24)</f>
        <v/>
      </c>
      <c r="BQ24" s="191">
        <f>MAX(0,BC24-AA24)</f>
        <v/>
      </c>
      <c r="BR24" s="191">
        <f>MAX(0,BD24-AB24)</f>
        <v/>
      </c>
      <c r="BS24" s="191">
        <f>MAX(0,BE24-AC24)</f>
        <v/>
      </c>
      <c r="BT24" s="191">
        <f>MAX(0,BF24-AD24)</f>
        <v/>
      </c>
      <c r="BU24" s="191">
        <f>MAX(0,BG24-AE24)</f>
        <v/>
      </c>
      <c r="BV24" s="191">
        <f>MAX(0,BH24-AF24)</f>
        <v/>
      </c>
      <c r="BW24" s="191">
        <f>MAX(0,BI24-AG24)</f>
        <v/>
      </c>
      <c r="BX24" s="191">
        <f>MAX(0,BJ24-AH24)</f>
        <v/>
      </c>
      <c r="BY24" s="191">
        <f>MAX(0,BK24-AI24)</f>
        <v/>
      </c>
      <c r="BZ24" s="191">
        <f>MAX(0,BL24-AJ24)</f>
        <v/>
      </c>
      <c r="CA24" s="191">
        <f>MAX(0,BM24-AK24)</f>
        <v/>
      </c>
      <c r="CB24" s="192">
        <f>MAX(0,BN24-AL24)</f>
        <v/>
      </c>
    </row>
    <row r="25">
      <c r="A25" s="64" t="inlineStr">
        <is>
          <t>24337192000194</t>
        </is>
      </c>
      <c r="B25" s="57" t="inlineStr">
        <is>
          <t>ATLAS BRASIL COMERCIALIZADORA DE ENERGIA</t>
        </is>
      </c>
      <c r="C25" s="57" t="inlineStr">
        <is>
          <t>SEM GRUPO</t>
        </is>
      </c>
      <c r="D25" s="61" t="inlineStr">
        <is>
          <t>LARISSA PADILHA</t>
        </is>
      </c>
      <c r="E25" s="30" t="inlineStr">
        <is>
          <t>.</t>
        </is>
      </c>
      <c r="F25" s="63" t="n"/>
      <c r="G25" s="179" t="n"/>
      <c r="H25" s="57" t="n"/>
      <c r="I25" s="57" t="n"/>
      <c r="J25" s="61" t="n"/>
      <c r="K25" s="30" t="inlineStr">
        <is>
          <t>.</t>
        </is>
      </c>
      <c r="L25" s="180" t="n">
        <v>33886.15</v>
      </c>
      <c r="M25" s="181" t="n">
        <v>2381.28</v>
      </c>
      <c r="N25" s="181" t="n">
        <v>2488.35</v>
      </c>
      <c r="O25" s="181" t="n">
        <v>2548.31</v>
      </c>
      <c r="P25" s="181" t="n">
        <v>2614.7</v>
      </c>
      <c r="Q25" s="181" t="n">
        <v>2700.36</v>
      </c>
      <c r="R25" s="181" t="n">
        <v>2771.02</v>
      </c>
      <c r="S25" s="181" t="n">
        <v>2878.1</v>
      </c>
      <c r="T25" s="181" t="n">
        <v>2948.76</v>
      </c>
      <c r="U25" s="181" t="n">
        <v>3015.15</v>
      </c>
      <c r="V25" s="181" t="n">
        <v>3090.1</v>
      </c>
      <c r="W25" s="181" t="n">
        <v>3171.47</v>
      </c>
      <c r="X25" s="182" t="n">
        <v>3278.55</v>
      </c>
      <c r="Y25" s="183" t="inlineStr">
        <is>
          <t>.</t>
        </is>
      </c>
      <c r="Z25" s="184">
        <f>SUM(AA25:AL25)</f>
        <v/>
      </c>
      <c r="AA25" s="185" t="n">
        <v>10226.4</v>
      </c>
      <c r="AB25" s="185" t="n">
        <v>0</v>
      </c>
      <c r="AC25" s="185" t="n">
        <v>4486.5</v>
      </c>
      <c r="AD25" s="185" t="n">
        <v>0</v>
      </c>
      <c r="AE25" s="185" t="n">
        <v>0</v>
      </c>
      <c r="AF25" s="185" t="n">
        <v>3505.19</v>
      </c>
      <c r="AG25" s="185" t="n">
        <v>0</v>
      </c>
      <c r="AH25" s="185" t="n">
        <v>0</v>
      </c>
      <c r="AI25" s="185" t="n">
        <v>0</v>
      </c>
      <c r="AJ25" s="185" t="n">
        <v>0</v>
      </c>
      <c r="AK25" s="185" t="n">
        <v>0</v>
      </c>
      <c r="AL25" s="186" t="n">
        <v>0</v>
      </c>
      <c r="AM25" s="30" t="inlineStr">
        <is>
          <t>.</t>
        </is>
      </c>
      <c r="AN25" s="187">
        <f>IF(L25=0,0,Z25/L25)</f>
        <v/>
      </c>
      <c r="AO25" s="57">
        <f>IF(AN25&gt;=1,"🟢",IF(AN25&gt;=0.7,"🟡",IF(AN25&gt;=0.4,"🟠","🔴")))</f>
        <v/>
      </c>
      <c r="AP25" s="185">
        <f>L25-Z25</f>
        <v/>
      </c>
      <c r="AQ25" s="55">
        <f>RANK(Z25,$Z$4:$Z$503,0)</f>
        <v/>
      </c>
      <c r="AR25" s="39" t="inlineStr">
        <is>
          <t>.</t>
        </is>
      </c>
      <c r="AS25" s="63" t="inlineStr">
        <is>
          <t>MAI</t>
        </is>
      </c>
      <c r="AT25" s="181" t="n">
        <v>378300</v>
      </c>
      <c r="AU25" s="181" t="n">
        <v>233485</v>
      </c>
      <c r="AV25" s="179" t="n">
        <v>0.6171953476077188</v>
      </c>
      <c r="AZ25" s="200" t="n"/>
      <c r="BA25" s="38" t="inlineStr">
        <is>
          <t>.</t>
        </is>
      </c>
      <c r="BB25" s="190">
        <f>SUM(BC25:BN25)</f>
        <v/>
      </c>
      <c r="BC25" s="191">
        <f>L25*0.0702730030</f>
        <v/>
      </c>
      <c r="BD25" s="191">
        <f>L25*0.0734327604</f>
        <v/>
      </c>
      <c r="BE25" s="191">
        <f>L25*0.0752022245</f>
        <v/>
      </c>
      <c r="BF25" s="191">
        <f>L25*0.0771612740</f>
        <v/>
      </c>
      <c r="BG25" s="191">
        <f>L25*0.0796890799</f>
        <v/>
      </c>
      <c r="BH25" s="191">
        <f>L25*0.0817745197</f>
        <v/>
      </c>
      <c r="BI25" s="191">
        <f>L25*0.0849342770</f>
        <v/>
      </c>
      <c r="BJ25" s="191">
        <f>L25*0.0870197169</f>
        <v/>
      </c>
      <c r="BK25" s="191">
        <f>L25*0.0889787664</f>
        <v/>
      </c>
      <c r="BL25" s="191">
        <f>L25*0.0911905966</f>
        <v/>
      </c>
      <c r="BM25" s="191">
        <f>L25*0.0935920121</f>
        <v/>
      </c>
      <c r="BN25" s="192">
        <f>L25*0.0967517695</f>
        <v/>
      </c>
      <c r="BO25" s="36" t="inlineStr">
        <is>
          <t>.</t>
        </is>
      </c>
      <c r="BP25" s="193">
        <f>SUM(BQ25:CB25)</f>
        <v/>
      </c>
      <c r="BQ25" s="191">
        <f>MAX(0,BC25-AA25)</f>
        <v/>
      </c>
      <c r="BR25" s="191">
        <f>MAX(0,BD25-AB25)</f>
        <v/>
      </c>
      <c r="BS25" s="191">
        <f>MAX(0,BE25-AC25)</f>
        <v/>
      </c>
      <c r="BT25" s="191">
        <f>MAX(0,BF25-AD25)</f>
        <v/>
      </c>
      <c r="BU25" s="191">
        <f>MAX(0,BG25-AE25)</f>
        <v/>
      </c>
      <c r="BV25" s="191">
        <f>MAX(0,BH25-AF25)</f>
        <v/>
      </c>
      <c r="BW25" s="191">
        <f>MAX(0,BI25-AG25)</f>
        <v/>
      </c>
      <c r="BX25" s="191">
        <f>MAX(0,BJ25-AH25)</f>
        <v/>
      </c>
      <c r="BY25" s="191">
        <f>MAX(0,BK25-AI25)</f>
        <v/>
      </c>
      <c r="BZ25" s="191">
        <f>MAX(0,BL25-AJ25)</f>
        <v/>
      </c>
      <c r="CA25" s="191">
        <f>MAX(0,BM25-AK25)</f>
        <v/>
      </c>
      <c r="CB25" s="192">
        <f>MAX(0,BN25-AL25)</f>
        <v/>
      </c>
    </row>
    <row r="26">
      <c r="A26" s="64" t="inlineStr">
        <is>
          <t>34060666000157</t>
        </is>
      </c>
      <c r="B26" s="57" t="inlineStr">
        <is>
          <t>WILSON DE REZENDE PENHA - ME</t>
        </is>
      </c>
      <c r="C26" s="57" t="inlineStr">
        <is>
          <t>SEM GRUPO</t>
        </is>
      </c>
      <c r="D26" s="61" t="inlineStr">
        <is>
          <t>LARISSA PADILHA</t>
        </is>
      </c>
      <c r="E26" s="30" t="inlineStr">
        <is>
          <t>.</t>
        </is>
      </c>
      <c r="F26" s="63" t="n"/>
      <c r="G26" s="179" t="n"/>
      <c r="H26" s="57" t="n"/>
      <c r="I26" s="57" t="n"/>
      <c r="J26" s="61" t="n"/>
      <c r="K26" s="30" t="inlineStr">
        <is>
          <t>.</t>
        </is>
      </c>
      <c r="L26" s="180" t="n">
        <v>33248.35</v>
      </c>
      <c r="M26" s="181" t="n">
        <v>2336.46</v>
      </c>
      <c r="N26" s="181" t="n">
        <v>2441.52</v>
      </c>
      <c r="O26" s="181" t="n">
        <v>2500.35</v>
      </c>
      <c r="P26" s="181" t="n">
        <v>2565.48</v>
      </c>
      <c r="Q26" s="181" t="n">
        <v>2649.53</v>
      </c>
      <c r="R26" s="181" t="n">
        <v>2718.87</v>
      </c>
      <c r="S26" s="181" t="n">
        <v>2823.92</v>
      </c>
      <c r="T26" s="181" t="n">
        <v>2893.26</v>
      </c>
      <c r="U26" s="181" t="n">
        <v>2958.4</v>
      </c>
      <c r="V26" s="181" t="n">
        <v>3031.94</v>
      </c>
      <c r="W26" s="181" t="n">
        <v>3111.78</v>
      </c>
      <c r="X26" s="182" t="n">
        <v>3216.84</v>
      </c>
      <c r="Y26" s="183" t="inlineStr">
        <is>
          <t>.</t>
        </is>
      </c>
      <c r="Z26" s="184">
        <f>SUM(AA26:AL26)</f>
        <v/>
      </c>
      <c r="AA26" s="185" t="n">
        <v>0</v>
      </c>
      <c r="AB26" s="185" t="n">
        <v>0</v>
      </c>
      <c r="AC26" s="185" t="n">
        <v>0</v>
      </c>
      <c r="AD26" s="185" t="n">
        <v>0</v>
      </c>
      <c r="AE26" s="185" t="n">
        <v>0</v>
      </c>
      <c r="AF26" s="185" t="n">
        <v>689.02</v>
      </c>
      <c r="AG26" s="185" t="n">
        <v>4230.07</v>
      </c>
      <c r="AH26" s="185" t="n">
        <v>1087.61</v>
      </c>
      <c r="AI26" s="185" t="n">
        <v>2894.75</v>
      </c>
      <c r="AJ26" s="185" t="n">
        <v>0</v>
      </c>
      <c r="AK26" s="185" t="n">
        <v>5703.6</v>
      </c>
      <c r="AL26" s="186" t="n">
        <v>0</v>
      </c>
      <c r="AM26" s="222" t="n">
        <v>1012.88</v>
      </c>
      <c r="AN26" s="187">
        <f>IF(L26=0,0,Z26/L26)</f>
        <v/>
      </c>
      <c r="AO26" s="57">
        <f>IF(AN26&gt;=1,"🟢",IF(AN26&gt;=0.7,"🟡",IF(AN26&gt;=0.4,"🟠","🔴")))</f>
        <v/>
      </c>
      <c r="AP26" s="185">
        <f>L26-Z26</f>
        <v/>
      </c>
      <c r="AQ26" s="55">
        <f>RANK(Z26,$Z$4:$Z$503,0)</f>
        <v/>
      </c>
      <c r="AR26" s="39" t="inlineStr">
        <is>
          <t>.</t>
        </is>
      </c>
      <c r="AS26" s="63" t="inlineStr">
        <is>
          <t>JUN</t>
        </is>
      </c>
      <c r="AT26" s="181" t="n">
        <v>388200</v>
      </c>
      <c r="AU26" s="181" t="n">
        <v>223750</v>
      </c>
      <c r="AV26" s="179" t="n">
        <v>0.5763781555899021</v>
      </c>
      <c r="AZ26" s="200" t="n"/>
      <c r="BA26" s="38" t="inlineStr">
        <is>
          <t>.</t>
        </is>
      </c>
      <c r="BB26" s="190">
        <f>SUM(BC26:BN26)</f>
        <v/>
      </c>
      <c r="BC26" s="191">
        <f>L26*0.0702730030</f>
        <v/>
      </c>
      <c r="BD26" s="191">
        <f>L26*0.0734327604</f>
        <v/>
      </c>
      <c r="BE26" s="191">
        <f>L26*0.0752022245</f>
        <v/>
      </c>
      <c r="BF26" s="191">
        <f>L26*0.0771612740</f>
        <v/>
      </c>
      <c r="BG26" s="191">
        <f>L26*0.0796890799</f>
        <v/>
      </c>
      <c r="BH26" s="191">
        <f>L26*0.0817745197</f>
        <v/>
      </c>
      <c r="BI26" s="191">
        <f>L26*0.0849342770</f>
        <v/>
      </c>
      <c r="BJ26" s="191">
        <f>L26*0.0870197169</f>
        <v/>
      </c>
      <c r="BK26" s="191">
        <f>L26*0.0889787664</f>
        <v/>
      </c>
      <c r="BL26" s="191">
        <f>L26*0.0911905966</f>
        <v/>
      </c>
      <c r="BM26" s="191">
        <f>L26*0.0935920121</f>
        <v/>
      </c>
      <c r="BN26" s="192">
        <f>L26*0.0967517695</f>
        <v/>
      </c>
      <c r="BO26" s="36" t="inlineStr">
        <is>
          <t>.</t>
        </is>
      </c>
      <c r="BP26" s="193">
        <f>SUM(BQ26:CB26)</f>
        <v/>
      </c>
      <c r="BQ26" s="191">
        <f>MAX(0,BC26-AA26)</f>
        <v/>
      </c>
      <c r="BR26" s="191">
        <f>MAX(0,BD26-AB26)</f>
        <v/>
      </c>
      <c r="BS26" s="191">
        <f>MAX(0,BE26-AC26)</f>
        <v/>
      </c>
      <c r="BT26" s="191">
        <f>MAX(0,BF26-AD26)</f>
        <v/>
      </c>
      <c r="BU26" s="191">
        <f>MAX(0,BG26-AE26)</f>
        <v/>
      </c>
      <c r="BV26" s="191">
        <f>MAX(0,BH26-AF26)</f>
        <v/>
      </c>
      <c r="BW26" s="191">
        <f>MAX(0,BI26-AG26)</f>
        <v/>
      </c>
      <c r="BX26" s="191">
        <f>MAX(0,BJ26-AH26)</f>
        <v/>
      </c>
      <c r="BY26" s="191">
        <f>MAX(0,BK26-AI26)</f>
        <v/>
      </c>
      <c r="BZ26" s="191">
        <f>MAX(0,BL26-AJ26)</f>
        <v/>
      </c>
      <c r="CA26" s="191">
        <f>MAX(0,BM26-AK26)</f>
        <v/>
      </c>
      <c r="CB26" s="192">
        <f>MAX(0,BN26-AL26)</f>
        <v/>
      </c>
    </row>
    <row r="27">
      <c r="A27" s="64" t="inlineStr">
        <is>
          <t>45161877000100</t>
        </is>
      </c>
      <c r="B27" s="57" t="inlineStr">
        <is>
          <t>JANAINA GREICE VANDERLINDE - ME</t>
        </is>
      </c>
      <c r="C27" s="57" t="inlineStr">
        <is>
          <t>CIA DA SAUDE</t>
        </is>
      </c>
      <c r="D27" s="61" t="inlineStr">
        <is>
          <t>JULIO GADRET</t>
        </is>
      </c>
      <c r="E27" s="30" t="inlineStr">
        <is>
          <t>.</t>
        </is>
      </c>
      <c r="F27" s="63" t="n">
        <v>163</v>
      </c>
      <c r="G27" s="179" t="n">
        <v>0.026</v>
      </c>
      <c r="H27" s="57" t="inlineStr">
        <is>
          <t>🔴 VERMELHO</t>
        </is>
      </c>
      <c r="I27" s="57" t="inlineStr">
        <is>
          <t>ATIVAÇÃO</t>
        </is>
      </c>
      <c r="J27" s="61" t="inlineStr">
        <is>
          <t>Reativar inativos + Prospectar</t>
        </is>
      </c>
      <c r="K27" s="30" t="inlineStr">
        <is>
          <t>.</t>
        </is>
      </c>
      <c r="L27" s="180" t="n">
        <v>33031.62</v>
      </c>
      <c r="M27" s="181" t="n">
        <v>2321.23</v>
      </c>
      <c r="N27" s="181" t="n">
        <v>2425.6</v>
      </c>
      <c r="O27" s="181" t="n">
        <v>2484.05</v>
      </c>
      <c r="P27" s="181" t="n">
        <v>2548.76</v>
      </c>
      <c r="Q27" s="181" t="n">
        <v>2632.26</v>
      </c>
      <c r="R27" s="181" t="n">
        <v>2701.15</v>
      </c>
      <c r="S27" s="181" t="n">
        <v>2805.52</v>
      </c>
      <c r="T27" s="181" t="n">
        <v>2874.4</v>
      </c>
      <c r="U27" s="181" t="n">
        <v>2939.11</v>
      </c>
      <c r="V27" s="181" t="n">
        <v>3012.17</v>
      </c>
      <c r="W27" s="181" t="n">
        <v>3091.5</v>
      </c>
      <c r="X27" s="182" t="n">
        <v>3195.87</v>
      </c>
      <c r="Y27" s="183" t="inlineStr">
        <is>
          <t>.</t>
        </is>
      </c>
      <c r="Z27" s="184">
        <f>SUM(AA27:AL27)</f>
        <v/>
      </c>
      <c r="AA27" s="185" t="n">
        <v>2516.18</v>
      </c>
      <c r="AB27" s="185" t="n">
        <v>0</v>
      </c>
      <c r="AC27" s="185" t="n">
        <v>0</v>
      </c>
      <c r="AD27" s="185" t="n">
        <v>4006.23</v>
      </c>
      <c r="AE27" s="185" t="n">
        <v>0</v>
      </c>
      <c r="AF27" s="185" t="n">
        <v>898.72</v>
      </c>
      <c r="AG27" s="185" t="n">
        <v>8171.82</v>
      </c>
      <c r="AH27" s="185" t="n">
        <v>0</v>
      </c>
      <c r="AI27" s="185" t="n">
        <v>0</v>
      </c>
      <c r="AJ27" s="185" t="n">
        <v>0</v>
      </c>
      <c r="AK27" s="185" t="n">
        <v>0</v>
      </c>
      <c r="AL27" s="186" t="n">
        <v>0</v>
      </c>
      <c r="AM27" s="30" t="inlineStr">
        <is>
          <t>.</t>
        </is>
      </c>
      <c r="AN27" s="187">
        <f>IF(L27=0,0,Z27/L27)</f>
        <v/>
      </c>
      <c r="AO27" s="57">
        <f>IF(AN27&gt;=1,"🟢",IF(AN27&gt;=0.7,"🟡",IF(AN27&gt;=0.4,"🟠","🔴")))</f>
        <v/>
      </c>
      <c r="AP27" s="185">
        <f>L27-Z27</f>
        <v/>
      </c>
      <c r="AQ27" s="55">
        <f>RANK(Z27,$Z$4:$Z$503,0)</f>
        <v/>
      </c>
      <c r="AR27" s="39" t="inlineStr">
        <is>
          <t>.</t>
        </is>
      </c>
      <c r="AS27" s="63" t="inlineStr">
        <is>
          <t>JUL</t>
        </is>
      </c>
      <c r="AT27" s="181" t="n">
        <v>403200</v>
      </c>
      <c r="AU27" s="181" t="n">
        <v>161139</v>
      </c>
      <c r="AV27" s="179" t="n">
        <v>0.3996502976190476</v>
      </c>
      <c r="AZ27" s="200" t="n"/>
      <c r="BA27" s="38" t="inlineStr">
        <is>
          <t>.</t>
        </is>
      </c>
      <c r="BB27" s="190">
        <f>SUM(BC27:BN27)</f>
        <v/>
      </c>
      <c r="BC27" s="191">
        <f>L27*0.0702730030</f>
        <v/>
      </c>
      <c r="BD27" s="191">
        <f>L27*0.0734327604</f>
        <v/>
      </c>
      <c r="BE27" s="191">
        <f>L27*0.0752022245</f>
        <v/>
      </c>
      <c r="BF27" s="191">
        <f>L27*0.0771612740</f>
        <v/>
      </c>
      <c r="BG27" s="191">
        <f>L27*0.0796890799</f>
        <v/>
      </c>
      <c r="BH27" s="191">
        <f>L27*0.0817745197</f>
        <v/>
      </c>
      <c r="BI27" s="191">
        <f>L27*0.0849342770</f>
        <v/>
      </c>
      <c r="BJ27" s="191">
        <f>L27*0.0870197169</f>
        <v/>
      </c>
      <c r="BK27" s="191">
        <f>L27*0.0889787664</f>
        <v/>
      </c>
      <c r="BL27" s="191">
        <f>L27*0.0911905966</f>
        <v/>
      </c>
      <c r="BM27" s="191">
        <f>L27*0.0935920121</f>
        <v/>
      </c>
      <c r="BN27" s="192">
        <f>L27*0.0967517695</f>
        <v/>
      </c>
      <c r="BO27" s="36" t="inlineStr">
        <is>
          <t>.</t>
        </is>
      </c>
      <c r="BP27" s="193">
        <f>SUM(BQ27:CB27)</f>
        <v/>
      </c>
      <c r="BQ27" s="191">
        <f>MAX(0,BC27-AA27)</f>
        <v/>
      </c>
      <c r="BR27" s="191">
        <f>MAX(0,BD27-AB27)</f>
        <v/>
      </c>
      <c r="BS27" s="191">
        <f>MAX(0,BE27-AC27)</f>
        <v/>
      </c>
      <c r="BT27" s="191">
        <f>MAX(0,BF27-AD27)</f>
        <v/>
      </c>
      <c r="BU27" s="191">
        <f>MAX(0,BG27-AE27)</f>
        <v/>
      </c>
      <c r="BV27" s="191">
        <f>MAX(0,BH27-AF27)</f>
        <v/>
      </c>
      <c r="BW27" s="191">
        <f>MAX(0,BI27-AG27)</f>
        <v/>
      </c>
      <c r="BX27" s="191">
        <f>MAX(0,BJ27-AH27)</f>
        <v/>
      </c>
      <c r="BY27" s="191">
        <f>MAX(0,BK27-AI27)</f>
        <v/>
      </c>
      <c r="BZ27" s="191">
        <f>MAX(0,BL27-AJ27)</f>
        <v/>
      </c>
      <c r="CA27" s="191">
        <f>MAX(0,BM27-AK27)</f>
        <v/>
      </c>
      <c r="CB27" s="192">
        <f>MAX(0,BN27-AL27)</f>
        <v/>
      </c>
    </row>
    <row r="28">
      <c r="A28" s="64" t="inlineStr">
        <is>
          <t>46814160000175</t>
        </is>
      </c>
      <c r="B28" s="57" t="inlineStr">
        <is>
          <t>NATURE COMERCIO E DISTRIBUICAO - ME</t>
        </is>
      </c>
      <c r="C28" s="57" t="inlineStr">
        <is>
          <t>SEM GRUPO</t>
        </is>
      </c>
      <c r="D28" s="61" t="inlineStr">
        <is>
          <t>LARISSA PADILHA</t>
        </is>
      </c>
      <c r="E28" s="30" t="inlineStr">
        <is>
          <t>.</t>
        </is>
      </c>
      <c r="F28" s="63" t="n"/>
      <c r="G28" s="179" t="n"/>
      <c r="H28" s="57" t="n"/>
      <c r="I28" s="57" t="n"/>
      <c r="J28" s="61" t="n"/>
      <c r="K28" s="30" t="inlineStr">
        <is>
          <t>.</t>
        </is>
      </c>
      <c r="L28" s="180" t="n">
        <v>32055.28</v>
      </c>
      <c r="M28" s="181" t="n">
        <v>2252.62</v>
      </c>
      <c r="N28" s="181" t="n">
        <v>2353.91</v>
      </c>
      <c r="O28" s="181" t="n">
        <v>2410.63</v>
      </c>
      <c r="P28" s="181" t="n">
        <v>2473.43</v>
      </c>
      <c r="Q28" s="181" t="n">
        <v>2554.46</v>
      </c>
      <c r="R28" s="181" t="n">
        <v>2621.3</v>
      </c>
      <c r="S28" s="181" t="n">
        <v>2722.59</v>
      </c>
      <c r="T28" s="181" t="n">
        <v>2789.44</v>
      </c>
      <c r="U28" s="181" t="n">
        <v>2852.24</v>
      </c>
      <c r="V28" s="181" t="n">
        <v>2923.14</v>
      </c>
      <c r="W28" s="181" t="n">
        <v>3000.12</v>
      </c>
      <c r="X28" s="182" t="n">
        <v>3101.4</v>
      </c>
      <c r="Y28" s="183" t="inlineStr">
        <is>
          <t>.</t>
        </is>
      </c>
      <c r="Z28" s="184">
        <f>SUM(AA28:AL28)</f>
        <v/>
      </c>
      <c r="AA28" s="185" t="n">
        <v>0</v>
      </c>
      <c r="AB28" s="185" t="n">
        <v>0</v>
      </c>
      <c r="AC28" s="185" t="n">
        <v>5709.4</v>
      </c>
      <c r="AD28" s="185" t="n">
        <v>0</v>
      </c>
      <c r="AE28" s="185" t="n">
        <v>0</v>
      </c>
      <c r="AF28" s="185" t="n">
        <v>0</v>
      </c>
      <c r="AG28" s="185" t="n">
        <v>8897.4</v>
      </c>
      <c r="AH28" s="185" t="n">
        <v>0</v>
      </c>
      <c r="AI28" s="185" t="n">
        <v>0</v>
      </c>
      <c r="AJ28" s="185" t="n">
        <v>0</v>
      </c>
      <c r="AK28" s="185" t="n">
        <v>0</v>
      </c>
      <c r="AL28" s="186" t="n">
        <v>0</v>
      </c>
      <c r="AM28" s="30" t="inlineStr">
        <is>
          <t>.</t>
        </is>
      </c>
      <c r="AN28" s="187">
        <f>IF(L28=0,0,Z28/L28)</f>
        <v/>
      </c>
      <c r="AO28" s="57">
        <f>IF(AN28&gt;=1,"🟢",IF(AN28&gt;=0.7,"🟡",IF(AN28&gt;=0.4,"🟠","🔴")))</f>
        <v/>
      </c>
      <c r="AP28" s="185">
        <f>L28-Z28</f>
        <v/>
      </c>
      <c r="AQ28" s="55">
        <f>RANK(Z28,$Z$4:$Z$503,0)</f>
        <v/>
      </c>
      <c r="AR28" s="39" t="inlineStr">
        <is>
          <t>.</t>
        </is>
      </c>
      <c r="AS28" s="63" t="inlineStr">
        <is>
          <t>AGO</t>
        </is>
      </c>
      <c r="AT28" s="181" t="n">
        <v>413100</v>
      </c>
      <c r="AU28" s="181" t="n">
        <v>220074</v>
      </c>
      <c r="AV28" s="179" t="n">
        <v>0.5327378358750908</v>
      </c>
      <c r="AZ28" s="200" t="n"/>
      <c r="BA28" s="38" t="inlineStr">
        <is>
          <t>.</t>
        </is>
      </c>
      <c r="BB28" s="190">
        <f>SUM(BC28:BN28)</f>
        <v/>
      </c>
      <c r="BC28" s="191">
        <f>L28*0.0702730030</f>
        <v/>
      </c>
      <c r="BD28" s="191">
        <f>L28*0.0734327604</f>
        <v/>
      </c>
      <c r="BE28" s="191">
        <f>L28*0.0752022245</f>
        <v/>
      </c>
      <c r="BF28" s="191">
        <f>L28*0.0771612740</f>
        <v/>
      </c>
      <c r="BG28" s="191">
        <f>L28*0.0796890799</f>
        <v/>
      </c>
      <c r="BH28" s="191">
        <f>L28*0.0817745197</f>
        <v/>
      </c>
      <c r="BI28" s="191">
        <f>L28*0.0849342770</f>
        <v/>
      </c>
      <c r="BJ28" s="191">
        <f>L28*0.0870197169</f>
        <v/>
      </c>
      <c r="BK28" s="191">
        <f>L28*0.0889787664</f>
        <v/>
      </c>
      <c r="BL28" s="191">
        <f>L28*0.0911905966</f>
        <v/>
      </c>
      <c r="BM28" s="191">
        <f>L28*0.0935920121</f>
        <v/>
      </c>
      <c r="BN28" s="192">
        <f>L28*0.0967517695</f>
        <v/>
      </c>
      <c r="BO28" s="36" t="inlineStr">
        <is>
          <t>.</t>
        </is>
      </c>
      <c r="BP28" s="193">
        <f>SUM(BQ28:CB28)</f>
        <v/>
      </c>
      <c r="BQ28" s="191">
        <f>MAX(0,BC28-AA28)</f>
        <v/>
      </c>
      <c r="BR28" s="191">
        <f>MAX(0,BD28-AB28)</f>
        <v/>
      </c>
      <c r="BS28" s="191">
        <f>MAX(0,BE28-AC28)</f>
        <v/>
      </c>
      <c r="BT28" s="191">
        <f>MAX(0,BF28-AD28)</f>
        <v/>
      </c>
      <c r="BU28" s="191">
        <f>MAX(0,BG28-AE28)</f>
        <v/>
      </c>
      <c r="BV28" s="191">
        <f>MAX(0,BH28-AF28)</f>
        <v/>
      </c>
      <c r="BW28" s="191">
        <f>MAX(0,BI28-AG28)</f>
        <v/>
      </c>
      <c r="BX28" s="191">
        <f>MAX(0,BJ28-AH28)</f>
        <v/>
      </c>
      <c r="BY28" s="191">
        <f>MAX(0,BK28-AI28)</f>
        <v/>
      </c>
      <c r="BZ28" s="191">
        <f>MAX(0,BL28-AJ28)</f>
        <v/>
      </c>
      <c r="CA28" s="191">
        <f>MAX(0,BM28-AK28)</f>
        <v/>
      </c>
      <c r="CB28" s="192">
        <f>MAX(0,BN28-AL28)</f>
        <v/>
      </c>
    </row>
    <row r="29">
      <c r="A29" s="64" t="inlineStr">
        <is>
          <t>60502242000105</t>
        </is>
      </c>
      <c r="B29" s="57" t="inlineStr">
        <is>
          <t>ASSOCIACAO DE PAIS E AMIGOS DOSEXCEPCION</t>
        </is>
      </c>
      <c r="C29" s="57" t="inlineStr">
        <is>
          <t>SEM GRUPO</t>
        </is>
      </c>
      <c r="D29" s="61" t="inlineStr">
        <is>
          <t>LARISSA PADILHA</t>
        </is>
      </c>
      <c r="E29" s="30" t="inlineStr">
        <is>
          <t>.</t>
        </is>
      </c>
      <c r="F29" s="63" t="n"/>
      <c r="G29" s="179" t="n"/>
      <c r="H29" s="57" t="n"/>
      <c r="I29" s="57" t="n"/>
      <c r="J29" s="61" t="n"/>
      <c r="K29" s="30" t="inlineStr">
        <is>
          <t>.</t>
        </is>
      </c>
      <c r="L29" s="180" t="n">
        <v>31371.3</v>
      </c>
      <c r="M29" s="181" t="n">
        <v>2204.56</v>
      </c>
      <c r="N29" s="181" t="n">
        <v>2303.68</v>
      </c>
      <c r="O29" s="181" t="n">
        <v>2359.19</v>
      </c>
      <c r="P29" s="181" t="n">
        <v>2420.65</v>
      </c>
      <c r="Q29" s="181" t="n">
        <v>2499.95</v>
      </c>
      <c r="R29" s="181" t="n">
        <v>2565.37</v>
      </c>
      <c r="S29" s="181" t="n">
        <v>2664.5</v>
      </c>
      <c r="T29" s="181" t="n">
        <v>2729.92</v>
      </c>
      <c r="U29" s="181" t="n">
        <v>2791.38</v>
      </c>
      <c r="V29" s="181" t="n">
        <v>2860.77</v>
      </c>
      <c r="W29" s="181" t="n">
        <v>2936.1</v>
      </c>
      <c r="X29" s="182" t="n">
        <v>3035.23</v>
      </c>
      <c r="Y29" s="183" t="inlineStr">
        <is>
          <t>.</t>
        </is>
      </c>
      <c r="Z29" s="184">
        <f>SUM(AA29:AL29)</f>
        <v/>
      </c>
      <c r="AA29" s="185" t="n">
        <v>5103.37</v>
      </c>
      <c r="AB29" s="185" t="n">
        <v>0</v>
      </c>
      <c r="AC29" s="185" t="n">
        <v>1097.53</v>
      </c>
      <c r="AD29" s="185" t="n">
        <v>0</v>
      </c>
      <c r="AE29" s="185" t="n">
        <v>1749.47</v>
      </c>
      <c r="AF29" s="185" t="n">
        <v>0</v>
      </c>
      <c r="AG29" s="185" t="n">
        <v>0</v>
      </c>
      <c r="AH29" s="185" t="n">
        <v>2137.5</v>
      </c>
      <c r="AI29" s="185" t="n">
        <v>0</v>
      </c>
      <c r="AJ29" s="185" t="n">
        <v>1697.45</v>
      </c>
      <c r="AK29" s="185" t="n">
        <v>3660.91</v>
      </c>
      <c r="AL29" s="186" t="n">
        <v>1095.93</v>
      </c>
      <c r="AM29" s="30" t="inlineStr">
        <is>
          <t>.</t>
        </is>
      </c>
      <c r="AN29" s="187">
        <f>IF(L29=0,0,Z29/L29)</f>
        <v/>
      </c>
      <c r="AO29" s="57">
        <f>IF(AN29&gt;=1,"🟢",IF(AN29&gt;=0.7,"🟡",IF(AN29&gt;=0.4,"🟠","🔴")))</f>
        <v/>
      </c>
      <c r="AP29" s="185">
        <f>L29-Z29</f>
        <v/>
      </c>
      <c r="AQ29" s="55">
        <f>RANK(Z29,$Z$4:$Z$503,0)</f>
        <v/>
      </c>
      <c r="AR29" s="39" t="inlineStr">
        <is>
          <t>.</t>
        </is>
      </c>
      <c r="AS29" s="63" t="inlineStr">
        <is>
          <t>SET</t>
        </is>
      </c>
      <c r="AT29" s="181" t="n">
        <v>422400</v>
      </c>
      <c r="AU29" s="181" t="n">
        <v>202758</v>
      </c>
      <c r="AV29" s="179" t="n">
        <v>0.4800142045454546</v>
      </c>
      <c r="AZ29" s="200" t="n"/>
      <c r="BA29" s="38" t="inlineStr">
        <is>
          <t>.</t>
        </is>
      </c>
      <c r="BB29" s="190">
        <f>SUM(BC29:BN29)</f>
        <v/>
      </c>
      <c r="BC29" s="191">
        <f>L29*0.0702730030</f>
        <v/>
      </c>
      <c r="BD29" s="191">
        <f>L29*0.0734327604</f>
        <v/>
      </c>
      <c r="BE29" s="191">
        <f>L29*0.0752022245</f>
        <v/>
      </c>
      <c r="BF29" s="191">
        <f>L29*0.0771612740</f>
        <v/>
      </c>
      <c r="BG29" s="191">
        <f>L29*0.0796890799</f>
        <v/>
      </c>
      <c r="BH29" s="191">
        <f>L29*0.0817745197</f>
        <v/>
      </c>
      <c r="BI29" s="191">
        <f>L29*0.0849342770</f>
        <v/>
      </c>
      <c r="BJ29" s="191">
        <f>L29*0.0870197169</f>
        <v/>
      </c>
      <c r="BK29" s="191">
        <f>L29*0.0889787664</f>
        <v/>
      </c>
      <c r="BL29" s="191">
        <f>L29*0.0911905966</f>
        <v/>
      </c>
      <c r="BM29" s="191">
        <f>L29*0.0935920121</f>
        <v/>
      </c>
      <c r="BN29" s="192">
        <f>L29*0.0967517695</f>
        <v/>
      </c>
      <c r="BO29" s="36" t="inlineStr">
        <is>
          <t>.</t>
        </is>
      </c>
      <c r="BP29" s="193">
        <f>SUM(BQ29:CB29)</f>
        <v/>
      </c>
      <c r="BQ29" s="191">
        <f>MAX(0,BC29-AA29)</f>
        <v/>
      </c>
      <c r="BR29" s="191">
        <f>MAX(0,BD29-AB29)</f>
        <v/>
      </c>
      <c r="BS29" s="191">
        <f>MAX(0,BE29-AC29)</f>
        <v/>
      </c>
      <c r="BT29" s="191">
        <f>MAX(0,BF29-AD29)</f>
        <v/>
      </c>
      <c r="BU29" s="191">
        <f>MAX(0,BG29-AE29)</f>
        <v/>
      </c>
      <c r="BV29" s="191">
        <f>MAX(0,BH29-AF29)</f>
        <v/>
      </c>
      <c r="BW29" s="191">
        <f>MAX(0,BI29-AG29)</f>
        <v/>
      </c>
      <c r="BX29" s="191">
        <f>MAX(0,BJ29-AH29)</f>
        <v/>
      </c>
      <c r="BY29" s="191">
        <f>MAX(0,BK29-AI29)</f>
        <v/>
      </c>
      <c r="BZ29" s="191">
        <f>MAX(0,BL29-AJ29)</f>
        <v/>
      </c>
      <c r="CA29" s="191">
        <f>MAX(0,BM29-AK29)</f>
        <v/>
      </c>
      <c r="CB29" s="192">
        <f>MAX(0,BN29-AL29)</f>
        <v/>
      </c>
    </row>
    <row r="30">
      <c r="A30" s="64" t="inlineStr">
        <is>
          <t>09185428000473</t>
        </is>
      </c>
      <c r="B30" s="57" t="inlineStr">
        <is>
          <t>NATURVIDA MERCADO SAUDAVEL LTDA - ME</t>
        </is>
      </c>
      <c r="C30" s="57" t="inlineStr">
        <is>
          <t>NATURVIDA</t>
        </is>
      </c>
      <c r="D30" s="61" t="inlineStr">
        <is>
          <t>HEMANUELE DITZEL (MANU)</t>
        </is>
      </c>
      <c r="E30" s="30" t="inlineStr">
        <is>
          <t>.</t>
        </is>
      </c>
      <c r="F30" s="63" t="n"/>
      <c r="G30" s="179" t="n"/>
      <c r="H30" s="57" t="n"/>
      <c r="I30" s="57" t="n"/>
      <c r="J30" s="61" t="n"/>
      <c r="K30" s="30" t="inlineStr">
        <is>
          <t>.</t>
        </is>
      </c>
      <c r="L30" s="180" t="n">
        <v>30766.47</v>
      </c>
      <c r="M30" s="181" t="n">
        <v>2162.05</v>
      </c>
      <c r="N30" s="181" t="n">
        <v>2259.27</v>
      </c>
      <c r="O30" s="181" t="n">
        <v>2313.71</v>
      </c>
      <c r="P30" s="181" t="n">
        <v>2373.98</v>
      </c>
      <c r="Q30" s="181" t="n">
        <v>2451.75</v>
      </c>
      <c r="R30" s="181" t="n">
        <v>2515.91</v>
      </c>
      <c r="S30" s="181" t="n">
        <v>2613.13</v>
      </c>
      <c r="T30" s="181" t="n">
        <v>2677.29</v>
      </c>
      <c r="U30" s="181" t="n">
        <v>2737.56</v>
      </c>
      <c r="V30" s="181" t="n">
        <v>2805.61</v>
      </c>
      <c r="W30" s="181" t="n">
        <v>2879.5</v>
      </c>
      <c r="X30" s="182" t="n">
        <v>2976.71</v>
      </c>
      <c r="Y30" s="183" t="inlineStr">
        <is>
          <t>.</t>
        </is>
      </c>
      <c r="Z30" s="184">
        <f>SUM(AA30:AL30)</f>
        <v/>
      </c>
      <c r="AA30" s="185" t="n">
        <v>0</v>
      </c>
      <c r="AB30" s="185" t="n">
        <v>0</v>
      </c>
      <c r="AC30" s="185" t="n">
        <v>0</v>
      </c>
      <c r="AD30" s="185" t="n">
        <v>0</v>
      </c>
      <c r="AE30" s="185" t="n">
        <v>0</v>
      </c>
      <c r="AF30" s="185" t="n">
        <v>1131.92</v>
      </c>
      <c r="AG30" s="185" t="n">
        <v>0</v>
      </c>
      <c r="AH30" s="185" t="n">
        <v>5545.86</v>
      </c>
      <c r="AI30" s="185" t="n">
        <v>1371.85</v>
      </c>
      <c r="AJ30" s="185" t="n">
        <v>5071.96</v>
      </c>
      <c r="AK30" s="185" t="n">
        <v>0</v>
      </c>
      <c r="AL30" s="186" t="n">
        <v>1252.43</v>
      </c>
      <c r="AM30" s="30" t="inlineStr">
        <is>
          <t>.</t>
        </is>
      </c>
      <c r="AN30" s="187">
        <f>IF(L30=0,0,Z30/L30)</f>
        <v/>
      </c>
      <c r="AO30" s="57">
        <f>IF(AN30&gt;=1,"🟢",IF(AN30&gt;=0.7,"🟡",IF(AN30&gt;=0.4,"🟠","🔴")))</f>
        <v/>
      </c>
      <c r="AP30" s="185">
        <f>L30-Z30</f>
        <v/>
      </c>
      <c r="AQ30" s="55">
        <f>RANK(Z30,$Z$4:$Z$503,0)</f>
        <v/>
      </c>
      <c r="AR30" s="39" t="inlineStr">
        <is>
          <t>.</t>
        </is>
      </c>
      <c r="AS30" s="63" t="inlineStr">
        <is>
          <t>OUT</t>
        </is>
      </c>
      <c r="AT30" s="181" t="n">
        <v>432900</v>
      </c>
      <c r="AU30" s="181" t="n">
        <v>275460</v>
      </c>
      <c r="AV30" s="179" t="n">
        <v>0.6363132363132363</v>
      </c>
      <c r="AZ30" s="200" t="n"/>
      <c r="BA30" s="38" t="inlineStr">
        <is>
          <t>.</t>
        </is>
      </c>
      <c r="BB30" s="190">
        <f>SUM(BC30:BN30)</f>
        <v/>
      </c>
      <c r="BC30" s="191">
        <f>L30*0.0702730030</f>
        <v/>
      </c>
      <c r="BD30" s="191">
        <f>L30*0.0734327604</f>
        <v/>
      </c>
      <c r="BE30" s="191">
        <f>L30*0.0752022245</f>
        <v/>
      </c>
      <c r="BF30" s="191">
        <f>L30*0.0771612740</f>
        <v/>
      </c>
      <c r="BG30" s="191">
        <f>L30*0.0796890799</f>
        <v/>
      </c>
      <c r="BH30" s="191">
        <f>L30*0.0817745197</f>
        <v/>
      </c>
      <c r="BI30" s="191">
        <f>L30*0.0849342770</f>
        <v/>
      </c>
      <c r="BJ30" s="191">
        <f>L30*0.0870197169</f>
        <v/>
      </c>
      <c r="BK30" s="191">
        <f>L30*0.0889787664</f>
        <v/>
      </c>
      <c r="BL30" s="191">
        <f>L30*0.0911905966</f>
        <v/>
      </c>
      <c r="BM30" s="191">
        <f>L30*0.0935920121</f>
        <v/>
      </c>
      <c r="BN30" s="192">
        <f>L30*0.0967517695</f>
        <v/>
      </c>
      <c r="BO30" s="36" t="inlineStr">
        <is>
          <t>.</t>
        </is>
      </c>
      <c r="BP30" s="193">
        <f>SUM(BQ30:CB30)</f>
        <v/>
      </c>
      <c r="BQ30" s="191">
        <f>MAX(0,BC30-AA30)</f>
        <v/>
      </c>
      <c r="BR30" s="191">
        <f>MAX(0,BD30-AB30)</f>
        <v/>
      </c>
      <c r="BS30" s="191">
        <f>MAX(0,BE30-AC30)</f>
        <v/>
      </c>
      <c r="BT30" s="191">
        <f>MAX(0,BF30-AD30)</f>
        <v/>
      </c>
      <c r="BU30" s="191">
        <f>MAX(0,BG30-AE30)</f>
        <v/>
      </c>
      <c r="BV30" s="191">
        <f>MAX(0,BH30-AF30)</f>
        <v/>
      </c>
      <c r="BW30" s="191">
        <f>MAX(0,BI30-AG30)</f>
        <v/>
      </c>
      <c r="BX30" s="191">
        <f>MAX(0,BJ30-AH30)</f>
        <v/>
      </c>
      <c r="BY30" s="191">
        <f>MAX(0,BK30-AI30)</f>
        <v/>
      </c>
      <c r="BZ30" s="191">
        <f>MAX(0,BL30-AJ30)</f>
        <v/>
      </c>
      <c r="CA30" s="191">
        <f>MAX(0,BM30-AK30)</f>
        <v/>
      </c>
      <c r="CB30" s="192">
        <f>MAX(0,BN30-AL30)</f>
        <v/>
      </c>
    </row>
    <row r="31">
      <c r="A31" s="64" t="inlineStr">
        <is>
          <t>42045188000134</t>
        </is>
      </c>
      <c r="B31" s="57" t="inlineStr">
        <is>
          <t>K V DE CARLI MARTINS COMERCIO DE ALIMENT</t>
        </is>
      </c>
      <c r="C31" s="57" t="inlineStr">
        <is>
          <t>SEM GRUPO</t>
        </is>
      </c>
      <c r="D31" s="61" t="inlineStr">
        <is>
          <t>LARISSA PADILHA</t>
        </is>
      </c>
      <c r="E31" s="30" t="inlineStr">
        <is>
          <t>.</t>
        </is>
      </c>
      <c r="F31" s="63" t="n"/>
      <c r="G31" s="179" t="n"/>
      <c r="H31" s="57" t="n"/>
      <c r="I31" s="57" t="n"/>
      <c r="J31" s="61" t="n"/>
      <c r="K31" s="30" t="inlineStr">
        <is>
          <t>.</t>
        </is>
      </c>
      <c r="L31" s="180" t="n">
        <v>30700.2</v>
      </c>
      <c r="M31" s="181" t="n">
        <v>2157.4</v>
      </c>
      <c r="N31" s="181" t="n">
        <v>2254.4</v>
      </c>
      <c r="O31" s="181" t="n">
        <v>2308.72</v>
      </c>
      <c r="P31" s="181" t="n">
        <v>2368.87</v>
      </c>
      <c r="Q31" s="181" t="n">
        <v>2446.47</v>
      </c>
      <c r="R31" s="181" t="n">
        <v>2510.49</v>
      </c>
      <c r="S31" s="181" t="n">
        <v>2607.5</v>
      </c>
      <c r="T31" s="181" t="n">
        <v>2671.52</v>
      </c>
      <c r="U31" s="181" t="n">
        <v>2731.67</v>
      </c>
      <c r="V31" s="181" t="n">
        <v>2799.57</v>
      </c>
      <c r="W31" s="181" t="n">
        <v>2873.29</v>
      </c>
      <c r="X31" s="182" t="n">
        <v>2970.3</v>
      </c>
      <c r="Y31" s="183" t="inlineStr">
        <is>
          <t>.</t>
        </is>
      </c>
      <c r="Z31" s="184">
        <f>SUM(AA31:AL31)</f>
        <v/>
      </c>
      <c r="AA31" s="185" t="n">
        <v>0</v>
      </c>
      <c r="AB31" s="185" t="n">
        <v>0</v>
      </c>
      <c r="AC31" s="185" t="n">
        <v>2761.19</v>
      </c>
      <c r="AD31" s="185" t="n">
        <v>1006.98</v>
      </c>
      <c r="AE31" s="185" t="n">
        <v>2631.17</v>
      </c>
      <c r="AF31" s="185" t="n">
        <v>0</v>
      </c>
      <c r="AG31" s="185" t="n">
        <v>3462.2</v>
      </c>
      <c r="AH31" s="185" t="n">
        <v>0</v>
      </c>
      <c r="AI31" s="185" t="n">
        <v>0</v>
      </c>
      <c r="AJ31" s="185" t="n">
        <v>4283.72</v>
      </c>
      <c r="AK31" s="185" t="n">
        <v>0</v>
      </c>
      <c r="AL31" s="186" t="n">
        <v>0</v>
      </c>
      <c r="AM31" s="222" t="n">
        <v>2755.08</v>
      </c>
      <c r="AN31" s="187">
        <f>IF(L31=0,0,Z31/L31)</f>
        <v/>
      </c>
      <c r="AO31" s="57">
        <f>IF(AN31&gt;=1,"🟢",IF(AN31&gt;=0.7,"🟡",IF(AN31&gt;=0.4,"🟠","🔴")))</f>
        <v/>
      </c>
      <c r="AP31" s="185">
        <f>L31-Z31</f>
        <v/>
      </c>
      <c r="AQ31" s="55">
        <f>RANK(Z31,$Z$4:$Z$503,0)</f>
        <v/>
      </c>
      <c r="AR31" s="39" t="inlineStr">
        <is>
          <t>.</t>
        </is>
      </c>
      <c r="AS31" s="63" t="inlineStr">
        <is>
          <t>NOV</t>
        </is>
      </c>
      <c r="AT31" s="181" t="n">
        <v>444300</v>
      </c>
      <c r="AU31" s="181" t="n">
        <v>0</v>
      </c>
      <c r="AV31" s="179" t="n">
        <v>0</v>
      </c>
      <c r="AZ31" s="200" t="n"/>
      <c r="BA31" s="38" t="inlineStr">
        <is>
          <t>.</t>
        </is>
      </c>
      <c r="BB31" s="190">
        <f>SUM(BC31:BN31)</f>
        <v/>
      </c>
      <c r="BC31" s="191">
        <f>L31*0.0702730030</f>
        <v/>
      </c>
      <c r="BD31" s="191">
        <f>L31*0.0734327604</f>
        <v/>
      </c>
      <c r="BE31" s="191">
        <f>L31*0.0752022245</f>
        <v/>
      </c>
      <c r="BF31" s="191">
        <f>L31*0.0771612740</f>
        <v/>
      </c>
      <c r="BG31" s="191">
        <f>L31*0.0796890799</f>
        <v/>
      </c>
      <c r="BH31" s="191">
        <f>L31*0.0817745197</f>
        <v/>
      </c>
      <c r="BI31" s="191">
        <f>L31*0.0849342770</f>
        <v/>
      </c>
      <c r="BJ31" s="191">
        <f>L31*0.0870197169</f>
        <v/>
      </c>
      <c r="BK31" s="191">
        <f>L31*0.0889787664</f>
        <v/>
      </c>
      <c r="BL31" s="191">
        <f>L31*0.0911905966</f>
        <v/>
      </c>
      <c r="BM31" s="191">
        <f>L31*0.0935920121</f>
        <v/>
      </c>
      <c r="BN31" s="192">
        <f>L31*0.0967517695</f>
        <v/>
      </c>
      <c r="BO31" s="36" t="inlineStr">
        <is>
          <t>.</t>
        </is>
      </c>
      <c r="BP31" s="193">
        <f>SUM(BQ31:CB31)</f>
        <v/>
      </c>
      <c r="BQ31" s="191">
        <f>MAX(0,BC31-AA31)</f>
        <v/>
      </c>
      <c r="BR31" s="191">
        <f>MAX(0,BD31-AB31)</f>
        <v/>
      </c>
      <c r="BS31" s="191">
        <f>MAX(0,BE31-AC31)</f>
        <v/>
      </c>
      <c r="BT31" s="191">
        <f>MAX(0,BF31-AD31)</f>
        <v/>
      </c>
      <c r="BU31" s="191">
        <f>MAX(0,BG31-AE31)</f>
        <v/>
      </c>
      <c r="BV31" s="191">
        <f>MAX(0,BH31-AF31)</f>
        <v/>
      </c>
      <c r="BW31" s="191">
        <f>MAX(0,BI31-AG31)</f>
        <v/>
      </c>
      <c r="BX31" s="191">
        <f>MAX(0,BJ31-AH31)</f>
        <v/>
      </c>
      <c r="BY31" s="191">
        <f>MAX(0,BK31-AI31)</f>
        <v/>
      </c>
      <c r="BZ31" s="191">
        <f>MAX(0,BL31-AJ31)</f>
        <v/>
      </c>
      <c r="CA31" s="191">
        <f>MAX(0,BM31-AK31)</f>
        <v/>
      </c>
      <c r="CB31" s="192">
        <f>MAX(0,BN31-AL31)</f>
        <v/>
      </c>
    </row>
    <row r="32">
      <c r="A32" s="64" t="inlineStr">
        <is>
          <t>37974794000102</t>
        </is>
      </c>
      <c r="B32" s="57" t="inlineStr">
        <is>
          <t>CRISTIANE NIETO ARANTES LTDA - ME</t>
        </is>
      </c>
      <c r="C32" s="57" t="inlineStr">
        <is>
          <t>SEM GRUPO</t>
        </is>
      </c>
      <c r="D32" s="61" t="inlineStr">
        <is>
          <t>HEMANUELE DITZEL (MANU)</t>
        </is>
      </c>
      <c r="E32" s="30" t="inlineStr">
        <is>
          <t>.</t>
        </is>
      </c>
      <c r="F32" s="63" t="n"/>
      <c r="G32" s="179" t="n"/>
      <c r="H32" s="57" t="n"/>
      <c r="I32" s="57" t="n"/>
      <c r="J32" s="61" t="n"/>
      <c r="K32" s="30" t="inlineStr">
        <is>
          <t>.</t>
        </is>
      </c>
      <c r="L32" s="180" t="n">
        <v>30595.29</v>
      </c>
      <c r="M32" s="181" t="n">
        <v>2150.02</v>
      </c>
      <c r="N32" s="181" t="n">
        <v>2246.7</v>
      </c>
      <c r="O32" s="181" t="n">
        <v>2300.83</v>
      </c>
      <c r="P32" s="181" t="n">
        <v>2360.77</v>
      </c>
      <c r="Q32" s="181" t="n">
        <v>2438.11</v>
      </c>
      <c r="R32" s="181" t="n">
        <v>2501.92</v>
      </c>
      <c r="S32" s="181" t="n">
        <v>2598.59</v>
      </c>
      <c r="T32" s="181" t="n">
        <v>2662.39</v>
      </c>
      <c r="U32" s="181" t="n">
        <v>2722.33</v>
      </c>
      <c r="V32" s="181" t="n">
        <v>2790</v>
      </c>
      <c r="W32" s="181" t="n">
        <v>2863.48</v>
      </c>
      <c r="X32" s="182" t="n">
        <v>2960.15</v>
      </c>
      <c r="Y32" s="183" t="inlineStr">
        <is>
          <t>.</t>
        </is>
      </c>
      <c r="Z32" s="184">
        <f>SUM(AA32:AL32)</f>
        <v/>
      </c>
      <c r="AA32" s="185" t="n">
        <v>0</v>
      </c>
      <c r="AB32" s="185" t="n">
        <v>0</v>
      </c>
      <c r="AC32" s="185" t="n">
        <v>0</v>
      </c>
      <c r="AD32" s="185" t="n">
        <v>0</v>
      </c>
      <c r="AE32" s="185" t="n">
        <v>0</v>
      </c>
      <c r="AF32" s="185" t="n">
        <v>0</v>
      </c>
      <c r="AG32" s="185" t="n">
        <v>7887.17</v>
      </c>
      <c r="AH32" s="185" t="n">
        <v>0</v>
      </c>
      <c r="AI32" s="185" t="n">
        <v>0</v>
      </c>
      <c r="AJ32" s="185" t="n">
        <v>0</v>
      </c>
      <c r="AK32" s="185" t="n">
        <v>0</v>
      </c>
      <c r="AL32" s="186" t="n">
        <v>0</v>
      </c>
      <c r="AM32" s="30" t="inlineStr">
        <is>
          <t>.</t>
        </is>
      </c>
      <c r="AN32" s="187">
        <f>IF(L32=0,0,Z32/L32)</f>
        <v/>
      </c>
      <c r="AO32" s="57">
        <f>IF(AN32&gt;=1,"🟢",IF(AN32&gt;=0.7,"🟡",IF(AN32&gt;=0.4,"🟠","🔴")))</f>
        <v/>
      </c>
      <c r="AP32" s="185">
        <f>L32-Z32</f>
        <v/>
      </c>
      <c r="AQ32" s="55">
        <f>RANK(Z32,$Z$4:$Z$503,0)</f>
        <v/>
      </c>
      <c r="AR32" s="39" t="inlineStr">
        <is>
          <t>.</t>
        </is>
      </c>
      <c r="AS32" s="63" t="inlineStr">
        <is>
          <t>DEZ</t>
        </is>
      </c>
      <c r="AT32" s="181" t="n">
        <v>459300</v>
      </c>
      <c r="AU32" s="181" t="n">
        <v>0</v>
      </c>
      <c r="AV32" s="179" t="n">
        <v>0</v>
      </c>
      <c r="AZ32" s="200" t="n"/>
      <c r="BA32" s="38" t="inlineStr">
        <is>
          <t>.</t>
        </is>
      </c>
      <c r="BB32" s="190">
        <f>SUM(BC32:BN32)</f>
        <v/>
      </c>
      <c r="BC32" s="191">
        <f>L32*0.0702730030</f>
        <v/>
      </c>
      <c r="BD32" s="191">
        <f>L32*0.0734327604</f>
        <v/>
      </c>
      <c r="BE32" s="191">
        <f>L32*0.0752022245</f>
        <v/>
      </c>
      <c r="BF32" s="191">
        <f>L32*0.0771612740</f>
        <v/>
      </c>
      <c r="BG32" s="191">
        <f>L32*0.0796890799</f>
        <v/>
      </c>
      <c r="BH32" s="191">
        <f>L32*0.0817745197</f>
        <v/>
      </c>
      <c r="BI32" s="191">
        <f>L32*0.0849342770</f>
        <v/>
      </c>
      <c r="BJ32" s="191">
        <f>L32*0.0870197169</f>
        <v/>
      </c>
      <c r="BK32" s="191">
        <f>L32*0.0889787664</f>
        <v/>
      </c>
      <c r="BL32" s="191">
        <f>L32*0.0911905966</f>
        <v/>
      </c>
      <c r="BM32" s="191">
        <f>L32*0.0935920121</f>
        <v/>
      </c>
      <c r="BN32" s="192">
        <f>L32*0.0967517695</f>
        <v/>
      </c>
      <c r="BO32" s="36" t="inlineStr">
        <is>
          <t>.</t>
        </is>
      </c>
      <c r="BP32" s="193">
        <f>SUM(BQ32:CB32)</f>
        <v/>
      </c>
      <c r="BQ32" s="191">
        <f>MAX(0,BC32-AA32)</f>
        <v/>
      </c>
      <c r="BR32" s="191">
        <f>MAX(0,BD32-AB32)</f>
        <v/>
      </c>
      <c r="BS32" s="191">
        <f>MAX(0,BE32-AC32)</f>
        <v/>
      </c>
      <c r="BT32" s="191">
        <f>MAX(0,BF32-AD32)</f>
        <v/>
      </c>
      <c r="BU32" s="191">
        <f>MAX(0,BG32-AE32)</f>
        <v/>
      </c>
      <c r="BV32" s="191">
        <f>MAX(0,BH32-AF32)</f>
        <v/>
      </c>
      <c r="BW32" s="191">
        <f>MAX(0,BI32-AG32)</f>
        <v/>
      </c>
      <c r="BX32" s="191">
        <f>MAX(0,BJ32-AH32)</f>
        <v/>
      </c>
      <c r="BY32" s="191">
        <f>MAX(0,BK32-AI32)</f>
        <v/>
      </c>
      <c r="BZ32" s="191">
        <f>MAX(0,BL32-AJ32)</f>
        <v/>
      </c>
      <c r="CA32" s="191">
        <f>MAX(0,BM32-AK32)</f>
        <v/>
      </c>
      <c r="CB32" s="192">
        <f>MAX(0,BN32-AL32)</f>
        <v/>
      </c>
    </row>
    <row r="33">
      <c r="A33" s="64" t="inlineStr">
        <is>
          <t>07316826000103</t>
        </is>
      </c>
      <c r="B33" s="57" t="inlineStr">
        <is>
          <t>SUPERMERCADO S &amp; V LTDA - EPP</t>
        </is>
      </c>
      <c r="C33" s="57" t="inlineStr">
        <is>
          <t>SEM GRUPO</t>
        </is>
      </c>
      <c r="D33" s="61" t="inlineStr">
        <is>
          <t>HEMANUELE DITZEL (MANU)</t>
        </is>
      </c>
      <c r="E33" s="30" t="inlineStr">
        <is>
          <t>.</t>
        </is>
      </c>
      <c r="F33" s="63" t="n"/>
      <c r="G33" s="179" t="n"/>
      <c r="H33" s="57" t="n"/>
      <c r="I33" s="57" t="n"/>
      <c r="J33" s="61" t="n"/>
      <c r="K33" s="30" t="inlineStr">
        <is>
          <t>.</t>
        </is>
      </c>
      <c r="L33" s="180" t="n">
        <v>29615.69</v>
      </c>
      <c r="M33" s="181" t="n">
        <v>2081.18</v>
      </c>
      <c r="N33" s="181" t="n">
        <v>2174.76</v>
      </c>
      <c r="O33" s="181" t="n">
        <v>2227.17</v>
      </c>
      <c r="P33" s="181" t="n">
        <v>2285.18</v>
      </c>
      <c r="Q33" s="181" t="n">
        <v>2360.05</v>
      </c>
      <c r="R33" s="181" t="n">
        <v>2421.81</v>
      </c>
      <c r="S33" s="181" t="n">
        <v>2515.39</v>
      </c>
      <c r="T33" s="181" t="n">
        <v>2577.15</v>
      </c>
      <c r="U33" s="181" t="n">
        <v>2635.17</v>
      </c>
      <c r="V33" s="181" t="n">
        <v>2700.67</v>
      </c>
      <c r="W33" s="181" t="n">
        <v>2771.79</v>
      </c>
      <c r="X33" s="182" t="n">
        <v>2865.37</v>
      </c>
      <c r="Y33" s="183" t="inlineStr">
        <is>
          <t>.</t>
        </is>
      </c>
      <c r="Z33" s="184">
        <f>SUM(AA33:AL33)</f>
        <v/>
      </c>
      <c r="AA33" s="185" t="n">
        <v>0</v>
      </c>
      <c r="AB33" s="185" t="n">
        <v>0</v>
      </c>
      <c r="AC33" s="185" t="n">
        <v>0</v>
      </c>
      <c r="AD33" s="185" t="n">
        <v>0</v>
      </c>
      <c r="AE33" s="185" t="n">
        <v>0</v>
      </c>
      <c r="AF33" s="185" t="n">
        <v>0</v>
      </c>
      <c r="AG33" s="185" t="n">
        <v>4155.32</v>
      </c>
      <c r="AH33" s="185" t="n">
        <v>1500.29</v>
      </c>
      <c r="AI33" s="185" t="n">
        <v>2022.19</v>
      </c>
      <c r="AJ33" s="185" t="n">
        <v>0</v>
      </c>
      <c r="AK33" s="185" t="n">
        <v>2482.82</v>
      </c>
      <c r="AL33" s="186" t="n">
        <v>4227.54</v>
      </c>
      <c r="AM33" s="30" t="inlineStr">
        <is>
          <t>.</t>
        </is>
      </c>
      <c r="AN33" s="187">
        <f>IF(L33=0,0,Z33/L33)</f>
        <v/>
      </c>
      <c r="AO33" s="57">
        <f>IF(AN33&gt;=1,"🟢",IF(AN33&gt;=0.7,"🟡",IF(AN33&gt;=0.4,"🟠","🔴")))</f>
        <v/>
      </c>
      <c r="AP33" s="185">
        <f>L33-Z33</f>
        <v/>
      </c>
      <c r="AQ33" s="55">
        <f>RANK(Z33,$Z$4:$Z$503,0)</f>
        <v/>
      </c>
      <c r="AR33" s="39" t="inlineStr">
        <is>
          <t>.</t>
        </is>
      </c>
      <c r="AS33" s="79" t="inlineStr">
        <is>
          <t>TOTAL</t>
        </is>
      </c>
      <c r="AT33" s="201" t="n">
        <v>4747200</v>
      </c>
      <c r="AU33" s="202" t="n"/>
      <c r="AV33" s="77" t="n"/>
      <c r="AW33" s="77" t="n"/>
      <c r="AX33" s="77" t="n"/>
      <c r="AY33" s="202" t="n"/>
      <c r="AZ33" s="203" t="n"/>
      <c r="BA33" s="38" t="inlineStr">
        <is>
          <t>.</t>
        </is>
      </c>
      <c r="BB33" s="190">
        <f>SUM(BC33:BN33)</f>
        <v/>
      </c>
      <c r="BC33" s="191">
        <f>L33*0.0702730030</f>
        <v/>
      </c>
      <c r="BD33" s="191">
        <f>L33*0.0734327604</f>
        <v/>
      </c>
      <c r="BE33" s="191">
        <f>L33*0.0752022245</f>
        <v/>
      </c>
      <c r="BF33" s="191">
        <f>L33*0.0771612740</f>
        <v/>
      </c>
      <c r="BG33" s="191">
        <f>L33*0.0796890799</f>
        <v/>
      </c>
      <c r="BH33" s="191">
        <f>L33*0.0817745197</f>
        <v/>
      </c>
      <c r="BI33" s="191">
        <f>L33*0.0849342770</f>
        <v/>
      </c>
      <c r="BJ33" s="191">
        <f>L33*0.0870197169</f>
        <v/>
      </c>
      <c r="BK33" s="191">
        <f>L33*0.0889787664</f>
        <v/>
      </c>
      <c r="BL33" s="191">
        <f>L33*0.0911905966</f>
        <v/>
      </c>
      <c r="BM33" s="191">
        <f>L33*0.0935920121</f>
        <v/>
      </c>
      <c r="BN33" s="192">
        <f>L33*0.0967517695</f>
        <v/>
      </c>
      <c r="BO33" s="36" t="inlineStr">
        <is>
          <t>.</t>
        </is>
      </c>
      <c r="BP33" s="193">
        <f>SUM(BQ33:CB33)</f>
        <v/>
      </c>
      <c r="BQ33" s="191">
        <f>MAX(0,BC33-AA33)</f>
        <v/>
      </c>
      <c r="BR33" s="191">
        <f>MAX(0,BD33-AB33)</f>
        <v/>
      </c>
      <c r="BS33" s="191">
        <f>MAX(0,BE33-AC33)</f>
        <v/>
      </c>
      <c r="BT33" s="191">
        <f>MAX(0,BF33-AD33)</f>
        <v/>
      </c>
      <c r="BU33" s="191">
        <f>MAX(0,BG33-AE33)</f>
        <v/>
      </c>
      <c r="BV33" s="191">
        <f>MAX(0,BH33-AF33)</f>
        <v/>
      </c>
      <c r="BW33" s="191">
        <f>MAX(0,BI33-AG33)</f>
        <v/>
      </c>
      <c r="BX33" s="191">
        <f>MAX(0,BJ33-AH33)</f>
        <v/>
      </c>
      <c r="BY33" s="191">
        <f>MAX(0,BK33-AI33)</f>
        <v/>
      </c>
      <c r="BZ33" s="191">
        <f>MAX(0,BL33-AJ33)</f>
        <v/>
      </c>
      <c r="CA33" s="191">
        <f>MAX(0,BM33-AK33)</f>
        <v/>
      </c>
      <c r="CB33" s="192">
        <f>MAX(0,BN33-AL33)</f>
        <v/>
      </c>
    </row>
    <row r="34">
      <c r="A34" s="64" t="inlineStr">
        <is>
          <t>49300020000177</t>
        </is>
      </c>
      <c r="B34" s="57" t="inlineStr">
        <is>
          <t>BIOLIZ COMERCIO DE PRODUTOS NATURAIS LTD</t>
        </is>
      </c>
      <c r="C34" s="57" t="inlineStr">
        <is>
          <t>DIVINA TERRA</t>
        </is>
      </c>
      <c r="D34" s="61" t="inlineStr">
        <is>
          <t>DAIANE STAVICKI</t>
        </is>
      </c>
      <c r="E34" s="30" t="inlineStr">
        <is>
          <t>.</t>
        </is>
      </c>
      <c r="F34" s="63" t="n">
        <v>85</v>
      </c>
      <c r="G34" s="179" t="n">
        <v>0.1</v>
      </c>
      <c r="H34" s="57" t="inlineStr">
        <is>
          <t>🔴 VERMELHO</t>
        </is>
      </c>
      <c r="I34" s="57" t="inlineStr">
        <is>
          <t>POSITIVAÇÃO</t>
        </is>
      </c>
      <c r="J34" s="61" t="inlineStr">
        <is>
          <t>Aumentar frequência + Expandir base</t>
        </is>
      </c>
      <c r="K34" s="30" t="inlineStr">
        <is>
          <t>.</t>
        </is>
      </c>
      <c r="L34" s="180" t="n">
        <v>29329.53</v>
      </c>
      <c r="M34" s="181" t="n">
        <v>2061.07</v>
      </c>
      <c r="N34" s="181" t="n">
        <v>2153.75</v>
      </c>
      <c r="O34" s="181" t="n">
        <v>2205.65</v>
      </c>
      <c r="P34" s="181" t="n">
        <v>2263.1</v>
      </c>
      <c r="Q34" s="181" t="n">
        <v>2337.24</v>
      </c>
      <c r="R34" s="181" t="n">
        <v>2398.41</v>
      </c>
      <c r="S34" s="181" t="n">
        <v>2491.08</v>
      </c>
      <c r="T34" s="181" t="n">
        <v>2552.25</v>
      </c>
      <c r="U34" s="181" t="n">
        <v>2609.71</v>
      </c>
      <c r="V34" s="181" t="n">
        <v>2674.58</v>
      </c>
      <c r="W34" s="181" t="n">
        <v>2745.01</v>
      </c>
      <c r="X34" s="182" t="n">
        <v>2837.68</v>
      </c>
      <c r="Y34" s="183" t="inlineStr">
        <is>
          <t>.</t>
        </is>
      </c>
      <c r="Z34" s="184">
        <f>SUM(AA34:AL34)</f>
        <v/>
      </c>
      <c r="AA34" s="185" t="n">
        <v>0</v>
      </c>
      <c r="AB34" s="185" t="n">
        <v>0</v>
      </c>
      <c r="AC34" s="185" t="n">
        <v>0</v>
      </c>
      <c r="AD34" s="185" t="n">
        <v>0</v>
      </c>
      <c r="AE34" s="185" t="n">
        <v>0</v>
      </c>
      <c r="AF34" s="185" t="n">
        <v>0</v>
      </c>
      <c r="AG34" s="185" t="n">
        <v>0</v>
      </c>
      <c r="AH34" s="185" t="n">
        <v>0</v>
      </c>
      <c r="AI34" s="185" t="n">
        <v>4837.81</v>
      </c>
      <c r="AJ34" s="185" t="n">
        <v>0</v>
      </c>
      <c r="AK34" s="185" t="n">
        <v>10213.18</v>
      </c>
      <c r="AL34" s="186" t="n">
        <v>0</v>
      </c>
      <c r="AM34" s="30" t="inlineStr">
        <is>
          <t>.</t>
        </is>
      </c>
      <c r="AN34" s="187">
        <f>IF(L34=0,0,Z34/L34)</f>
        <v/>
      </c>
      <c r="AO34" s="57">
        <f>IF(AN34&gt;=1,"🟢",IF(AN34&gt;=0.7,"🟡",IF(AN34&gt;=0.4,"🟠","🔴")))</f>
        <v/>
      </c>
      <c r="AP34" s="185">
        <f>L34-Z34</f>
        <v/>
      </c>
      <c r="AQ34" s="55">
        <f>RANK(Z34,$Z$4:$Z$503,0)</f>
        <v/>
      </c>
      <c r="AR34" s="39" t="inlineStr">
        <is>
          <t>.</t>
        </is>
      </c>
      <c r="AS34" s="27" t="n"/>
      <c r="AT34" s="27" t="n"/>
      <c r="AU34" s="27" t="n"/>
      <c r="AV34" s="27" t="n"/>
      <c r="AW34" s="27" t="n"/>
      <c r="AX34" s="27" t="n"/>
      <c r="AY34" s="204" t="n"/>
      <c r="AZ34" s="204" t="n"/>
      <c r="BA34" s="38" t="inlineStr">
        <is>
          <t>.</t>
        </is>
      </c>
      <c r="BB34" s="190">
        <f>SUM(BC34:BN34)</f>
        <v/>
      </c>
      <c r="BC34" s="191">
        <f>L34*0.0702730030</f>
        <v/>
      </c>
      <c r="BD34" s="191">
        <f>L34*0.0734327604</f>
        <v/>
      </c>
      <c r="BE34" s="191">
        <f>L34*0.0752022245</f>
        <v/>
      </c>
      <c r="BF34" s="191">
        <f>L34*0.0771612740</f>
        <v/>
      </c>
      <c r="BG34" s="191">
        <f>L34*0.0796890799</f>
        <v/>
      </c>
      <c r="BH34" s="191">
        <f>L34*0.0817745197</f>
        <v/>
      </c>
      <c r="BI34" s="191">
        <f>L34*0.0849342770</f>
        <v/>
      </c>
      <c r="BJ34" s="191">
        <f>L34*0.0870197169</f>
        <v/>
      </c>
      <c r="BK34" s="191">
        <f>L34*0.0889787664</f>
        <v/>
      </c>
      <c r="BL34" s="191">
        <f>L34*0.0911905966</f>
        <v/>
      </c>
      <c r="BM34" s="191">
        <f>L34*0.0935920121</f>
        <v/>
      </c>
      <c r="BN34" s="192">
        <f>L34*0.0967517695</f>
        <v/>
      </c>
      <c r="BO34" s="36" t="inlineStr">
        <is>
          <t>.</t>
        </is>
      </c>
      <c r="BP34" s="193">
        <f>SUM(BQ34:CB34)</f>
        <v/>
      </c>
      <c r="BQ34" s="191">
        <f>MAX(0,BC34-AA34)</f>
        <v/>
      </c>
      <c r="BR34" s="191">
        <f>MAX(0,BD34-AB34)</f>
        <v/>
      </c>
      <c r="BS34" s="191">
        <f>MAX(0,BE34-AC34)</f>
        <v/>
      </c>
      <c r="BT34" s="191">
        <f>MAX(0,BF34-AD34)</f>
        <v/>
      </c>
      <c r="BU34" s="191">
        <f>MAX(0,BG34-AE34)</f>
        <v/>
      </c>
      <c r="BV34" s="191">
        <f>MAX(0,BH34-AF34)</f>
        <v/>
      </c>
      <c r="BW34" s="191">
        <f>MAX(0,BI34-AG34)</f>
        <v/>
      </c>
      <c r="BX34" s="191">
        <f>MAX(0,BJ34-AH34)</f>
        <v/>
      </c>
      <c r="BY34" s="191">
        <f>MAX(0,BK34-AI34)</f>
        <v/>
      </c>
      <c r="BZ34" s="191">
        <f>MAX(0,BL34-AJ34)</f>
        <v/>
      </c>
      <c r="CA34" s="191">
        <f>MAX(0,BM34-AK34)</f>
        <v/>
      </c>
      <c r="CB34" s="192">
        <f>MAX(0,BN34-AL34)</f>
        <v/>
      </c>
    </row>
    <row r="35">
      <c r="A35" s="64" t="inlineStr">
        <is>
          <t>04755895000125</t>
        </is>
      </c>
      <c r="B35" s="57" t="inlineStr">
        <is>
          <t>SUPERMERCADO CASTILHO DE CAFELANDIA LTDA</t>
        </is>
      </c>
      <c r="C35" s="57" t="inlineStr">
        <is>
          <t>SEM GRUPO</t>
        </is>
      </c>
      <c r="D35" s="61" t="inlineStr">
        <is>
          <t>LARISSA PADILHA</t>
        </is>
      </c>
      <c r="E35" s="30" t="inlineStr">
        <is>
          <t>.</t>
        </is>
      </c>
      <c r="F35" s="63" t="n"/>
      <c r="G35" s="179" t="n"/>
      <c r="H35" s="57" t="n"/>
      <c r="I35" s="57" t="n"/>
      <c r="J35" s="61" t="n"/>
      <c r="K35" s="30" t="inlineStr">
        <is>
          <t>.</t>
        </is>
      </c>
      <c r="L35" s="180" t="n">
        <v>28008.92</v>
      </c>
      <c r="M35" s="181" t="n">
        <v>1968.27</v>
      </c>
      <c r="N35" s="181" t="n">
        <v>2056.77</v>
      </c>
      <c r="O35" s="181" t="n">
        <v>2106.33</v>
      </c>
      <c r="P35" s="181" t="n">
        <v>2161.2</v>
      </c>
      <c r="Q35" s="181" t="n">
        <v>2232.01</v>
      </c>
      <c r="R35" s="181" t="n">
        <v>2290.42</v>
      </c>
      <c r="S35" s="181" t="n">
        <v>2378.92</v>
      </c>
      <c r="T35" s="181" t="n">
        <v>2437.33</v>
      </c>
      <c r="U35" s="181" t="n">
        <v>2492.2</v>
      </c>
      <c r="V35" s="181" t="n">
        <v>2554.15</v>
      </c>
      <c r="W35" s="181" t="n">
        <v>2621.41</v>
      </c>
      <c r="X35" s="182" t="n">
        <v>2709.91</v>
      </c>
      <c r="Y35" s="183" t="inlineStr">
        <is>
          <t>.</t>
        </is>
      </c>
      <c r="Z35" s="184">
        <f>SUM(AA35:AL35)</f>
        <v/>
      </c>
      <c r="AA35" s="185" t="n">
        <v>0</v>
      </c>
      <c r="AB35" s="185" t="n">
        <v>6167.22</v>
      </c>
      <c r="AC35" s="185" t="n">
        <v>1241.8</v>
      </c>
      <c r="AD35" s="185" t="n">
        <v>1066.12</v>
      </c>
      <c r="AE35" s="185" t="n">
        <v>0</v>
      </c>
      <c r="AF35" s="185" t="n">
        <v>1201.64</v>
      </c>
      <c r="AG35" s="185" t="n">
        <v>2297.51</v>
      </c>
      <c r="AH35" s="185" t="n">
        <v>0</v>
      </c>
      <c r="AI35" s="185" t="n">
        <v>1281.52</v>
      </c>
      <c r="AJ35" s="185" t="n">
        <v>1578.04</v>
      </c>
      <c r="AK35" s="185" t="n">
        <v>1732.71</v>
      </c>
      <c r="AL35" s="186" t="n">
        <v>0</v>
      </c>
      <c r="AM35" s="30" t="inlineStr">
        <is>
          <t>.</t>
        </is>
      </c>
      <c r="AN35" s="187">
        <f>IF(L35=0,0,Z35/L35)</f>
        <v/>
      </c>
      <c r="AO35" s="57">
        <f>IF(AN35&gt;=1,"🟢",IF(AN35&gt;=0.7,"🟡",IF(AN35&gt;=0.4,"🟠","🔴")))</f>
        <v/>
      </c>
      <c r="AP35" s="185">
        <f>L35-Z35</f>
        <v/>
      </c>
      <c r="AQ35" s="55">
        <f>RANK(Z35,$Z$4:$Z$503,0)</f>
        <v/>
      </c>
      <c r="AR35" s="39" t="inlineStr">
        <is>
          <t>.</t>
        </is>
      </c>
      <c r="AS35" s="27" t="n"/>
      <c r="AT35" s="27" t="n"/>
      <c r="AU35" s="27" t="n"/>
      <c r="AV35" s="27" t="n"/>
      <c r="AW35" s="27" t="n"/>
      <c r="AX35" s="27" t="n"/>
      <c r="AY35" s="204" t="n"/>
      <c r="AZ35" s="204" t="n"/>
      <c r="BA35" s="38" t="inlineStr">
        <is>
          <t>.</t>
        </is>
      </c>
      <c r="BB35" s="190">
        <f>SUM(BC35:BN35)</f>
        <v/>
      </c>
      <c r="BC35" s="191">
        <f>L35*0.0702730030</f>
        <v/>
      </c>
      <c r="BD35" s="191">
        <f>L35*0.0734327604</f>
        <v/>
      </c>
      <c r="BE35" s="191">
        <f>L35*0.0752022245</f>
        <v/>
      </c>
      <c r="BF35" s="191">
        <f>L35*0.0771612740</f>
        <v/>
      </c>
      <c r="BG35" s="191">
        <f>L35*0.0796890799</f>
        <v/>
      </c>
      <c r="BH35" s="191">
        <f>L35*0.0817745197</f>
        <v/>
      </c>
      <c r="BI35" s="191">
        <f>L35*0.0849342770</f>
        <v/>
      </c>
      <c r="BJ35" s="191">
        <f>L35*0.0870197169</f>
        <v/>
      </c>
      <c r="BK35" s="191">
        <f>L35*0.0889787664</f>
        <v/>
      </c>
      <c r="BL35" s="191">
        <f>L35*0.0911905966</f>
        <v/>
      </c>
      <c r="BM35" s="191">
        <f>L35*0.0935920121</f>
        <v/>
      </c>
      <c r="BN35" s="192">
        <f>L35*0.0967517695</f>
        <v/>
      </c>
      <c r="BO35" s="36" t="inlineStr">
        <is>
          <t>.</t>
        </is>
      </c>
      <c r="BP35" s="193">
        <f>SUM(BQ35:CB35)</f>
        <v/>
      </c>
      <c r="BQ35" s="191">
        <f>MAX(0,BC35-AA35)</f>
        <v/>
      </c>
      <c r="BR35" s="191">
        <f>MAX(0,BD35-AB35)</f>
        <v/>
      </c>
      <c r="BS35" s="191">
        <f>MAX(0,BE35-AC35)</f>
        <v/>
      </c>
      <c r="BT35" s="191">
        <f>MAX(0,BF35-AD35)</f>
        <v/>
      </c>
      <c r="BU35" s="191">
        <f>MAX(0,BG35-AE35)</f>
        <v/>
      </c>
      <c r="BV35" s="191">
        <f>MAX(0,BH35-AF35)</f>
        <v/>
      </c>
      <c r="BW35" s="191">
        <f>MAX(0,BI35-AG35)</f>
        <v/>
      </c>
      <c r="BX35" s="191">
        <f>MAX(0,BJ35-AH35)</f>
        <v/>
      </c>
      <c r="BY35" s="191">
        <f>MAX(0,BK35-AI35)</f>
        <v/>
      </c>
      <c r="BZ35" s="191">
        <f>MAX(0,BL35-AJ35)</f>
        <v/>
      </c>
      <c r="CA35" s="191">
        <f>MAX(0,BM35-AK35)</f>
        <v/>
      </c>
      <c r="CB35" s="192">
        <f>MAX(0,BN35-AL35)</f>
        <v/>
      </c>
    </row>
    <row r="36">
      <c r="A36" s="64" t="inlineStr">
        <is>
          <t>49982339000120</t>
        </is>
      </c>
      <c r="B36" s="57" t="inlineStr">
        <is>
          <t>MDORNELLAS PRODUTOS NATURAIS E SUPLEMENT</t>
        </is>
      </c>
      <c r="C36" s="57" t="inlineStr">
        <is>
          <t>FITLAND</t>
        </is>
      </c>
      <c r="D36" s="61" t="inlineStr">
        <is>
          <t>JULIO GADRET</t>
        </is>
      </c>
      <c r="E36" s="30" t="inlineStr">
        <is>
          <t>.</t>
        </is>
      </c>
      <c r="F36" s="63" t="n">
        <v>89</v>
      </c>
      <c r="G36" s="179" t="n">
        <v>0.298</v>
      </c>
      <c r="H36" s="57" t="inlineStr">
        <is>
          <t>🔴 VERMELHO</t>
        </is>
      </c>
      <c r="I36" s="57" t="inlineStr">
        <is>
          <t>POSITIVAÇÃO</t>
        </is>
      </c>
      <c r="J36" s="61" t="inlineStr">
        <is>
          <t>Aumentar frequência + Expandir base</t>
        </is>
      </c>
      <c r="K36" s="30" t="inlineStr">
        <is>
          <t>.</t>
        </is>
      </c>
      <c r="L36" s="180" t="n">
        <v>26747.07</v>
      </c>
      <c r="M36" s="181" t="n">
        <v>1879.6</v>
      </c>
      <c r="N36" s="181" t="n">
        <v>1964.11</v>
      </c>
      <c r="O36" s="181" t="n">
        <v>2011.44</v>
      </c>
      <c r="P36" s="181" t="n">
        <v>2063.84</v>
      </c>
      <c r="Q36" s="181" t="n">
        <v>2131.45</v>
      </c>
      <c r="R36" s="181" t="n">
        <v>2187.23</v>
      </c>
      <c r="S36" s="181" t="n">
        <v>2271.74</v>
      </c>
      <c r="T36" s="181" t="n">
        <v>2327.52</v>
      </c>
      <c r="U36" s="181" t="n">
        <v>2379.92</v>
      </c>
      <c r="V36" s="181" t="n">
        <v>2439.08</v>
      </c>
      <c r="W36" s="181" t="n">
        <v>2503.31</v>
      </c>
      <c r="X36" s="182" t="n">
        <v>2587.83</v>
      </c>
      <c r="Y36" s="183" t="inlineStr">
        <is>
          <t>.</t>
        </is>
      </c>
      <c r="Z36" s="184">
        <f>SUM(AA36:AL36)</f>
        <v/>
      </c>
      <c r="AA36" s="185" t="n">
        <v>0</v>
      </c>
      <c r="AB36" s="185" t="n">
        <v>0</v>
      </c>
      <c r="AC36" s="185" t="n">
        <v>0</v>
      </c>
      <c r="AD36" s="185" t="n">
        <v>0</v>
      </c>
      <c r="AE36" s="185" t="n">
        <v>0</v>
      </c>
      <c r="AF36" s="185" t="n">
        <v>2586.66</v>
      </c>
      <c r="AG36" s="185" t="n">
        <v>2043.24</v>
      </c>
      <c r="AH36" s="185" t="n">
        <v>4301.4</v>
      </c>
      <c r="AI36" s="185" t="n">
        <v>0</v>
      </c>
      <c r="AJ36" s="185" t="n">
        <v>2879.73</v>
      </c>
      <c r="AK36" s="185" t="n">
        <v>1611.6</v>
      </c>
      <c r="AL36" s="186" t="n">
        <v>0</v>
      </c>
      <c r="AM36" s="30" t="inlineStr">
        <is>
          <t>.</t>
        </is>
      </c>
      <c r="AN36" s="187">
        <f>IF(L36=0,0,Z36/L36)</f>
        <v/>
      </c>
      <c r="AO36" s="57">
        <f>IF(AN36&gt;=1,"🟢",IF(AN36&gt;=0.7,"🟡",IF(AN36&gt;=0.4,"🟠","🔴")))</f>
        <v/>
      </c>
      <c r="AP36" s="185">
        <f>L36-Z36</f>
        <v/>
      </c>
      <c r="AQ36" s="55">
        <f>RANK(Z36,$Z$4:$Z$503,0)</f>
        <v/>
      </c>
      <c r="AR36" s="39" t="inlineStr">
        <is>
          <t>.</t>
        </is>
      </c>
      <c r="AS36" s="74" t="inlineStr">
        <is>
          <t xml:space="preserve"> LEGENDA META DISTRIBUÍDA</t>
        </is>
      </c>
      <c r="AT36" s="73" t="n"/>
      <c r="AU36" s="73" t="n"/>
      <c r="AV36" s="73" t="n"/>
      <c r="AW36" s="73" t="n"/>
      <c r="AX36" s="73" t="n"/>
      <c r="AY36" s="197" t="n"/>
      <c r="AZ36" s="198" t="n"/>
      <c r="BA36" s="38" t="inlineStr">
        <is>
          <t>.</t>
        </is>
      </c>
      <c r="BB36" s="190">
        <f>SUM(BC36:BN36)</f>
        <v/>
      </c>
      <c r="BC36" s="191">
        <f>L36*0.0702730030</f>
        <v/>
      </c>
      <c r="BD36" s="191">
        <f>L36*0.0734327604</f>
        <v/>
      </c>
      <c r="BE36" s="191">
        <f>L36*0.0752022245</f>
        <v/>
      </c>
      <c r="BF36" s="191">
        <f>L36*0.0771612740</f>
        <v/>
      </c>
      <c r="BG36" s="191">
        <f>L36*0.0796890799</f>
        <v/>
      </c>
      <c r="BH36" s="191">
        <f>L36*0.0817745197</f>
        <v/>
      </c>
      <c r="BI36" s="191">
        <f>L36*0.0849342770</f>
        <v/>
      </c>
      <c r="BJ36" s="191">
        <f>L36*0.0870197169</f>
        <v/>
      </c>
      <c r="BK36" s="191">
        <f>L36*0.0889787664</f>
        <v/>
      </c>
      <c r="BL36" s="191">
        <f>L36*0.0911905966</f>
        <v/>
      </c>
      <c r="BM36" s="191">
        <f>L36*0.0935920121</f>
        <v/>
      </c>
      <c r="BN36" s="192">
        <f>L36*0.0967517695</f>
        <v/>
      </c>
      <c r="BO36" s="36" t="inlineStr">
        <is>
          <t>.</t>
        </is>
      </c>
      <c r="BP36" s="193">
        <f>SUM(BQ36:CB36)</f>
        <v/>
      </c>
      <c r="BQ36" s="191">
        <f>MAX(0,BC36-AA36)</f>
        <v/>
      </c>
      <c r="BR36" s="191">
        <f>MAX(0,BD36-AB36)</f>
        <v/>
      </c>
      <c r="BS36" s="191">
        <f>MAX(0,BE36-AC36)</f>
        <v/>
      </c>
      <c r="BT36" s="191">
        <f>MAX(0,BF36-AD36)</f>
        <v/>
      </c>
      <c r="BU36" s="191">
        <f>MAX(0,BG36-AE36)</f>
        <v/>
      </c>
      <c r="BV36" s="191">
        <f>MAX(0,BH36-AF36)</f>
        <v/>
      </c>
      <c r="BW36" s="191">
        <f>MAX(0,BI36-AG36)</f>
        <v/>
      </c>
      <c r="BX36" s="191">
        <f>MAX(0,BJ36-AH36)</f>
        <v/>
      </c>
      <c r="BY36" s="191">
        <f>MAX(0,BK36-AI36)</f>
        <v/>
      </c>
      <c r="BZ36" s="191">
        <f>MAX(0,BL36-AJ36)</f>
        <v/>
      </c>
      <c r="CA36" s="191">
        <f>MAX(0,BM36-AK36)</f>
        <v/>
      </c>
      <c r="CB36" s="192">
        <f>MAX(0,BN36-AL36)</f>
        <v/>
      </c>
    </row>
    <row r="37">
      <c r="A37" s="64" t="inlineStr">
        <is>
          <t>58072623000150</t>
        </is>
      </c>
      <c r="B37" s="57" t="inlineStr">
        <is>
          <t>KLOSTERMANN NUTRICAO LTDA</t>
        </is>
      </c>
      <c r="C37" s="57" t="inlineStr">
        <is>
          <t>FITLAND</t>
        </is>
      </c>
      <c r="D37" s="61" t="inlineStr">
        <is>
          <t>JULIO GADRET</t>
        </is>
      </c>
      <c r="E37" s="30" t="inlineStr">
        <is>
          <t>.</t>
        </is>
      </c>
      <c r="F37" s="63" t="n">
        <v>89</v>
      </c>
      <c r="G37" s="179" t="n">
        <v>0.298</v>
      </c>
      <c r="H37" s="57" t="inlineStr">
        <is>
          <t>🔴 VERMELHO</t>
        </is>
      </c>
      <c r="I37" s="57" t="inlineStr">
        <is>
          <t>POSITIVAÇÃO</t>
        </is>
      </c>
      <c r="J37" s="61" t="inlineStr">
        <is>
          <t>Aumentar frequência + Expandir base</t>
        </is>
      </c>
      <c r="K37" s="30" t="inlineStr">
        <is>
          <t>.</t>
        </is>
      </c>
      <c r="L37" s="180" t="n">
        <v>26033.30000000001</v>
      </c>
      <c r="M37" s="181" t="n">
        <v>1829.44</v>
      </c>
      <c r="N37" s="181" t="n">
        <v>1911.7</v>
      </c>
      <c r="O37" s="181" t="n">
        <v>1957.76</v>
      </c>
      <c r="P37" s="181" t="n">
        <v>2008.76</v>
      </c>
      <c r="Q37" s="181" t="n">
        <v>2074.57</v>
      </c>
      <c r="R37" s="181" t="n">
        <v>2128.86</v>
      </c>
      <c r="S37" s="181" t="n">
        <v>2211.12</v>
      </c>
      <c r="T37" s="181" t="n">
        <v>2265.41</v>
      </c>
      <c r="U37" s="181" t="n">
        <v>2316.41</v>
      </c>
      <c r="V37" s="181" t="n">
        <v>2373.99</v>
      </c>
      <c r="W37" s="181" t="n">
        <v>2436.51</v>
      </c>
      <c r="X37" s="182" t="n">
        <v>2518.77</v>
      </c>
      <c r="Y37" s="183" t="inlineStr">
        <is>
          <t>.</t>
        </is>
      </c>
      <c r="Z37" s="184">
        <f>SUM(AA37:AL37)</f>
        <v/>
      </c>
      <c r="AA37" s="185" t="n">
        <v>0</v>
      </c>
      <c r="AB37" s="185" t="n">
        <v>0</v>
      </c>
      <c r="AC37" s="185" t="n">
        <v>2314.46</v>
      </c>
      <c r="AD37" s="185" t="n">
        <v>0</v>
      </c>
      <c r="AE37" s="185" t="n">
        <v>671.64</v>
      </c>
      <c r="AF37" s="185" t="n">
        <v>0</v>
      </c>
      <c r="AG37" s="185" t="n">
        <v>0</v>
      </c>
      <c r="AH37" s="185" t="n">
        <v>1445.95</v>
      </c>
      <c r="AI37" s="185" t="n">
        <v>2992.97</v>
      </c>
      <c r="AJ37" s="185" t="n">
        <v>4879.12</v>
      </c>
      <c r="AK37" s="185" t="n">
        <v>0</v>
      </c>
      <c r="AL37" s="186" t="n">
        <v>0</v>
      </c>
      <c r="AM37" s="30" t="inlineStr">
        <is>
          <t>.</t>
        </is>
      </c>
      <c r="AN37" s="187">
        <f>IF(L37=0,0,Z37/L37)</f>
        <v/>
      </c>
      <c r="AO37" s="57">
        <f>IF(AN37&gt;=1,"🟢",IF(AN37&gt;=0.7,"🟡",IF(AN37&gt;=0.4,"🟠","🔴")))</f>
        <v/>
      </c>
      <c r="AP37" s="185">
        <f>L37-Z37</f>
        <v/>
      </c>
      <c r="AQ37" s="55">
        <f>RANK(Z37,$Z$4:$Z$503,0)</f>
        <v/>
      </c>
      <c r="AR37" s="39" t="inlineStr">
        <is>
          <t>.</t>
        </is>
      </c>
      <c r="AS37" s="70" t="inlineStr">
        <is>
          <t>META DIST = Meta Global ÷ Total Clientes na Base</t>
        </is>
      </c>
      <c r="AZ37" s="200" t="n"/>
      <c r="BA37" s="38" t="inlineStr">
        <is>
          <t>.</t>
        </is>
      </c>
      <c r="BB37" s="190">
        <f>SUM(BC37:BN37)</f>
        <v/>
      </c>
      <c r="BC37" s="191">
        <f>L37*0.0702730030</f>
        <v/>
      </c>
      <c r="BD37" s="191">
        <f>L37*0.0734327604</f>
        <v/>
      </c>
      <c r="BE37" s="191">
        <f>L37*0.0752022245</f>
        <v/>
      </c>
      <c r="BF37" s="191">
        <f>L37*0.0771612740</f>
        <v/>
      </c>
      <c r="BG37" s="191">
        <f>L37*0.0796890799</f>
        <v/>
      </c>
      <c r="BH37" s="191">
        <f>L37*0.0817745197</f>
        <v/>
      </c>
      <c r="BI37" s="191">
        <f>L37*0.0849342770</f>
        <v/>
      </c>
      <c r="BJ37" s="191">
        <f>L37*0.0870197169</f>
        <v/>
      </c>
      <c r="BK37" s="191">
        <f>L37*0.0889787664</f>
        <v/>
      </c>
      <c r="BL37" s="191">
        <f>L37*0.0911905966</f>
        <v/>
      </c>
      <c r="BM37" s="191">
        <f>L37*0.0935920121</f>
        <v/>
      </c>
      <c r="BN37" s="192">
        <f>L37*0.0967517695</f>
        <v/>
      </c>
      <c r="BO37" s="36" t="inlineStr">
        <is>
          <t>.</t>
        </is>
      </c>
      <c r="BP37" s="193">
        <f>SUM(BQ37:CB37)</f>
        <v/>
      </c>
      <c r="BQ37" s="191">
        <f>MAX(0,BC37-AA37)</f>
        <v/>
      </c>
      <c r="BR37" s="191">
        <f>MAX(0,BD37-AB37)</f>
        <v/>
      </c>
      <c r="BS37" s="191">
        <f>MAX(0,BE37-AC37)</f>
        <v/>
      </c>
      <c r="BT37" s="191">
        <f>MAX(0,BF37-AD37)</f>
        <v/>
      </c>
      <c r="BU37" s="191">
        <f>MAX(0,BG37-AE37)</f>
        <v/>
      </c>
      <c r="BV37" s="191">
        <f>MAX(0,BH37-AF37)</f>
        <v/>
      </c>
      <c r="BW37" s="191">
        <f>MAX(0,BI37-AG37)</f>
        <v/>
      </c>
      <c r="BX37" s="191">
        <f>MAX(0,BJ37-AH37)</f>
        <v/>
      </c>
      <c r="BY37" s="191">
        <f>MAX(0,BK37-AI37)</f>
        <v/>
      </c>
      <c r="BZ37" s="191">
        <f>MAX(0,BL37-AJ37)</f>
        <v/>
      </c>
      <c r="CA37" s="191">
        <f>MAX(0,BM37-AK37)</f>
        <v/>
      </c>
      <c r="CB37" s="192">
        <f>MAX(0,BN37-AL37)</f>
        <v/>
      </c>
    </row>
    <row r="38">
      <c r="A38" s="64" t="inlineStr">
        <is>
          <t>40917018000177</t>
        </is>
      </c>
      <c r="B38" s="57" t="inlineStr">
        <is>
          <t>EPC PRODUTOS NATURAIS E SUPLEMENTACAO LT</t>
        </is>
      </c>
      <c r="C38" s="57" t="inlineStr">
        <is>
          <t>FITLAND</t>
        </is>
      </c>
      <c r="D38" s="61" t="inlineStr">
        <is>
          <t>JULIO GADRET</t>
        </is>
      </c>
      <c r="E38" s="30" t="inlineStr">
        <is>
          <t>.</t>
        </is>
      </c>
      <c r="F38" s="63" t="n">
        <v>89</v>
      </c>
      <c r="G38" s="179" t="n">
        <v>0.298</v>
      </c>
      <c r="H38" s="57" t="inlineStr">
        <is>
          <t>🔴 VERMELHO</t>
        </is>
      </c>
      <c r="I38" s="57" t="inlineStr">
        <is>
          <t>POSITIVAÇÃO</t>
        </is>
      </c>
      <c r="J38" s="61" t="inlineStr">
        <is>
          <t>Aumentar frequência + Expandir base</t>
        </is>
      </c>
      <c r="K38" s="30" t="inlineStr">
        <is>
          <t>.</t>
        </is>
      </c>
      <c r="L38" s="180" t="n">
        <v>25876</v>
      </c>
      <c r="M38" s="181" t="n">
        <v>1818.38</v>
      </c>
      <c r="N38" s="181" t="n">
        <v>1900.15</v>
      </c>
      <c r="O38" s="181" t="n">
        <v>1945.93</v>
      </c>
      <c r="P38" s="181" t="n">
        <v>1996.63</v>
      </c>
      <c r="Q38" s="181" t="n">
        <v>2062.03</v>
      </c>
      <c r="R38" s="181" t="n">
        <v>2116</v>
      </c>
      <c r="S38" s="181" t="n">
        <v>2197.76</v>
      </c>
      <c r="T38" s="181" t="n">
        <v>2251.72</v>
      </c>
      <c r="U38" s="181" t="n">
        <v>2302.41</v>
      </c>
      <c r="V38" s="181" t="n">
        <v>2359.65</v>
      </c>
      <c r="W38" s="181" t="n">
        <v>2421.79</v>
      </c>
      <c r="X38" s="182" t="n">
        <v>2503.55</v>
      </c>
      <c r="Y38" s="183" t="inlineStr">
        <is>
          <t>.</t>
        </is>
      </c>
      <c r="Z38" s="184">
        <f>SUM(AA38:AL38)</f>
        <v/>
      </c>
      <c r="AA38" s="185" t="n">
        <v>0</v>
      </c>
      <c r="AB38" s="185" t="n">
        <v>0</v>
      </c>
      <c r="AC38" s="185" t="n">
        <v>0</v>
      </c>
      <c r="AD38" s="185" t="n">
        <v>0</v>
      </c>
      <c r="AE38" s="185" t="n">
        <v>0</v>
      </c>
      <c r="AF38" s="185" t="n">
        <v>2582.45</v>
      </c>
      <c r="AG38" s="185" t="n">
        <v>2274.05</v>
      </c>
      <c r="AH38" s="185" t="n">
        <v>2221.24</v>
      </c>
      <c r="AI38" s="185" t="n">
        <v>0</v>
      </c>
      <c r="AJ38" s="185" t="n">
        <v>3984.77</v>
      </c>
      <c r="AK38" s="185" t="n">
        <v>0</v>
      </c>
      <c r="AL38" s="186" t="n">
        <v>0</v>
      </c>
      <c r="AM38" s="30" t="inlineStr">
        <is>
          <t>.</t>
        </is>
      </c>
      <c r="AN38" s="187">
        <f>IF(L38=0,0,Z38/L38)</f>
        <v/>
      </c>
      <c r="AO38" s="57">
        <f>IF(AN38&gt;=1,"🟢",IF(AN38&gt;=0.7,"🟡",IF(AN38&gt;=0.4,"🟠","🔴")))</f>
        <v/>
      </c>
      <c r="AP38" s="185">
        <f>L38-Z38</f>
        <v/>
      </c>
      <c r="AQ38" s="55">
        <f>RANK(Z38,$Z$4:$Z$503,0)</f>
        <v/>
      </c>
      <c r="AR38" s="39" t="inlineStr">
        <is>
          <t>.</t>
        </is>
      </c>
      <c r="AS38" s="68" t="e">
        <v>#NAME?</v>
      </c>
      <c r="AT38" s="67" t="n"/>
      <c r="AU38" s="67" t="n"/>
      <c r="AV38" s="67" t="n"/>
      <c r="AW38" s="67" t="n"/>
      <c r="AX38" s="67" t="n"/>
      <c r="AY38" s="205" t="n"/>
      <c r="AZ38" s="206" t="n"/>
      <c r="BA38" s="38" t="inlineStr">
        <is>
          <t>.</t>
        </is>
      </c>
      <c r="BB38" s="190">
        <f>SUM(BC38:BN38)</f>
        <v/>
      </c>
      <c r="BC38" s="191">
        <f>L38*0.0702730030</f>
        <v/>
      </c>
      <c r="BD38" s="191">
        <f>L38*0.0734327604</f>
        <v/>
      </c>
      <c r="BE38" s="191">
        <f>L38*0.0752022245</f>
        <v/>
      </c>
      <c r="BF38" s="191">
        <f>L38*0.0771612740</f>
        <v/>
      </c>
      <c r="BG38" s="191">
        <f>L38*0.0796890799</f>
        <v/>
      </c>
      <c r="BH38" s="191">
        <f>L38*0.0817745197</f>
        <v/>
      </c>
      <c r="BI38" s="191">
        <f>L38*0.0849342770</f>
        <v/>
      </c>
      <c r="BJ38" s="191">
        <f>L38*0.0870197169</f>
        <v/>
      </c>
      <c r="BK38" s="191">
        <f>L38*0.0889787664</f>
        <v/>
      </c>
      <c r="BL38" s="191">
        <f>L38*0.0911905966</f>
        <v/>
      </c>
      <c r="BM38" s="191">
        <f>L38*0.0935920121</f>
        <v/>
      </c>
      <c r="BN38" s="192">
        <f>L38*0.0967517695</f>
        <v/>
      </c>
      <c r="BO38" s="36" t="inlineStr">
        <is>
          <t>.</t>
        </is>
      </c>
      <c r="BP38" s="193">
        <f>SUM(BQ38:CB38)</f>
        <v/>
      </c>
      <c r="BQ38" s="191">
        <f>MAX(0,BC38-AA38)</f>
        <v/>
      </c>
      <c r="BR38" s="191">
        <f>MAX(0,BD38-AB38)</f>
        <v/>
      </c>
      <c r="BS38" s="191">
        <f>MAX(0,BE38-AC38)</f>
        <v/>
      </c>
      <c r="BT38" s="191">
        <f>MAX(0,BF38-AD38)</f>
        <v/>
      </c>
      <c r="BU38" s="191">
        <f>MAX(0,BG38-AE38)</f>
        <v/>
      </c>
      <c r="BV38" s="191">
        <f>MAX(0,BH38-AF38)</f>
        <v/>
      </c>
      <c r="BW38" s="191">
        <f>MAX(0,BI38-AG38)</f>
        <v/>
      </c>
      <c r="BX38" s="191">
        <f>MAX(0,BJ38-AH38)</f>
        <v/>
      </c>
      <c r="BY38" s="191">
        <f>MAX(0,BK38-AI38)</f>
        <v/>
      </c>
      <c r="BZ38" s="191">
        <f>MAX(0,BL38-AJ38)</f>
        <v/>
      </c>
      <c r="CA38" s="191">
        <f>MAX(0,BM38-AK38)</f>
        <v/>
      </c>
      <c r="CB38" s="192">
        <f>MAX(0,BN38-AL38)</f>
        <v/>
      </c>
    </row>
    <row r="39">
      <c r="A39" s="64" t="inlineStr">
        <is>
          <t>53304073000133</t>
        </is>
      </c>
      <c r="B39" s="57" t="inlineStr">
        <is>
          <t>ECAMP PRODUTOS NATURAIS E SUPLEMENTOS LT</t>
        </is>
      </c>
      <c r="C39" s="57" t="inlineStr">
        <is>
          <t>FITLAND</t>
        </is>
      </c>
      <c r="D39" s="61" t="inlineStr">
        <is>
          <t>JULIO GADRET</t>
        </is>
      </c>
      <c r="E39" s="30" t="inlineStr">
        <is>
          <t>.</t>
        </is>
      </c>
      <c r="F39" s="63" t="n">
        <v>89</v>
      </c>
      <c r="G39" s="179" t="n">
        <v>0.298</v>
      </c>
      <c r="H39" s="57" t="inlineStr">
        <is>
          <t>🔴 VERMELHO</t>
        </is>
      </c>
      <c r="I39" s="57" t="inlineStr">
        <is>
          <t>POSITIVAÇÃO</t>
        </is>
      </c>
      <c r="J39" s="61" t="inlineStr">
        <is>
          <t>Aumentar frequência + Expandir base</t>
        </is>
      </c>
      <c r="K39" s="30" t="inlineStr">
        <is>
          <t>.</t>
        </is>
      </c>
      <c r="L39" s="180" t="n">
        <v>25584.22</v>
      </c>
      <c r="M39" s="181" t="n">
        <v>1797.88</v>
      </c>
      <c r="N39" s="181" t="n">
        <v>1878.72</v>
      </c>
      <c r="O39" s="181" t="n">
        <v>1923.99</v>
      </c>
      <c r="P39" s="181" t="n">
        <v>1974.11</v>
      </c>
      <c r="Q39" s="181" t="n">
        <v>2038.78</v>
      </c>
      <c r="R39" s="181" t="n">
        <v>2092.14</v>
      </c>
      <c r="S39" s="181" t="n">
        <v>2172.98</v>
      </c>
      <c r="T39" s="181" t="n">
        <v>2226.33</v>
      </c>
      <c r="U39" s="181" t="n">
        <v>2276.45</v>
      </c>
      <c r="V39" s="181" t="n">
        <v>2333.04</v>
      </c>
      <c r="W39" s="181" t="n">
        <v>2394.48</v>
      </c>
      <c r="X39" s="182" t="n">
        <v>2475.32</v>
      </c>
      <c r="Y39" s="183" t="inlineStr">
        <is>
          <t>.</t>
        </is>
      </c>
      <c r="Z39" s="184">
        <f>SUM(AA39:AL39)</f>
        <v/>
      </c>
      <c r="AA39" s="185" t="n">
        <v>710.16</v>
      </c>
      <c r="AB39" s="185" t="n">
        <v>0</v>
      </c>
      <c r="AC39" s="185" t="n">
        <v>0</v>
      </c>
      <c r="AD39" s="185" t="n">
        <v>0</v>
      </c>
      <c r="AE39" s="185" t="n">
        <v>0</v>
      </c>
      <c r="AF39" s="185" t="n">
        <v>2582.45</v>
      </c>
      <c r="AG39" s="185" t="n">
        <v>4775.12</v>
      </c>
      <c r="AH39" s="185" t="n">
        <v>0</v>
      </c>
      <c r="AI39" s="185" t="n">
        <v>0</v>
      </c>
      <c r="AJ39" s="185" t="n">
        <v>2546.18</v>
      </c>
      <c r="AK39" s="185" t="n">
        <v>0</v>
      </c>
      <c r="AL39" s="186" t="n">
        <v>1898.7</v>
      </c>
      <c r="AM39" s="30" t="inlineStr">
        <is>
          <t>.</t>
        </is>
      </c>
      <c r="AN39" s="187">
        <f>IF(L39=0,0,Z39/L39)</f>
        <v/>
      </c>
      <c r="AO39" s="57">
        <f>IF(AN39&gt;=1,"🟢",IF(AN39&gt;=0.7,"🟡",IF(AN39&gt;=0.4,"🟠","🔴")))</f>
        <v/>
      </c>
      <c r="AP39" s="185">
        <f>L39-Z39</f>
        <v/>
      </c>
      <c r="AQ39" s="55">
        <f>RANK(Z39,$Z$4:$Z$503,0)</f>
        <v/>
      </c>
      <c r="AR39" s="39" t="inlineStr">
        <is>
          <t>.</t>
        </is>
      </c>
      <c r="BA39" s="38" t="inlineStr">
        <is>
          <t>.</t>
        </is>
      </c>
      <c r="BB39" s="190">
        <f>SUM(BC39:BN39)</f>
        <v/>
      </c>
      <c r="BC39" s="191">
        <f>L39*0.0702730030</f>
        <v/>
      </c>
      <c r="BD39" s="191">
        <f>L39*0.0734327604</f>
        <v/>
      </c>
      <c r="BE39" s="191">
        <f>L39*0.0752022245</f>
        <v/>
      </c>
      <c r="BF39" s="191">
        <f>L39*0.0771612740</f>
        <v/>
      </c>
      <c r="BG39" s="191">
        <f>L39*0.0796890799</f>
        <v/>
      </c>
      <c r="BH39" s="191">
        <f>L39*0.0817745197</f>
        <v/>
      </c>
      <c r="BI39" s="191">
        <f>L39*0.0849342770</f>
        <v/>
      </c>
      <c r="BJ39" s="191">
        <f>L39*0.0870197169</f>
        <v/>
      </c>
      <c r="BK39" s="191">
        <f>L39*0.0889787664</f>
        <v/>
      </c>
      <c r="BL39" s="191">
        <f>L39*0.0911905966</f>
        <v/>
      </c>
      <c r="BM39" s="191">
        <f>L39*0.0935920121</f>
        <v/>
      </c>
      <c r="BN39" s="192">
        <f>L39*0.0967517695</f>
        <v/>
      </c>
      <c r="BO39" s="36" t="inlineStr">
        <is>
          <t>.</t>
        </is>
      </c>
      <c r="BP39" s="193">
        <f>SUM(BQ39:CB39)</f>
        <v/>
      </c>
      <c r="BQ39" s="191">
        <f>MAX(0,BC39-AA39)</f>
        <v/>
      </c>
      <c r="BR39" s="191">
        <f>MAX(0,BD39-AB39)</f>
        <v/>
      </c>
      <c r="BS39" s="191">
        <f>MAX(0,BE39-AC39)</f>
        <v/>
      </c>
      <c r="BT39" s="191">
        <f>MAX(0,BF39-AD39)</f>
        <v/>
      </c>
      <c r="BU39" s="191">
        <f>MAX(0,BG39-AE39)</f>
        <v/>
      </c>
      <c r="BV39" s="191">
        <f>MAX(0,BH39-AF39)</f>
        <v/>
      </c>
      <c r="BW39" s="191">
        <f>MAX(0,BI39-AG39)</f>
        <v/>
      </c>
      <c r="BX39" s="191">
        <f>MAX(0,BJ39-AH39)</f>
        <v/>
      </c>
      <c r="BY39" s="191">
        <f>MAX(0,BK39-AI39)</f>
        <v/>
      </c>
      <c r="BZ39" s="191">
        <f>MAX(0,BL39-AJ39)</f>
        <v/>
      </c>
      <c r="CA39" s="191">
        <f>MAX(0,BM39-AK39)</f>
        <v/>
      </c>
      <c r="CB39" s="192">
        <f>MAX(0,BN39-AL39)</f>
        <v/>
      </c>
    </row>
    <row r="40">
      <c r="A40" s="64" t="inlineStr">
        <is>
          <t>76726884000128</t>
        </is>
      </c>
      <c r="B40" s="57" t="inlineStr">
        <is>
          <t>INSTITUICAO ADVENTISTA SUL BRASILEIRA DE</t>
        </is>
      </c>
      <c r="C40" s="57" t="inlineStr">
        <is>
          <t>SEM GRUPO</t>
        </is>
      </c>
      <c r="D40" s="61" t="inlineStr">
        <is>
          <t>HEMANUELE DITZEL (MANU)</t>
        </is>
      </c>
      <c r="E40" s="30" t="inlineStr">
        <is>
          <t>.</t>
        </is>
      </c>
      <c r="F40" s="63" t="n"/>
      <c r="G40" s="179" t="n"/>
      <c r="H40" s="57" t="n"/>
      <c r="I40" s="57" t="n"/>
      <c r="J40" s="61" t="n"/>
      <c r="K40" s="30" t="inlineStr">
        <is>
          <t>.</t>
        </is>
      </c>
      <c r="L40" s="180" t="n">
        <v>25437.01</v>
      </c>
      <c r="M40" s="181" t="n">
        <v>1787.54</v>
      </c>
      <c r="N40" s="181" t="n">
        <v>1867.91</v>
      </c>
      <c r="O40" s="181" t="n">
        <v>1912.92</v>
      </c>
      <c r="P40" s="181" t="n">
        <v>1962.75</v>
      </c>
      <c r="Q40" s="181" t="n">
        <v>2027.05</v>
      </c>
      <c r="R40" s="181" t="n">
        <v>2080.1</v>
      </c>
      <c r="S40" s="181" t="n">
        <v>2160.47</v>
      </c>
      <c r="T40" s="181" t="n">
        <v>2213.52</v>
      </c>
      <c r="U40" s="181" t="n">
        <v>2263.35</v>
      </c>
      <c r="V40" s="181" t="n">
        <v>2319.62</v>
      </c>
      <c r="W40" s="181" t="n">
        <v>2380.7</v>
      </c>
      <c r="X40" s="182" t="n">
        <v>2461.08</v>
      </c>
      <c r="Y40" s="183" t="inlineStr">
        <is>
          <t>.</t>
        </is>
      </c>
      <c r="Z40" s="184">
        <f>SUM(AA40:AL40)</f>
        <v/>
      </c>
      <c r="AA40" s="185" t="n">
        <v>0</v>
      </c>
      <c r="AB40" s="185" t="n">
        <v>12631.81</v>
      </c>
      <c r="AC40" s="185" t="n">
        <v>0</v>
      </c>
      <c r="AD40" s="185" t="n">
        <v>4563.81</v>
      </c>
      <c r="AE40" s="185" t="n">
        <v>0</v>
      </c>
      <c r="AF40" s="185" t="n">
        <v>0</v>
      </c>
      <c r="AG40" s="185" t="n">
        <v>0</v>
      </c>
      <c r="AH40" s="185" t="n">
        <v>0</v>
      </c>
      <c r="AI40" s="185" t="n">
        <v>0</v>
      </c>
      <c r="AJ40" s="185" t="n">
        <v>0</v>
      </c>
      <c r="AK40" s="185" t="n">
        <v>0</v>
      </c>
      <c r="AL40" s="186" t="n">
        <v>0</v>
      </c>
      <c r="AM40" s="30" t="inlineStr">
        <is>
          <t>.</t>
        </is>
      </c>
      <c r="AN40" s="187">
        <f>IF(L40=0,0,Z40/L40)</f>
        <v/>
      </c>
      <c r="AO40" s="57">
        <f>IF(AN40&gt;=1,"🟢",IF(AN40&gt;=0.7,"🟡",IF(AN40&gt;=0.4,"🟠","🔴")))</f>
        <v/>
      </c>
      <c r="AP40" s="185">
        <f>L40-Z40</f>
        <v/>
      </c>
      <c r="AQ40" s="55">
        <f>RANK(Z40,$Z$4:$Z$503,0)</f>
        <v/>
      </c>
      <c r="AR40" s="39" t="inlineStr">
        <is>
          <t>.</t>
        </is>
      </c>
      <c r="AS40" s="74" t="inlineStr">
        <is>
          <t xml:space="preserve"> LEGENDA META COMPENSADA</t>
        </is>
      </c>
      <c r="AT40" s="73" t="n"/>
      <c r="AU40" s="73" t="n"/>
      <c r="AV40" s="73" t="n"/>
      <c r="AW40" s="73" t="n"/>
      <c r="AX40" s="73" t="n"/>
      <c r="AY40" s="197" t="n"/>
      <c r="AZ40" s="198" t="n"/>
      <c r="BA40" s="38" t="inlineStr">
        <is>
          <t>.</t>
        </is>
      </c>
      <c r="BB40" s="190">
        <f>SUM(BC40:BN40)</f>
        <v/>
      </c>
      <c r="BC40" s="191">
        <f>L40*0.0702730030</f>
        <v/>
      </c>
      <c r="BD40" s="191">
        <f>L40*0.0734327604</f>
        <v/>
      </c>
      <c r="BE40" s="191">
        <f>L40*0.0752022245</f>
        <v/>
      </c>
      <c r="BF40" s="191">
        <f>L40*0.0771612740</f>
        <v/>
      </c>
      <c r="BG40" s="191">
        <f>L40*0.0796890799</f>
        <v/>
      </c>
      <c r="BH40" s="191">
        <f>L40*0.0817745197</f>
        <v/>
      </c>
      <c r="BI40" s="191">
        <f>L40*0.0849342770</f>
        <v/>
      </c>
      <c r="BJ40" s="191">
        <f>L40*0.0870197169</f>
        <v/>
      </c>
      <c r="BK40" s="191">
        <f>L40*0.0889787664</f>
        <v/>
      </c>
      <c r="BL40" s="191">
        <f>L40*0.0911905966</f>
        <v/>
      </c>
      <c r="BM40" s="191">
        <f>L40*0.0935920121</f>
        <v/>
      </c>
      <c r="BN40" s="192">
        <f>L40*0.0967517695</f>
        <v/>
      </c>
      <c r="BO40" s="36" t="inlineStr">
        <is>
          <t>.</t>
        </is>
      </c>
      <c r="BP40" s="193">
        <f>SUM(BQ40:CB40)</f>
        <v/>
      </c>
      <c r="BQ40" s="191">
        <f>MAX(0,BC40-AA40)</f>
        <v/>
      </c>
      <c r="BR40" s="191">
        <f>MAX(0,BD40-AB40)</f>
        <v/>
      </c>
      <c r="BS40" s="191">
        <f>MAX(0,BE40-AC40)</f>
        <v/>
      </c>
      <c r="BT40" s="191">
        <f>MAX(0,BF40-AD40)</f>
        <v/>
      </c>
      <c r="BU40" s="191">
        <f>MAX(0,BG40-AE40)</f>
        <v/>
      </c>
      <c r="BV40" s="191">
        <f>MAX(0,BH40-AF40)</f>
        <v/>
      </c>
      <c r="BW40" s="191">
        <f>MAX(0,BI40-AG40)</f>
        <v/>
      </c>
      <c r="BX40" s="191">
        <f>MAX(0,BJ40-AH40)</f>
        <v/>
      </c>
      <c r="BY40" s="191">
        <f>MAX(0,BK40-AI40)</f>
        <v/>
      </c>
      <c r="BZ40" s="191">
        <f>MAX(0,BL40-AJ40)</f>
        <v/>
      </c>
      <c r="CA40" s="191">
        <f>MAX(0,BM40-AK40)</f>
        <v/>
      </c>
      <c r="CB40" s="192">
        <f>MAX(0,BN40-AL40)</f>
        <v/>
      </c>
    </row>
    <row r="41">
      <c r="A41" s="64" t="inlineStr">
        <is>
          <t>55699460000141</t>
        </is>
      </c>
      <c r="B41" s="57" t="inlineStr">
        <is>
          <t>AGRANOLLA GRAOS DE SAUDE LTDA - ME</t>
        </is>
      </c>
      <c r="C41" s="57" t="inlineStr">
        <is>
          <t>SEM GRUPO</t>
        </is>
      </c>
      <c r="D41" s="61" t="inlineStr">
        <is>
          <t>LARISSA PADILHA</t>
        </is>
      </c>
      <c r="E41" s="30" t="inlineStr">
        <is>
          <t>.</t>
        </is>
      </c>
      <c r="F41" s="63" t="n"/>
      <c r="G41" s="179" t="n"/>
      <c r="H41" s="57" t="n"/>
      <c r="I41" s="57" t="n"/>
      <c r="J41" s="61" t="n"/>
      <c r="K41" s="30" t="inlineStr">
        <is>
          <t>.</t>
        </is>
      </c>
      <c r="L41" s="180" t="n">
        <v>24833.31</v>
      </c>
      <c r="M41" s="181" t="n">
        <v>1745.11</v>
      </c>
      <c r="N41" s="181" t="n">
        <v>1823.58</v>
      </c>
      <c r="O41" s="181" t="n">
        <v>1867.52</v>
      </c>
      <c r="P41" s="181" t="n">
        <v>1916.17</v>
      </c>
      <c r="Q41" s="181" t="n">
        <v>1978.94</v>
      </c>
      <c r="R41" s="181" t="n">
        <v>2030.73</v>
      </c>
      <c r="S41" s="181" t="n">
        <v>2109.2</v>
      </c>
      <c r="T41" s="181" t="n">
        <v>2160.99</v>
      </c>
      <c r="U41" s="181" t="n">
        <v>2209.64</v>
      </c>
      <c r="V41" s="181" t="n">
        <v>2264.56</v>
      </c>
      <c r="W41" s="181" t="n">
        <v>2324.2</v>
      </c>
      <c r="X41" s="182" t="n">
        <v>2402.67</v>
      </c>
      <c r="Y41" s="183" t="inlineStr">
        <is>
          <t>.</t>
        </is>
      </c>
      <c r="Z41" s="184">
        <f>SUM(AA41:AL41)</f>
        <v/>
      </c>
      <c r="AA41" s="185" t="n">
        <v>0</v>
      </c>
      <c r="AB41" s="185" t="n">
        <v>0</v>
      </c>
      <c r="AC41" s="185" t="n">
        <v>0</v>
      </c>
      <c r="AD41" s="185" t="n">
        <v>0</v>
      </c>
      <c r="AE41" s="185" t="n">
        <v>0</v>
      </c>
      <c r="AF41" s="185" t="n">
        <v>0</v>
      </c>
      <c r="AG41" s="185" t="n">
        <v>0</v>
      </c>
      <c r="AH41" s="185" t="n">
        <v>0</v>
      </c>
      <c r="AI41" s="185" t="n">
        <v>0</v>
      </c>
      <c r="AJ41" s="185" t="n">
        <v>0</v>
      </c>
      <c r="AK41" s="185" t="n">
        <v>7896.35</v>
      </c>
      <c r="AL41" s="186" t="n">
        <v>2704.32</v>
      </c>
      <c r="AM41" s="222" t="n">
        <v>4528.38</v>
      </c>
      <c r="AN41" s="187">
        <f>IF(L41=0,0,Z41/L41)</f>
        <v/>
      </c>
      <c r="AO41" s="57">
        <f>IF(AN41&gt;=1,"🟢",IF(AN41&gt;=0.7,"🟡",IF(AN41&gt;=0.4,"🟠","🔴")))</f>
        <v/>
      </c>
      <c r="AP41" s="185">
        <f>L41-Z41</f>
        <v/>
      </c>
      <c r="AQ41" s="55">
        <f>RANK(Z41,$Z$4:$Z$503,0)</f>
        <v/>
      </c>
      <c r="AR41" s="39" t="inlineStr">
        <is>
          <t>.</t>
        </is>
      </c>
      <c r="AS41" s="70" t="inlineStr">
        <is>
          <t>Se REAL ≥ META DIST → Cliente OK (mostra 0)</t>
        </is>
      </c>
      <c r="AZ41" s="200" t="n"/>
      <c r="BA41" s="38" t="inlineStr">
        <is>
          <t>.</t>
        </is>
      </c>
      <c r="BB41" s="190">
        <f>SUM(BC41:BN41)</f>
        <v/>
      </c>
      <c r="BC41" s="191">
        <f>L41*0.0702730030</f>
        <v/>
      </c>
      <c r="BD41" s="191">
        <f>L41*0.0734327604</f>
        <v/>
      </c>
      <c r="BE41" s="191">
        <f>L41*0.0752022245</f>
        <v/>
      </c>
      <c r="BF41" s="191">
        <f>L41*0.0771612740</f>
        <v/>
      </c>
      <c r="BG41" s="191">
        <f>L41*0.0796890799</f>
        <v/>
      </c>
      <c r="BH41" s="191">
        <f>L41*0.0817745197</f>
        <v/>
      </c>
      <c r="BI41" s="191">
        <f>L41*0.0849342770</f>
        <v/>
      </c>
      <c r="BJ41" s="191">
        <f>L41*0.0870197169</f>
        <v/>
      </c>
      <c r="BK41" s="191">
        <f>L41*0.0889787664</f>
        <v/>
      </c>
      <c r="BL41" s="191">
        <f>L41*0.0911905966</f>
        <v/>
      </c>
      <c r="BM41" s="191">
        <f>L41*0.0935920121</f>
        <v/>
      </c>
      <c r="BN41" s="192">
        <f>L41*0.0967517695</f>
        <v/>
      </c>
      <c r="BO41" s="36" t="inlineStr">
        <is>
          <t>.</t>
        </is>
      </c>
      <c r="BP41" s="193">
        <f>SUM(BQ41:CB41)</f>
        <v/>
      </c>
      <c r="BQ41" s="191">
        <f>MAX(0,BC41-AA41)</f>
        <v/>
      </c>
      <c r="BR41" s="191">
        <f>MAX(0,BD41-AB41)</f>
        <v/>
      </c>
      <c r="BS41" s="191">
        <f>MAX(0,BE41-AC41)</f>
        <v/>
      </c>
      <c r="BT41" s="191">
        <f>MAX(0,BF41-AD41)</f>
        <v/>
      </c>
      <c r="BU41" s="191">
        <f>MAX(0,BG41-AE41)</f>
        <v/>
      </c>
      <c r="BV41" s="191">
        <f>MAX(0,BH41-AF41)</f>
        <v/>
      </c>
      <c r="BW41" s="191">
        <f>MAX(0,BI41-AG41)</f>
        <v/>
      </c>
      <c r="BX41" s="191">
        <f>MAX(0,BJ41-AH41)</f>
        <v/>
      </c>
      <c r="BY41" s="191">
        <f>MAX(0,BK41-AI41)</f>
        <v/>
      </c>
      <c r="BZ41" s="191">
        <f>MAX(0,BL41-AJ41)</f>
        <v/>
      </c>
      <c r="CA41" s="191">
        <f>MAX(0,BM41-AK41)</f>
        <v/>
      </c>
      <c r="CB41" s="192">
        <f>MAX(0,BN41-AL41)</f>
        <v/>
      </c>
    </row>
    <row r="42">
      <c r="A42" s="64" t="inlineStr">
        <is>
          <t>41069473000122</t>
        </is>
      </c>
      <c r="B42" s="57" t="inlineStr">
        <is>
          <t>MERCADO FIT &amp; GRANEL PRODUTOS NATURAIS L</t>
        </is>
      </c>
      <c r="C42" s="57" t="inlineStr">
        <is>
          <t>SEM GRUPO</t>
        </is>
      </c>
      <c r="D42" s="61" t="inlineStr">
        <is>
          <t>LARISSA PADILHA</t>
        </is>
      </c>
      <c r="E42" s="30" t="inlineStr">
        <is>
          <t>.</t>
        </is>
      </c>
      <c r="F42" s="63" t="n"/>
      <c r="G42" s="179" t="n"/>
      <c r="H42" s="57" t="n"/>
      <c r="I42" s="57" t="n"/>
      <c r="J42" s="61" t="n"/>
      <c r="K42" s="30" t="inlineStr">
        <is>
          <t>.</t>
        </is>
      </c>
      <c r="L42" s="180" t="n">
        <v>24609.98</v>
      </c>
      <c r="M42" s="181" t="n">
        <v>1729.42</v>
      </c>
      <c r="N42" s="181" t="n">
        <v>1807.18</v>
      </c>
      <c r="O42" s="181" t="n">
        <v>1850.72</v>
      </c>
      <c r="P42" s="181" t="n">
        <v>1898.94</v>
      </c>
      <c r="Q42" s="181" t="n">
        <v>1961.15</v>
      </c>
      <c r="R42" s="181" t="n">
        <v>2012.47</v>
      </c>
      <c r="S42" s="181" t="n">
        <v>2090.23</v>
      </c>
      <c r="T42" s="181" t="n">
        <v>2141.55</v>
      </c>
      <c r="U42" s="181" t="n">
        <v>2189.76</v>
      </c>
      <c r="V42" s="181" t="n">
        <v>2244.2</v>
      </c>
      <c r="W42" s="181" t="n">
        <v>2303.3</v>
      </c>
      <c r="X42" s="182" t="n">
        <v>2381.06</v>
      </c>
      <c r="Y42" s="183" t="inlineStr">
        <is>
          <t>.</t>
        </is>
      </c>
      <c r="Z42" s="184">
        <f>SUM(AA42:AL42)</f>
        <v/>
      </c>
      <c r="AA42" s="185" t="n">
        <v>0</v>
      </c>
      <c r="AB42" s="185" t="n">
        <v>0</v>
      </c>
      <c r="AC42" s="185" t="n">
        <v>0</v>
      </c>
      <c r="AD42" s="185" t="n">
        <v>0</v>
      </c>
      <c r="AE42" s="185" t="n">
        <v>0</v>
      </c>
      <c r="AF42" s="185" t="n">
        <v>1653.76</v>
      </c>
      <c r="AG42" s="185" t="n">
        <v>3975.65</v>
      </c>
      <c r="AH42" s="185" t="n">
        <v>2451.83</v>
      </c>
      <c r="AI42" s="185" t="n">
        <v>934.52</v>
      </c>
      <c r="AJ42" s="185" t="n">
        <v>0</v>
      </c>
      <c r="AK42" s="185" t="n">
        <v>0</v>
      </c>
      <c r="AL42" s="186" t="n">
        <v>2103.08</v>
      </c>
      <c r="AM42" s="30" t="inlineStr">
        <is>
          <t>.</t>
        </is>
      </c>
      <c r="AN42" s="187">
        <f>IF(L42=0,0,Z42/L42)</f>
        <v/>
      </c>
      <c r="AO42" s="57">
        <f>IF(AN42&gt;=1,"🟢",IF(AN42&gt;=0.7,"🟡",IF(AN42&gt;=0.4,"🟠","🔴")))</f>
        <v/>
      </c>
      <c r="AP42" s="185">
        <f>L42-Z42</f>
        <v/>
      </c>
      <c r="AQ42" s="55">
        <f>RANK(Z42,$Z$4:$Z$503,0)</f>
        <v/>
      </c>
      <c r="AR42" s="39" t="inlineStr">
        <is>
          <t>.</t>
        </is>
      </c>
      <c r="AS42" s="70" t="inlineStr">
        <is>
          <t>Se REAL &lt; META DIST → Recebe quota compensada</t>
        </is>
      </c>
      <c r="AZ42" s="200" t="n"/>
      <c r="BA42" s="38" t="inlineStr">
        <is>
          <t>.</t>
        </is>
      </c>
      <c r="BB42" s="190">
        <f>SUM(BC42:BN42)</f>
        <v/>
      </c>
      <c r="BC42" s="191">
        <f>L42*0.0702730030</f>
        <v/>
      </c>
      <c r="BD42" s="191">
        <f>L42*0.0734327604</f>
        <v/>
      </c>
      <c r="BE42" s="191">
        <f>L42*0.0752022245</f>
        <v/>
      </c>
      <c r="BF42" s="191">
        <f>L42*0.0771612740</f>
        <v/>
      </c>
      <c r="BG42" s="191">
        <f>L42*0.0796890799</f>
        <v/>
      </c>
      <c r="BH42" s="191">
        <f>L42*0.0817745197</f>
        <v/>
      </c>
      <c r="BI42" s="191">
        <f>L42*0.0849342770</f>
        <v/>
      </c>
      <c r="BJ42" s="191">
        <f>L42*0.0870197169</f>
        <v/>
      </c>
      <c r="BK42" s="191">
        <f>L42*0.0889787664</f>
        <v/>
      </c>
      <c r="BL42" s="191">
        <f>L42*0.0911905966</f>
        <v/>
      </c>
      <c r="BM42" s="191">
        <f>L42*0.0935920121</f>
        <v/>
      </c>
      <c r="BN42" s="192">
        <f>L42*0.0967517695</f>
        <v/>
      </c>
      <c r="BO42" s="36" t="inlineStr">
        <is>
          <t>.</t>
        </is>
      </c>
      <c r="BP42" s="193">
        <f>SUM(BQ42:CB42)</f>
        <v/>
      </c>
      <c r="BQ42" s="191">
        <f>MAX(0,BC42-AA42)</f>
        <v/>
      </c>
      <c r="BR42" s="191">
        <f>MAX(0,BD42-AB42)</f>
        <v/>
      </c>
      <c r="BS42" s="191">
        <f>MAX(0,BE42-AC42)</f>
        <v/>
      </c>
      <c r="BT42" s="191">
        <f>MAX(0,BF42-AD42)</f>
        <v/>
      </c>
      <c r="BU42" s="191">
        <f>MAX(0,BG42-AE42)</f>
        <v/>
      </c>
      <c r="BV42" s="191">
        <f>MAX(0,BH42-AF42)</f>
        <v/>
      </c>
      <c r="BW42" s="191">
        <f>MAX(0,BI42-AG42)</f>
        <v/>
      </c>
      <c r="BX42" s="191">
        <f>MAX(0,BJ42-AH42)</f>
        <v/>
      </c>
      <c r="BY42" s="191">
        <f>MAX(0,BK42-AI42)</f>
        <v/>
      </c>
      <c r="BZ42" s="191">
        <f>MAX(0,BL42-AJ42)</f>
        <v/>
      </c>
      <c r="CA42" s="191">
        <f>MAX(0,BM42-AK42)</f>
        <v/>
      </c>
      <c r="CB42" s="192">
        <f>MAX(0,BN42-AL42)</f>
        <v/>
      </c>
    </row>
    <row r="43">
      <c r="A43" s="64" t="inlineStr">
        <is>
          <t>16762003000100</t>
        </is>
      </c>
      <c r="B43" s="57" t="inlineStr">
        <is>
          <t>VITA PRODUTOS NATURAIS GTBA LTDA - ME</t>
        </is>
      </c>
      <c r="C43" s="57" t="inlineStr">
        <is>
          <t>SEM GRUPO</t>
        </is>
      </c>
      <c r="D43" s="61" t="inlineStr">
        <is>
          <t>LARISSA PADILHA</t>
        </is>
      </c>
      <c r="E43" s="30" t="inlineStr">
        <is>
          <t>.</t>
        </is>
      </c>
      <c r="F43" s="63" t="n"/>
      <c r="G43" s="179" t="n"/>
      <c r="H43" s="57" t="n"/>
      <c r="I43" s="57" t="n"/>
      <c r="J43" s="61" t="n"/>
      <c r="K43" s="30" t="inlineStr">
        <is>
          <t>.</t>
        </is>
      </c>
      <c r="L43" s="180" t="n">
        <v>24463.87</v>
      </c>
      <c r="M43" s="181" t="n">
        <v>1719.15</v>
      </c>
      <c r="N43" s="181" t="n">
        <v>1796.45</v>
      </c>
      <c r="O43" s="181" t="n">
        <v>1839.74</v>
      </c>
      <c r="P43" s="181" t="n">
        <v>1887.66</v>
      </c>
      <c r="Q43" s="181" t="n">
        <v>1949.5</v>
      </c>
      <c r="R43" s="181" t="n">
        <v>2000.52</v>
      </c>
      <c r="S43" s="181" t="n">
        <v>2077.82</v>
      </c>
      <c r="T43" s="181" t="n">
        <v>2128.84</v>
      </c>
      <c r="U43" s="181" t="n">
        <v>2176.77</v>
      </c>
      <c r="V43" s="181" t="n">
        <v>2230.88</v>
      </c>
      <c r="W43" s="181" t="n">
        <v>2289.62</v>
      </c>
      <c r="X43" s="182" t="n">
        <v>2366.92</v>
      </c>
      <c r="Y43" s="183" t="inlineStr">
        <is>
          <t>.</t>
        </is>
      </c>
      <c r="Z43" s="184">
        <f>SUM(AA43:AL43)</f>
        <v/>
      </c>
      <c r="AA43" s="185" t="n">
        <v>0</v>
      </c>
      <c r="AB43" s="185" t="n">
        <v>0</v>
      </c>
      <c r="AC43" s="185" t="n">
        <v>0</v>
      </c>
      <c r="AD43" s="185" t="n">
        <v>1896.16</v>
      </c>
      <c r="AE43" s="185" t="n">
        <v>0</v>
      </c>
      <c r="AF43" s="185" t="n">
        <v>2768.98</v>
      </c>
      <c r="AG43" s="185" t="n">
        <v>0</v>
      </c>
      <c r="AH43" s="185" t="n">
        <v>1899.86</v>
      </c>
      <c r="AI43" s="185" t="n">
        <v>0</v>
      </c>
      <c r="AJ43" s="185" t="n">
        <v>0</v>
      </c>
      <c r="AK43" s="185" t="n">
        <v>4243.32</v>
      </c>
      <c r="AL43" s="186" t="n">
        <v>0</v>
      </c>
      <c r="AM43" s="30" t="inlineStr">
        <is>
          <t>.</t>
        </is>
      </c>
      <c r="AN43" s="187">
        <f>IF(L43=0,0,Z43/L43)</f>
        <v/>
      </c>
      <c r="AO43" s="57">
        <f>IF(AN43&gt;=1,"🟢",IF(AN43&gt;=0.7,"🟡",IF(AN43&gt;=0.4,"🟠","🔴")))</f>
        <v/>
      </c>
      <c r="AP43" s="185">
        <f>L43-Z43</f>
        <v/>
      </c>
      <c r="AQ43" s="55">
        <f>RANK(Z43,$Z$4:$Z$503,0)</f>
        <v/>
      </c>
      <c r="AR43" s="39" t="inlineStr">
        <is>
          <t>.</t>
        </is>
      </c>
      <c r="AS43" s="70" t="inlineStr">
        <is>
          <t>COMP = (Meta Global - Total Faturado) ÷ Nº clientes abaixo da meta</t>
        </is>
      </c>
      <c r="AZ43" s="200" t="n"/>
      <c r="BA43" s="38" t="inlineStr">
        <is>
          <t>.</t>
        </is>
      </c>
      <c r="BB43" s="190">
        <f>SUM(BC43:BN43)</f>
        <v/>
      </c>
      <c r="BC43" s="191">
        <f>L43*0.0702730030</f>
        <v/>
      </c>
      <c r="BD43" s="191">
        <f>L43*0.0734327604</f>
        <v/>
      </c>
      <c r="BE43" s="191">
        <f>L43*0.0752022245</f>
        <v/>
      </c>
      <c r="BF43" s="191">
        <f>L43*0.0771612740</f>
        <v/>
      </c>
      <c r="BG43" s="191">
        <f>L43*0.0796890799</f>
        <v/>
      </c>
      <c r="BH43" s="191">
        <f>L43*0.0817745197</f>
        <v/>
      </c>
      <c r="BI43" s="191">
        <f>L43*0.0849342770</f>
        <v/>
      </c>
      <c r="BJ43" s="191">
        <f>L43*0.0870197169</f>
        <v/>
      </c>
      <c r="BK43" s="191">
        <f>L43*0.0889787664</f>
        <v/>
      </c>
      <c r="BL43" s="191">
        <f>L43*0.0911905966</f>
        <v/>
      </c>
      <c r="BM43" s="191">
        <f>L43*0.0935920121</f>
        <v/>
      </c>
      <c r="BN43" s="192">
        <f>L43*0.0967517695</f>
        <v/>
      </c>
      <c r="BO43" s="36" t="inlineStr">
        <is>
          <t>.</t>
        </is>
      </c>
      <c r="BP43" s="193">
        <f>SUM(BQ43:CB43)</f>
        <v/>
      </c>
      <c r="BQ43" s="191">
        <f>MAX(0,BC43-AA43)</f>
        <v/>
      </c>
      <c r="BR43" s="191">
        <f>MAX(0,BD43-AB43)</f>
        <v/>
      </c>
      <c r="BS43" s="191">
        <f>MAX(0,BE43-AC43)</f>
        <v/>
      </c>
      <c r="BT43" s="191">
        <f>MAX(0,BF43-AD43)</f>
        <v/>
      </c>
      <c r="BU43" s="191">
        <f>MAX(0,BG43-AE43)</f>
        <v/>
      </c>
      <c r="BV43" s="191">
        <f>MAX(0,BH43-AF43)</f>
        <v/>
      </c>
      <c r="BW43" s="191">
        <f>MAX(0,BI43-AG43)</f>
        <v/>
      </c>
      <c r="BX43" s="191">
        <f>MAX(0,BJ43-AH43)</f>
        <v/>
      </c>
      <c r="BY43" s="191">
        <f>MAX(0,BK43-AI43)</f>
        <v/>
      </c>
      <c r="BZ43" s="191">
        <f>MAX(0,BL43-AJ43)</f>
        <v/>
      </c>
      <c r="CA43" s="191">
        <f>MAX(0,BM43-AK43)</f>
        <v/>
      </c>
      <c r="CB43" s="192">
        <f>MAX(0,BN43-AL43)</f>
        <v/>
      </c>
    </row>
    <row r="44">
      <c r="A44" s="64" t="inlineStr">
        <is>
          <t>30880916000144</t>
        </is>
      </c>
      <c r="B44" s="57" t="inlineStr">
        <is>
          <t>ALEXANDRE VIEIRA KISNER - ALIMENTOS - ME</t>
        </is>
      </c>
      <c r="C44" s="57" t="inlineStr">
        <is>
          <t>SEM GRUPO</t>
        </is>
      </c>
      <c r="D44" s="61" t="inlineStr">
        <is>
          <t>HEMANUELE DITZEL (MANU)</t>
        </is>
      </c>
      <c r="E44" s="30" t="inlineStr">
        <is>
          <t>.</t>
        </is>
      </c>
      <c r="F44" s="63" t="n"/>
      <c r="G44" s="179" t="n"/>
      <c r="H44" s="57" t="n"/>
      <c r="I44" s="57" t="n"/>
      <c r="J44" s="61" t="n"/>
      <c r="K44" s="30" t="inlineStr">
        <is>
          <t>.</t>
        </is>
      </c>
      <c r="L44" s="180" t="n">
        <v>24450.52</v>
      </c>
      <c r="M44" s="181" t="n">
        <v>1718.21</v>
      </c>
      <c r="N44" s="181" t="n">
        <v>1795.47</v>
      </c>
      <c r="O44" s="181" t="n">
        <v>1838.73</v>
      </c>
      <c r="P44" s="181" t="n">
        <v>1886.63</v>
      </c>
      <c r="Q44" s="181" t="n">
        <v>1948.44</v>
      </c>
      <c r="R44" s="181" t="n">
        <v>1999.43</v>
      </c>
      <c r="S44" s="181" t="n">
        <v>2076.69</v>
      </c>
      <c r="T44" s="181" t="n">
        <v>2127.68</v>
      </c>
      <c r="U44" s="181" t="n">
        <v>2175.58</v>
      </c>
      <c r="V44" s="181" t="n">
        <v>2229.66</v>
      </c>
      <c r="W44" s="181" t="n">
        <v>2288.37</v>
      </c>
      <c r="X44" s="182" t="n">
        <v>2365.63</v>
      </c>
      <c r="Y44" s="183" t="inlineStr">
        <is>
          <t>.</t>
        </is>
      </c>
      <c r="Z44" s="184">
        <f>SUM(AA44:AL44)</f>
        <v/>
      </c>
      <c r="AA44" s="185" t="n">
        <v>0</v>
      </c>
      <c r="AB44" s="185" t="n">
        <v>0</v>
      </c>
      <c r="AC44" s="185" t="n">
        <v>0</v>
      </c>
      <c r="AD44" s="185" t="n">
        <v>0</v>
      </c>
      <c r="AE44" s="185" t="n">
        <v>0</v>
      </c>
      <c r="AF44" s="185" t="n">
        <v>9818.77</v>
      </c>
      <c r="AG44" s="185" t="n">
        <v>0</v>
      </c>
      <c r="AH44" s="185" t="n">
        <v>0</v>
      </c>
      <c r="AI44" s="185" t="n">
        <v>0</v>
      </c>
      <c r="AJ44" s="185" t="n">
        <v>0</v>
      </c>
      <c r="AK44" s="185" t="n">
        <v>0</v>
      </c>
      <c r="AL44" s="186" t="n">
        <v>0</v>
      </c>
      <c r="AM44" s="30" t="inlineStr">
        <is>
          <t>.</t>
        </is>
      </c>
      <c r="AN44" s="187">
        <f>IF(L44=0,0,Z44/L44)</f>
        <v/>
      </c>
      <c r="AO44" s="57">
        <f>IF(AN44&gt;=1,"🟢",IF(AN44&gt;=0.7,"🟡",IF(AN44&gt;=0.4,"🟠","🔴")))</f>
        <v/>
      </c>
      <c r="AP44" s="185">
        <f>L44-Z44</f>
        <v/>
      </c>
      <c r="AQ44" s="55">
        <f>RANK(Z44,$Z$4:$Z$503,0)</f>
        <v/>
      </c>
      <c r="AR44" s="39" t="inlineStr">
        <is>
          <t>.</t>
        </is>
      </c>
      <c r="AS44" s="68" t="inlineStr">
        <is>
          <t>Atualiza automaticamente conforme entra faturamento</t>
        </is>
      </c>
      <c r="AT44" s="67" t="n"/>
      <c r="AU44" s="67" t="n"/>
      <c r="AV44" s="67" t="n"/>
      <c r="AW44" s="67" t="n"/>
      <c r="AX44" s="67" t="n"/>
      <c r="AY44" s="205" t="n"/>
      <c r="AZ44" s="206" t="n"/>
      <c r="BA44" s="38" t="inlineStr">
        <is>
          <t>.</t>
        </is>
      </c>
      <c r="BB44" s="190">
        <f>SUM(BC44:BN44)</f>
        <v/>
      </c>
      <c r="BC44" s="191">
        <f>L44*0.0702730030</f>
        <v/>
      </c>
      <c r="BD44" s="191">
        <f>L44*0.0734327604</f>
        <v/>
      </c>
      <c r="BE44" s="191">
        <f>L44*0.0752022245</f>
        <v/>
      </c>
      <c r="BF44" s="191">
        <f>L44*0.0771612740</f>
        <v/>
      </c>
      <c r="BG44" s="191">
        <f>L44*0.0796890799</f>
        <v/>
      </c>
      <c r="BH44" s="191">
        <f>L44*0.0817745197</f>
        <v/>
      </c>
      <c r="BI44" s="191">
        <f>L44*0.0849342770</f>
        <v/>
      </c>
      <c r="BJ44" s="191">
        <f>L44*0.0870197169</f>
        <v/>
      </c>
      <c r="BK44" s="191">
        <f>L44*0.0889787664</f>
        <v/>
      </c>
      <c r="BL44" s="191">
        <f>L44*0.0911905966</f>
        <v/>
      </c>
      <c r="BM44" s="191">
        <f>L44*0.0935920121</f>
        <v/>
      </c>
      <c r="BN44" s="192">
        <f>L44*0.0967517695</f>
        <v/>
      </c>
      <c r="BO44" s="36" t="inlineStr">
        <is>
          <t>.</t>
        </is>
      </c>
      <c r="BP44" s="193">
        <f>SUM(BQ44:CB44)</f>
        <v/>
      </c>
      <c r="BQ44" s="191">
        <f>MAX(0,BC44-AA44)</f>
        <v/>
      </c>
      <c r="BR44" s="191">
        <f>MAX(0,BD44-AB44)</f>
        <v/>
      </c>
      <c r="BS44" s="191">
        <f>MAX(0,BE44-AC44)</f>
        <v/>
      </c>
      <c r="BT44" s="191">
        <f>MAX(0,BF44-AD44)</f>
        <v/>
      </c>
      <c r="BU44" s="191">
        <f>MAX(0,BG44-AE44)</f>
        <v/>
      </c>
      <c r="BV44" s="191">
        <f>MAX(0,BH44-AF44)</f>
        <v/>
      </c>
      <c r="BW44" s="191">
        <f>MAX(0,BI44-AG44)</f>
        <v/>
      </c>
      <c r="BX44" s="191">
        <f>MAX(0,BJ44-AH44)</f>
        <v/>
      </c>
      <c r="BY44" s="191">
        <f>MAX(0,BK44-AI44)</f>
        <v/>
      </c>
      <c r="BZ44" s="191">
        <f>MAX(0,BL44-AJ44)</f>
        <v/>
      </c>
      <c r="CA44" s="191">
        <f>MAX(0,BM44-AK44)</f>
        <v/>
      </c>
      <c r="CB44" s="192">
        <f>MAX(0,BN44-AL44)</f>
        <v/>
      </c>
    </row>
    <row r="45">
      <c r="A45" s="64" t="inlineStr">
        <is>
          <t>51213425000110</t>
        </is>
      </c>
      <c r="B45" s="57" t="inlineStr">
        <is>
          <t>JARDIM DO GRANEL COMERCIO DE ALIMENTOS L</t>
        </is>
      </c>
      <c r="C45" s="57" t="inlineStr">
        <is>
          <t>SEM GRUPO</t>
        </is>
      </c>
      <c r="D45" s="61" t="inlineStr">
        <is>
          <t>HEMANUELE DITZEL (MANU)</t>
        </is>
      </c>
      <c r="E45" s="30" t="inlineStr">
        <is>
          <t>.</t>
        </is>
      </c>
      <c r="F45" s="63" t="n"/>
      <c r="G45" s="179" t="n"/>
      <c r="H45" s="57" t="n"/>
      <c r="I45" s="57" t="n"/>
      <c r="J45" s="61" t="n"/>
      <c r="K45" s="30" t="inlineStr">
        <is>
          <t>.</t>
        </is>
      </c>
      <c r="L45" s="180" t="n">
        <v>24021.26</v>
      </c>
      <c r="M45" s="181" t="n">
        <v>1688.05</v>
      </c>
      <c r="N45" s="181" t="n">
        <v>1763.95</v>
      </c>
      <c r="O45" s="181" t="n">
        <v>1806.45</v>
      </c>
      <c r="P45" s="181" t="n">
        <v>1853.51</v>
      </c>
      <c r="Q45" s="181" t="n">
        <v>1914.23</v>
      </c>
      <c r="R45" s="181" t="n">
        <v>1964.33</v>
      </c>
      <c r="S45" s="181" t="n">
        <v>2040.23</v>
      </c>
      <c r="T45" s="181" t="n">
        <v>2090.32</v>
      </c>
      <c r="U45" s="181" t="n">
        <v>2137.38</v>
      </c>
      <c r="V45" s="181" t="n">
        <v>2190.51</v>
      </c>
      <c r="W45" s="181" t="n">
        <v>2248.2</v>
      </c>
      <c r="X45" s="182" t="n">
        <v>2324.1</v>
      </c>
      <c r="Y45" s="183" t="inlineStr">
        <is>
          <t>.</t>
        </is>
      </c>
      <c r="Z45" s="184">
        <f>SUM(AA45:AL45)</f>
        <v/>
      </c>
      <c r="AA45" s="185" t="n">
        <v>0</v>
      </c>
      <c r="AB45" s="185" t="n">
        <v>0</v>
      </c>
      <c r="AC45" s="185" t="n">
        <v>0</v>
      </c>
      <c r="AD45" s="185" t="n">
        <v>0</v>
      </c>
      <c r="AE45" s="185" t="n">
        <v>0</v>
      </c>
      <c r="AF45" s="185" t="n">
        <v>9646.4</v>
      </c>
      <c r="AG45" s="185" t="n">
        <v>0</v>
      </c>
      <c r="AH45" s="185" t="n">
        <v>0</v>
      </c>
      <c r="AI45" s="185" t="n">
        <v>0</v>
      </c>
      <c r="AJ45" s="185" t="n">
        <v>0</v>
      </c>
      <c r="AK45" s="185" t="n">
        <v>0</v>
      </c>
      <c r="AL45" s="186" t="n">
        <v>0</v>
      </c>
      <c r="AM45" s="30" t="inlineStr">
        <is>
          <t>.</t>
        </is>
      </c>
      <c r="AN45" s="187">
        <f>IF(L45=0,0,Z45/L45)</f>
        <v/>
      </c>
      <c r="AO45" s="57">
        <f>IF(AN45&gt;=1,"🟢",IF(AN45&gt;=0.7,"🟡",IF(AN45&gt;=0.4,"🟠","🔴")))</f>
        <v/>
      </c>
      <c r="AP45" s="185">
        <f>L45-Z45</f>
        <v/>
      </c>
      <c r="AQ45" s="55">
        <f>RANK(Z45,$Z$4:$Z$503,0)</f>
        <v/>
      </c>
      <c r="AR45" s="39" t="inlineStr">
        <is>
          <t>.</t>
        </is>
      </c>
      <c r="AS45" s="27" t="n"/>
      <c r="AT45" s="27" t="n"/>
      <c r="AU45" s="27" t="n"/>
      <c r="AV45" s="27" t="n"/>
      <c r="AW45" s="27" t="n"/>
      <c r="AX45" s="27" t="n"/>
      <c r="AY45" s="204" t="n"/>
      <c r="AZ45" s="204" t="n"/>
      <c r="BA45" s="38" t="inlineStr">
        <is>
          <t>.</t>
        </is>
      </c>
      <c r="BB45" s="190">
        <f>SUM(BC45:BN45)</f>
        <v/>
      </c>
      <c r="BC45" s="191">
        <f>L45*0.0702730030</f>
        <v/>
      </c>
      <c r="BD45" s="191">
        <f>L45*0.0734327604</f>
        <v/>
      </c>
      <c r="BE45" s="191">
        <f>L45*0.0752022245</f>
        <v/>
      </c>
      <c r="BF45" s="191">
        <f>L45*0.0771612740</f>
        <v/>
      </c>
      <c r="BG45" s="191">
        <f>L45*0.0796890799</f>
        <v/>
      </c>
      <c r="BH45" s="191">
        <f>L45*0.0817745197</f>
        <v/>
      </c>
      <c r="BI45" s="191">
        <f>L45*0.0849342770</f>
        <v/>
      </c>
      <c r="BJ45" s="191">
        <f>L45*0.0870197169</f>
        <v/>
      </c>
      <c r="BK45" s="191">
        <f>L45*0.0889787664</f>
        <v/>
      </c>
      <c r="BL45" s="191">
        <f>L45*0.0911905966</f>
        <v/>
      </c>
      <c r="BM45" s="191">
        <f>L45*0.0935920121</f>
        <v/>
      </c>
      <c r="BN45" s="192">
        <f>L45*0.0967517695</f>
        <v/>
      </c>
      <c r="BO45" s="36" t="inlineStr">
        <is>
          <t>.</t>
        </is>
      </c>
      <c r="BP45" s="193">
        <f>SUM(BQ45:CB45)</f>
        <v/>
      </c>
      <c r="BQ45" s="191">
        <f>MAX(0,BC45-AA45)</f>
        <v/>
      </c>
      <c r="BR45" s="191">
        <f>MAX(0,BD45-AB45)</f>
        <v/>
      </c>
      <c r="BS45" s="191">
        <f>MAX(0,BE45-AC45)</f>
        <v/>
      </c>
      <c r="BT45" s="191">
        <f>MAX(0,BF45-AD45)</f>
        <v/>
      </c>
      <c r="BU45" s="191">
        <f>MAX(0,BG45-AE45)</f>
        <v/>
      </c>
      <c r="BV45" s="191">
        <f>MAX(0,BH45-AF45)</f>
        <v/>
      </c>
      <c r="BW45" s="191">
        <f>MAX(0,BI45-AG45)</f>
        <v/>
      </c>
      <c r="BX45" s="191">
        <f>MAX(0,BJ45-AH45)</f>
        <v/>
      </c>
      <c r="BY45" s="191">
        <f>MAX(0,BK45-AI45)</f>
        <v/>
      </c>
      <c r="BZ45" s="191">
        <f>MAX(0,BL45-AJ45)</f>
        <v/>
      </c>
      <c r="CA45" s="191">
        <f>MAX(0,BM45-AK45)</f>
        <v/>
      </c>
      <c r="CB45" s="192">
        <f>MAX(0,BN45-AL45)</f>
        <v/>
      </c>
    </row>
    <row r="46">
      <c r="A46" s="64" t="inlineStr">
        <is>
          <t>07523884000108</t>
        </is>
      </c>
      <c r="B46" s="57" t="inlineStr">
        <is>
          <t>COMERCIAL DE ALIMENTOS SIQUEIRA LTDA - M</t>
        </is>
      </c>
      <c r="C46" s="57" t="inlineStr">
        <is>
          <t>SEM GRUPO</t>
        </is>
      </c>
      <c r="D46" s="61" t="inlineStr">
        <is>
          <t>HEMANUELE DITZEL (MANU)</t>
        </is>
      </c>
      <c r="E46" s="30" t="inlineStr">
        <is>
          <t>.</t>
        </is>
      </c>
      <c r="F46" s="63" t="n"/>
      <c r="G46" s="179" t="n"/>
      <c r="H46" s="57" t="n"/>
      <c r="I46" s="57" t="n"/>
      <c r="J46" s="61" t="n"/>
      <c r="K46" s="30" t="inlineStr">
        <is>
          <t>.</t>
        </is>
      </c>
      <c r="L46" s="180" t="n">
        <v>23125.65</v>
      </c>
      <c r="M46" s="181" t="n">
        <v>1625.11</v>
      </c>
      <c r="N46" s="181" t="n">
        <v>1698.18</v>
      </c>
      <c r="O46" s="181" t="n">
        <v>1739.1</v>
      </c>
      <c r="P46" s="181" t="n">
        <v>1784.4</v>
      </c>
      <c r="Q46" s="181" t="n">
        <v>1842.86</v>
      </c>
      <c r="R46" s="181" t="n">
        <v>1891.09</v>
      </c>
      <c r="S46" s="181" t="n">
        <v>1964.16</v>
      </c>
      <c r="T46" s="181" t="n">
        <v>2012.39</v>
      </c>
      <c r="U46" s="181" t="n">
        <v>2057.69</v>
      </c>
      <c r="V46" s="181" t="n">
        <v>2108.84</v>
      </c>
      <c r="W46" s="181" t="n">
        <v>2164.38</v>
      </c>
      <c r="X46" s="182" t="n">
        <v>2237.45</v>
      </c>
      <c r="Y46" s="183" t="inlineStr">
        <is>
          <t>.</t>
        </is>
      </c>
      <c r="Z46" s="184">
        <f>SUM(AA46:AL46)</f>
        <v/>
      </c>
      <c r="AA46" s="185" t="n">
        <v>0</v>
      </c>
      <c r="AB46" s="185" t="n">
        <v>0</v>
      </c>
      <c r="AC46" s="185" t="n">
        <v>0</v>
      </c>
      <c r="AD46" s="185" t="n">
        <v>0</v>
      </c>
      <c r="AE46" s="185" t="n">
        <v>0</v>
      </c>
      <c r="AF46" s="185" t="n">
        <v>9286.73</v>
      </c>
      <c r="AG46" s="185" t="n">
        <v>0</v>
      </c>
      <c r="AH46" s="185" t="n">
        <v>0</v>
      </c>
      <c r="AI46" s="185" t="n">
        <v>0</v>
      </c>
      <c r="AJ46" s="185" t="n">
        <v>0</v>
      </c>
      <c r="AK46" s="185" t="n">
        <v>0</v>
      </c>
      <c r="AL46" s="186" t="n">
        <v>0</v>
      </c>
      <c r="AM46" s="30" t="inlineStr">
        <is>
          <t>.</t>
        </is>
      </c>
      <c r="AN46" s="187">
        <f>IF(L46=0,0,Z46/L46)</f>
        <v/>
      </c>
      <c r="AO46" s="57">
        <f>IF(AN46&gt;=1,"🟢",IF(AN46&gt;=0.7,"🟡",IF(AN46&gt;=0.4,"🟠","🔴")))</f>
        <v/>
      </c>
      <c r="AP46" s="185">
        <f>L46-Z46</f>
        <v/>
      </c>
      <c r="AQ46" s="55">
        <f>RANK(Z46,$Z$4:$Z$503,0)</f>
        <v/>
      </c>
      <c r="AR46" s="39" t="inlineStr">
        <is>
          <t>.</t>
        </is>
      </c>
      <c r="AS46" s="27" t="n"/>
      <c r="AT46" s="27" t="n"/>
      <c r="AU46" s="27" t="n"/>
      <c r="AV46" s="27" t="n"/>
      <c r="AW46" s="27" t="n"/>
      <c r="AX46" s="27" t="n"/>
      <c r="AY46" s="204" t="n"/>
      <c r="AZ46" s="204" t="n"/>
      <c r="BA46" s="38" t="inlineStr">
        <is>
          <t>.</t>
        </is>
      </c>
      <c r="BB46" s="190">
        <f>SUM(BC46:BN46)</f>
        <v/>
      </c>
      <c r="BC46" s="191">
        <f>L46*0.0702730030</f>
        <v/>
      </c>
      <c r="BD46" s="191">
        <f>L46*0.0734327604</f>
        <v/>
      </c>
      <c r="BE46" s="191">
        <f>L46*0.0752022245</f>
        <v/>
      </c>
      <c r="BF46" s="191">
        <f>L46*0.0771612740</f>
        <v/>
      </c>
      <c r="BG46" s="191">
        <f>L46*0.0796890799</f>
        <v/>
      </c>
      <c r="BH46" s="191">
        <f>L46*0.0817745197</f>
        <v/>
      </c>
      <c r="BI46" s="191">
        <f>L46*0.0849342770</f>
        <v/>
      </c>
      <c r="BJ46" s="191">
        <f>L46*0.0870197169</f>
        <v/>
      </c>
      <c r="BK46" s="191">
        <f>L46*0.0889787664</f>
        <v/>
      </c>
      <c r="BL46" s="191">
        <f>L46*0.0911905966</f>
        <v/>
      </c>
      <c r="BM46" s="191">
        <f>L46*0.0935920121</f>
        <v/>
      </c>
      <c r="BN46" s="192">
        <f>L46*0.0967517695</f>
        <v/>
      </c>
      <c r="BO46" s="36" t="inlineStr">
        <is>
          <t>.</t>
        </is>
      </c>
      <c r="BP46" s="193">
        <f>SUM(BQ46:CB46)</f>
        <v/>
      </c>
      <c r="BQ46" s="191">
        <f>MAX(0,BC46-AA46)</f>
        <v/>
      </c>
      <c r="BR46" s="191">
        <f>MAX(0,BD46-AB46)</f>
        <v/>
      </c>
      <c r="BS46" s="191">
        <f>MAX(0,BE46-AC46)</f>
        <v/>
      </c>
      <c r="BT46" s="191">
        <f>MAX(0,BF46-AD46)</f>
        <v/>
      </c>
      <c r="BU46" s="191">
        <f>MAX(0,BG46-AE46)</f>
        <v/>
      </c>
      <c r="BV46" s="191">
        <f>MAX(0,BH46-AF46)</f>
        <v/>
      </c>
      <c r="BW46" s="191">
        <f>MAX(0,BI46-AG46)</f>
        <v/>
      </c>
      <c r="BX46" s="191">
        <f>MAX(0,BJ46-AH46)</f>
        <v/>
      </c>
      <c r="BY46" s="191">
        <f>MAX(0,BK46-AI46)</f>
        <v/>
      </c>
      <c r="BZ46" s="191">
        <f>MAX(0,BL46-AJ46)</f>
        <v/>
      </c>
      <c r="CA46" s="191">
        <f>MAX(0,BM46-AK46)</f>
        <v/>
      </c>
      <c r="CB46" s="192">
        <f>MAX(0,BN46-AL46)</f>
        <v/>
      </c>
    </row>
    <row r="47">
      <c r="A47" s="64" t="inlineStr">
        <is>
          <t>15428647000196</t>
        </is>
      </c>
      <c r="B47" s="57" t="inlineStr">
        <is>
          <t>R DOS SANTOS COSTA CAMATTI LTDA - EPP</t>
        </is>
      </c>
      <c r="C47" s="57" t="inlineStr">
        <is>
          <t>SEM GRUPO</t>
        </is>
      </c>
      <c r="D47" s="61" t="inlineStr">
        <is>
          <t>LARISSA PADILHA</t>
        </is>
      </c>
      <c r="E47" s="30" t="inlineStr">
        <is>
          <t>.</t>
        </is>
      </c>
      <c r="F47" s="63" t="n"/>
      <c r="G47" s="179" t="n"/>
      <c r="H47" s="57" t="n"/>
      <c r="I47" s="57" t="n"/>
      <c r="J47" s="61" t="n"/>
      <c r="K47" s="30" t="inlineStr">
        <is>
          <t>.</t>
        </is>
      </c>
      <c r="L47" s="180" t="n">
        <v>22066.5</v>
      </c>
      <c r="M47" s="181" t="n">
        <v>1550.68</v>
      </c>
      <c r="N47" s="181" t="n">
        <v>1620.4</v>
      </c>
      <c r="O47" s="181" t="n">
        <v>1659.45</v>
      </c>
      <c r="P47" s="181" t="n">
        <v>1702.68</v>
      </c>
      <c r="Q47" s="181" t="n">
        <v>1758.46</v>
      </c>
      <c r="R47" s="181" t="n">
        <v>1804.48</v>
      </c>
      <c r="S47" s="181" t="n">
        <v>1874.2</v>
      </c>
      <c r="T47" s="181" t="n">
        <v>1920.22</v>
      </c>
      <c r="U47" s="181" t="n">
        <v>1963.45</v>
      </c>
      <c r="V47" s="181" t="n">
        <v>2012.26</v>
      </c>
      <c r="W47" s="181" t="n">
        <v>2065.25</v>
      </c>
      <c r="X47" s="182" t="n">
        <v>2134.97</v>
      </c>
      <c r="Y47" s="183" t="inlineStr">
        <is>
          <t>.</t>
        </is>
      </c>
      <c r="Z47" s="184">
        <f>SUM(AA47:AL47)</f>
        <v/>
      </c>
      <c r="AA47" s="185" t="n">
        <v>0</v>
      </c>
      <c r="AB47" s="185" t="n">
        <v>0</v>
      </c>
      <c r="AC47" s="185" t="n">
        <v>0</v>
      </c>
      <c r="AD47" s="185" t="n">
        <v>4996.59</v>
      </c>
      <c r="AE47" s="185" t="n">
        <v>0</v>
      </c>
      <c r="AF47" s="185" t="n">
        <v>0</v>
      </c>
      <c r="AG47" s="185" t="n">
        <v>2815.13</v>
      </c>
      <c r="AH47" s="185" t="n">
        <v>1021.6</v>
      </c>
      <c r="AI47" s="185" t="n">
        <v>0</v>
      </c>
      <c r="AJ47" s="185" t="n">
        <v>0</v>
      </c>
      <c r="AK47" s="185" t="n">
        <v>0</v>
      </c>
      <c r="AL47" s="186" t="n">
        <v>0</v>
      </c>
      <c r="AM47" s="30" t="inlineStr">
        <is>
          <t>.</t>
        </is>
      </c>
      <c r="AN47" s="187">
        <f>IF(L47=0,0,Z47/L47)</f>
        <v/>
      </c>
      <c r="AO47" s="57">
        <f>IF(AN47&gt;=1,"🟢",IF(AN47&gt;=0.7,"🟡",IF(AN47&gt;=0.4,"🟠","🔴")))</f>
        <v/>
      </c>
      <c r="AP47" s="185">
        <f>L47-Z47</f>
        <v/>
      </c>
      <c r="AQ47" s="55">
        <f>RANK(Z47,$Z$4:$Z$503,0)</f>
        <v/>
      </c>
      <c r="AR47" s="39" t="inlineStr">
        <is>
          <t>.</t>
        </is>
      </c>
      <c r="AS47" s="27" t="n"/>
      <c r="AT47" s="27" t="n"/>
      <c r="AU47" s="27" t="n"/>
      <c r="AV47" s="27" t="n"/>
      <c r="AW47" s="27" t="n"/>
      <c r="AX47" s="27" t="n"/>
      <c r="AY47" s="204" t="n"/>
      <c r="AZ47" s="204" t="n"/>
      <c r="BA47" s="38" t="inlineStr">
        <is>
          <t>.</t>
        </is>
      </c>
      <c r="BB47" s="190">
        <f>SUM(BC47:BN47)</f>
        <v/>
      </c>
      <c r="BC47" s="191">
        <f>L47*0.0702730030</f>
        <v/>
      </c>
      <c r="BD47" s="191">
        <f>L47*0.0734327604</f>
        <v/>
      </c>
      <c r="BE47" s="191">
        <f>L47*0.0752022245</f>
        <v/>
      </c>
      <c r="BF47" s="191">
        <f>L47*0.0771612740</f>
        <v/>
      </c>
      <c r="BG47" s="191">
        <f>L47*0.0796890799</f>
        <v/>
      </c>
      <c r="BH47" s="191">
        <f>L47*0.0817745197</f>
        <v/>
      </c>
      <c r="BI47" s="191">
        <f>L47*0.0849342770</f>
        <v/>
      </c>
      <c r="BJ47" s="191">
        <f>L47*0.0870197169</f>
        <v/>
      </c>
      <c r="BK47" s="191">
        <f>L47*0.0889787664</f>
        <v/>
      </c>
      <c r="BL47" s="191">
        <f>L47*0.0911905966</f>
        <v/>
      </c>
      <c r="BM47" s="191">
        <f>L47*0.0935920121</f>
        <v/>
      </c>
      <c r="BN47" s="192">
        <f>L47*0.0967517695</f>
        <v/>
      </c>
      <c r="BO47" s="36" t="inlineStr">
        <is>
          <t>.</t>
        </is>
      </c>
      <c r="BP47" s="193">
        <f>SUM(BQ47:CB47)</f>
        <v/>
      </c>
      <c r="BQ47" s="191">
        <f>MAX(0,BC47-AA47)</f>
        <v/>
      </c>
      <c r="BR47" s="191">
        <f>MAX(0,BD47-AB47)</f>
        <v/>
      </c>
      <c r="BS47" s="191">
        <f>MAX(0,BE47-AC47)</f>
        <v/>
      </c>
      <c r="BT47" s="191">
        <f>MAX(0,BF47-AD47)</f>
        <v/>
      </c>
      <c r="BU47" s="191">
        <f>MAX(0,BG47-AE47)</f>
        <v/>
      </c>
      <c r="BV47" s="191">
        <f>MAX(0,BH47-AF47)</f>
        <v/>
      </c>
      <c r="BW47" s="191">
        <f>MAX(0,BI47-AG47)</f>
        <v/>
      </c>
      <c r="BX47" s="191">
        <f>MAX(0,BJ47-AH47)</f>
        <v/>
      </c>
      <c r="BY47" s="191">
        <f>MAX(0,BK47-AI47)</f>
        <v/>
      </c>
      <c r="BZ47" s="191">
        <f>MAX(0,BL47-AJ47)</f>
        <v/>
      </c>
      <c r="CA47" s="191">
        <f>MAX(0,BM47-AK47)</f>
        <v/>
      </c>
      <c r="CB47" s="192">
        <f>MAX(0,BN47-AL47)</f>
        <v/>
      </c>
    </row>
    <row r="48">
      <c r="A48" s="64" t="inlineStr">
        <is>
          <t>30289781000147</t>
        </is>
      </c>
      <c r="B48" s="57" t="inlineStr">
        <is>
          <t>BATEL GOURMET ARMAZEM, EMPORIO E HORTIFR</t>
        </is>
      </c>
      <c r="C48" s="57" t="inlineStr">
        <is>
          <t>SEM GRUPO</t>
        </is>
      </c>
      <c r="D48" s="61" t="inlineStr">
        <is>
          <t>HEMANUELE DITZEL (MANU)</t>
        </is>
      </c>
      <c r="E48" s="30" t="inlineStr">
        <is>
          <t>.</t>
        </is>
      </c>
      <c r="F48" s="63" t="n"/>
      <c r="G48" s="179" t="n"/>
      <c r="H48" s="57" t="n"/>
      <c r="I48" s="57" t="n"/>
      <c r="J48" s="61" t="n"/>
      <c r="K48" s="30" t="inlineStr">
        <is>
          <t>.</t>
        </is>
      </c>
      <c r="L48" s="180" t="n">
        <v>21054.33</v>
      </c>
      <c r="M48" s="181" t="n">
        <v>1479.55</v>
      </c>
      <c r="N48" s="181" t="n">
        <v>1546.08</v>
      </c>
      <c r="O48" s="181" t="n">
        <v>1583.33</v>
      </c>
      <c r="P48" s="181" t="n">
        <v>1624.58</v>
      </c>
      <c r="Q48" s="181" t="n">
        <v>1677.8</v>
      </c>
      <c r="R48" s="181" t="n">
        <v>1721.71</v>
      </c>
      <c r="S48" s="181" t="n">
        <v>1788.23</v>
      </c>
      <c r="T48" s="181" t="n">
        <v>1832.14</v>
      </c>
      <c r="U48" s="181" t="n">
        <v>1873.39</v>
      </c>
      <c r="V48" s="181" t="n">
        <v>1919.96</v>
      </c>
      <c r="W48" s="181" t="n">
        <v>1970.52</v>
      </c>
      <c r="X48" s="182" t="n">
        <v>2037.04</v>
      </c>
      <c r="Y48" s="183" t="inlineStr">
        <is>
          <t>.</t>
        </is>
      </c>
      <c r="Z48" s="184">
        <f>SUM(AA48:AL48)</f>
        <v/>
      </c>
      <c r="AA48" s="185" t="n">
        <v>0</v>
      </c>
      <c r="AB48" s="185" t="n">
        <v>0</v>
      </c>
      <c r="AC48" s="185" t="n">
        <v>0</v>
      </c>
      <c r="AD48" s="185" t="n">
        <v>2678.07</v>
      </c>
      <c r="AE48" s="185" t="n">
        <v>0</v>
      </c>
      <c r="AF48" s="185" t="n">
        <v>786.04</v>
      </c>
      <c r="AG48" s="185" t="n">
        <v>740.86</v>
      </c>
      <c r="AH48" s="185" t="n">
        <v>957.47</v>
      </c>
      <c r="AI48" s="185" t="n">
        <v>0</v>
      </c>
      <c r="AJ48" s="185" t="n">
        <v>4444.84</v>
      </c>
      <c r="AK48" s="185" t="n">
        <v>0</v>
      </c>
      <c r="AL48" s="186" t="n">
        <v>0</v>
      </c>
      <c r="AM48" s="30" t="inlineStr">
        <is>
          <t>.</t>
        </is>
      </c>
      <c r="AN48" s="187">
        <f>IF(L48=0,0,Z48/L48)</f>
        <v/>
      </c>
      <c r="AO48" s="57">
        <f>IF(AN48&gt;=1,"🟢",IF(AN48&gt;=0.7,"🟡",IF(AN48&gt;=0.4,"🟠","🔴")))</f>
        <v/>
      </c>
      <c r="AP48" s="185">
        <f>L48-Z48</f>
        <v/>
      </c>
      <c r="AQ48" s="55">
        <f>RANK(Z48,$Z$4:$Z$503,0)</f>
        <v/>
      </c>
      <c r="AR48" s="39" t="inlineStr">
        <is>
          <t>.</t>
        </is>
      </c>
      <c r="AS48" s="27" t="n"/>
      <c r="AT48" s="27" t="n"/>
      <c r="AU48" s="27" t="n"/>
      <c r="AV48" s="27" t="n"/>
      <c r="AW48" s="27" t="n"/>
      <c r="AX48" s="27" t="n"/>
      <c r="AY48" s="204" t="n"/>
      <c r="AZ48" s="204" t="n"/>
      <c r="BA48" s="38" t="inlineStr">
        <is>
          <t>.</t>
        </is>
      </c>
      <c r="BB48" s="190">
        <f>SUM(BC48:BN48)</f>
        <v/>
      </c>
      <c r="BC48" s="191">
        <f>L48*0.0702730030</f>
        <v/>
      </c>
      <c r="BD48" s="191">
        <f>L48*0.0734327604</f>
        <v/>
      </c>
      <c r="BE48" s="191">
        <f>L48*0.0752022245</f>
        <v/>
      </c>
      <c r="BF48" s="191">
        <f>L48*0.0771612740</f>
        <v/>
      </c>
      <c r="BG48" s="191">
        <f>L48*0.0796890799</f>
        <v/>
      </c>
      <c r="BH48" s="191">
        <f>L48*0.0817745197</f>
        <v/>
      </c>
      <c r="BI48" s="191">
        <f>L48*0.0849342770</f>
        <v/>
      </c>
      <c r="BJ48" s="191">
        <f>L48*0.0870197169</f>
        <v/>
      </c>
      <c r="BK48" s="191">
        <f>L48*0.0889787664</f>
        <v/>
      </c>
      <c r="BL48" s="191">
        <f>L48*0.0911905966</f>
        <v/>
      </c>
      <c r="BM48" s="191">
        <f>L48*0.0935920121</f>
        <v/>
      </c>
      <c r="BN48" s="192">
        <f>L48*0.0967517695</f>
        <v/>
      </c>
      <c r="BO48" s="36" t="inlineStr">
        <is>
          <t>.</t>
        </is>
      </c>
      <c r="BP48" s="193">
        <f>SUM(BQ48:CB48)</f>
        <v/>
      </c>
      <c r="BQ48" s="191">
        <f>MAX(0,BC48-AA48)</f>
        <v/>
      </c>
      <c r="BR48" s="191">
        <f>MAX(0,BD48-AB48)</f>
        <v/>
      </c>
      <c r="BS48" s="191">
        <f>MAX(0,BE48-AC48)</f>
        <v/>
      </c>
      <c r="BT48" s="191">
        <f>MAX(0,BF48-AD48)</f>
        <v/>
      </c>
      <c r="BU48" s="191">
        <f>MAX(0,BG48-AE48)</f>
        <v/>
      </c>
      <c r="BV48" s="191">
        <f>MAX(0,BH48-AF48)</f>
        <v/>
      </c>
      <c r="BW48" s="191">
        <f>MAX(0,BI48-AG48)</f>
        <v/>
      </c>
      <c r="BX48" s="191">
        <f>MAX(0,BJ48-AH48)</f>
        <v/>
      </c>
      <c r="BY48" s="191">
        <f>MAX(0,BK48-AI48)</f>
        <v/>
      </c>
      <c r="BZ48" s="191">
        <f>MAX(0,BL48-AJ48)</f>
        <v/>
      </c>
      <c r="CA48" s="191">
        <f>MAX(0,BM48-AK48)</f>
        <v/>
      </c>
      <c r="CB48" s="192">
        <f>MAX(0,BN48-AL48)</f>
        <v/>
      </c>
    </row>
    <row r="49">
      <c r="A49" s="64" t="inlineStr">
        <is>
          <t>09185428000392</t>
        </is>
      </c>
      <c r="B49" s="57" t="inlineStr">
        <is>
          <t>NATURVIDA MERCADO SAUDAVEL LTDA - ME</t>
        </is>
      </c>
      <c r="C49" s="57" t="inlineStr">
        <is>
          <t>NATURVIDA</t>
        </is>
      </c>
      <c r="D49" s="61" t="inlineStr">
        <is>
          <t>HEMANUELE DITZEL (MANU)</t>
        </is>
      </c>
      <c r="E49" s="30" t="inlineStr">
        <is>
          <t>.</t>
        </is>
      </c>
      <c r="F49" s="63" t="n"/>
      <c r="G49" s="179" t="n"/>
      <c r="H49" s="57" t="n"/>
      <c r="I49" s="57" t="n"/>
      <c r="J49" s="61" t="n"/>
      <c r="K49" s="30" t="inlineStr">
        <is>
          <t>.</t>
        </is>
      </c>
      <c r="L49" s="180" t="n">
        <v>21031.27</v>
      </c>
      <c r="M49" s="181" t="n">
        <v>1477.93</v>
      </c>
      <c r="N49" s="181" t="n">
        <v>1544.38</v>
      </c>
      <c r="O49" s="181" t="n">
        <v>1581.6</v>
      </c>
      <c r="P49" s="181" t="n">
        <v>1622.8</v>
      </c>
      <c r="Q49" s="181" t="n">
        <v>1675.96</v>
      </c>
      <c r="R49" s="181" t="n">
        <v>1719.82</v>
      </c>
      <c r="S49" s="181" t="n">
        <v>1786.28</v>
      </c>
      <c r="T49" s="181" t="n">
        <v>1830.14</v>
      </c>
      <c r="U49" s="181" t="n">
        <v>1871.34</v>
      </c>
      <c r="V49" s="181" t="n">
        <v>1917.85</v>
      </c>
      <c r="W49" s="181" t="n">
        <v>1968.36</v>
      </c>
      <c r="X49" s="182" t="n">
        <v>2034.81</v>
      </c>
      <c r="Y49" s="183" t="inlineStr">
        <is>
          <t>.</t>
        </is>
      </c>
      <c r="Z49" s="184">
        <f>SUM(AA49:AL49)</f>
        <v/>
      </c>
      <c r="AA49" s="185" t="n">
        <v>0</v>
      </c>
      <c r="AB49" s="185" t="n">
        <v>0</v>
      </c>
      <c r="AC49" s="185" t="n">
        <v>0</v>
      </c>
      <c r="AD49" s="185" t="n">
        <v>0</v>
      </c>
      <c r="AE49" s="185" t="n">
        <v>0</v>
      </c>
      <c r="AF49" s="185" t="n">
        <v>1319.12</v>
      </c>
      <c r="AG49" s="185" t="n">
        <v>0</v>
      </c>
      <c r="AH49" s="185" t="n">
        <v>3200.28</v>
      </c>
      <c r="AI49" s="185" t="n">
        <v>1759.81</v>
      </c>
      <c r="AJ49" s="185" t="n">
        <v>2345.48</v>
      </c>
      <c r="AK49" s="185" t="n">
        <v>0</v>
      </c>
      <c r="AL49" s="186" t="n">
        <v>955.5700000000001</v>
      </c>
      <c r="AM49" s="30" t="inlineStr">
        <is>
          <t>.</t>
        </is>
      </c>
      <c r="AN49" s="187">
        <f>IF(L49=0,0,Z49/L49)</f>
        <v/>
      </c>
      <c r="AO49" s="57">
        <f>IF(AN49&gt;=1,"🟢",IF(AN49&gt;=0.7,"🟡",IF(AN49&gt;=0.4,"🟠","🔴")))</f>
        <v/>
      </c>
      <c r="AP49" s="185">
        <f>L49-Z49</f>
        <v/>
      </c>
      <c r="AQ49" s="55">
        <f>RANK(Z49,$Z$4:$Z$503,0)</f>
        <v/>
      </c>
      <c r="AR49" s="39" t="inlineStr">
        <is>
          <t>.</t>
        </is>
      </c>
      <c r="AS49" s="27" t="n"/>
      <c r="AT49" s="27" t="n"/>
      <c r="AU49" s="27" t="n"/>
      <c r="AV49" s="27" t="n"/>
      <c r="AW49" s="27" t="n"/>
      <c r="AX49" s="27" t="n"/>
      <c r="AY49" s="204" t="n"/>
      <c r="AZ49" s="204" t="n"/>
      <c r="BA49" s="38" t="inlineStr">
        <is>
          <t>.</t>
        </is>
      </c>
      <c r="BB49" s="190">
        <f>SUM(BC49:BN49)</f>
        <v/>
      </c>
      <c r="BC49" s="191">
        <f>L49*0.0702730030</f>
        <v/>
      </c>
      <c r="BD49" s="191">
        <f>L49*0.0734327604</f>
        <v/>
      </c>
      <c r="BE49" s="191">
        <f>L49*0.0752022245</f>
        <v/>
      </c>
      <c r="BF49" s="191">
        <f>L49*0.0771612740</f>
        <v/>
      </c>
      <c r="BG49" s="191">
        <f>L49*0.0796890799</f>
        <v/>
      </c>
      <c r="BH49" s="191">
        <f>L49*0.0817745197</f>
        <v/>
      </c>
      <c r="BI49" s="191">
        <f>L49*0.0849342770</f>
        <v/>
      </c>
      <c r="BJ49" s="191">
        <f>L49*0.0870197169</f>
        <v/>
      </c>
      <c r="BK49" s="191">
        <f>L49*0.0889787664</f>
        <v/>
      </c>
      <c r="BL49" s="191">
        <f>L49*0.0911905966</f>
        <v/>
      </c>
      <c r="BM49" s="191">
        <f>L49*0.0935920121</f>
        <v/>
      </c>
      <c r="BN49" s="192">
        <f>L49*0.0967517695</f>
        <v/>
      </c>
      <c r="BO49" s="36" t="inlineStr">
        <is>
          <t>.</t>
        </is>
      </c>
      <c r="BP49" s="193">
        <f>SUM(BQ49:CB49)</f>
        <v/>
      </c>
      <c r="BQ49" s="191">
        <f>MAX(0,BC49-AA49)</f>
        <v/>
      </c>
      <c r="BR49" s="191">
        <f>MAX(0,BD49-AB49)</f>
        <v/>
      </c>
      <c r="BS49" s="191">
        <f>MAX(0,BE49-AC49)</f>
        <v/>
      </c>
      <c r="BT49" s="191">
        <f>MAX(0,BF49-AD49)</f>
        <v/>
      </c>
      <c r="BU49" s="191">
        <f>MAX(0,BG49-AE49)</f>
        <v/>
      </c>
      <c r="BV49" s="191">
        <f>MAX(0,BH49-AF49)</f>
        <v/>
      </c>
      <c r="BW49" s="191">
        <f>MAX(0,BI49-AG49)</f>
        <v/>
      </c>
      <c r="BX49" s="191">
        <f>MAX(0,BJ49-AH49)</f>
        <v/>
      </c>
      <c r="BY49" s="191">
        <f>MAX(0,BK49-AI49)</f>
        <v/>
      </c>
      <c r="BZ49" s="191">
        <f>MAX(0,BL49-AJ49)</f>
        <v/>
      </c>
      <c r="CA49" s="191">
        <f>MAX(0,BM49-AK49)</f>
        <v/>
      </c>
      <c r="CB49" s="192">
        <f>MAX(0,BN49-AL49)</f>
        <v/>
      </c>
    </row>
    <row r="50">
      <c r="A50" s="64" t="inlineStr">
        <is>
          <t>55483453000108</t>
        </is>
      </c>
      <c r="B50" s="57" t="inlineStr">
        <is>
          <t>MADOR PRODUTOS NATURAIS E SUPLEMENTOS LT</t>
        </is>
      </c>
      <c r="C50" s="57" t="inlineStr">
        <is>
          <t>FITLAND</t>
        </is>
      </c>
      <c r="D50" s="61" t="inlineStr">
        <is>
          <t>JULIO GADRET</t>
        </is>
      </c>
      <c r="E50" s="30" t="inlineStr">
        <is>
          <t>.</t>
        </is>
      </c>
      <c r="F50" s="63" t="n">
        <v>89</v>
      </c>
      <c r="G50" s="179" t="n">
        <v>0.298</v>
      </c>
      <c r="H50" s="57" t="inlineStr">
        <is>
          <t>🔴 VERMELHO</t>
        </is>
      </c>
      <c r="I50" s="57" t="inlineStr">
        <is>
          <t>POSITIVAÇÃO</t>
        </is>
      </c>
      <c r="J50" s="61" t="inlineStr">
        <is>
          <t>Aumentar frequência + Expandir base</t>
        </is>
      </c>
      <c r="K50" s="30" t="inlineStr">
        <is>
          <t>.</t>
        </is>
      </c>
      <c r="L50" s="180" t="n">
        <v>20559.44</v>
      </c>
      <c r="M50" s="181" t="n">
        <v>1444.77</v>
      </c>
      <c r="N50" s="181" t="n">
        <v>1509.74</v>
      </c>
      <c r="O50" s="181" t="n">
        <v>1546.12</v>
      </c>
      <c r="P50" s="181" t="n">
        <v>1586.39</v>
      </c>
      <c r="Q50" s="181" t="n">
        <v>1638.36</v>
      </c>
      <c r="R50" s="181" t="n">
        <v>1681.24</v>
      </c>
      <c r="S50" s="181" t="n">
        <v>1746.2</v>
      </c>
      <c r="T50" s="181" t="n">
        <v>1789.08</v>
      </c>
      <c r="U50" s="181" t="n">
        <v>1829.35</v>
      </c>
      <c r="V50" s="181" t="n">
        <v>1874.83</v>
      </c>
      <c r="W50" s="181" t="n">
        <v>1924.2</v>
      </c>
      <c r="X50" s="182" t="n">
        <v>1989.16</v>
      </c>
      <c r="Y50" s="183" t="inlineStr">
        <is>
          <t>.</t>
        </is>
      </c>
      <c r="Z50" s="184">
        <f>SUM(AA50:AL50)</f>
        <v/>
      </c>
      <c r="AA50" s="185" t="n">
        <v>0</v>
      </c>
      <c r="AB50" s="185" t="n">
        <v>0</v>
      </c>
      <c r="AC50" s="185" t="n">
        <v>0</v>
      </c>
      <c r="AD50" s="185" t="n">
        <v>0</v>
      </c>
      <c r="AE50" s="185" t="n">
        <v>0</v>
      </c>
      <c r="AF50" s="185" t="n">
        <v>1824.39</v>
      </c>
      <c r="AG50" s="185" t="n">
        <v>0</v>
      </c>
      <c r="AH50" s="185" t="n">
        <v>0</v>
      </c>
      <c r="AI50" s="185" t="n">
        <v>2297.78</v>
      </c>
      <c r="AJ50" s="185" t="n">
        <v>3819.27</v>
      </c>
      <c r="AK50" s="185" t="n">
        <v>0</v>
      </c>
      <c r="AL50" s="186" t="n">
        <v>1864.18</v>
      </c>
      <c r="AM50" s="30" t="inlineStr">
        <is>
          <t>.</t>
        </is>
      </c>
      <c r="AN50" s="187">
        <f>IF(L50=0,0,Z50/L50)</f>
        <v/>
      </c>
      <c r="AO50" s="57">
        <f>IF(AN50&gt;=1,"🟢",IF(AN50&gt;=0.7,"🟡",IF(AN50&gt;=0.4,"🟠","🔴")))</f>
        <v/>
      </c>
      <c r="AP50" s="185">
        <f>L50-Z50</f>
        <v/>
      </c>
      <c r="AQ50" s="55">
        <f>RANK(Z50,$Z$4:$Z$503,0)</f>
        <v/>
      </c>
      <c r="AR50" s="39" t="inlineStr">
        <is>
          <t>.</t>
        </is>
      </c>
      <c r="AS50" s="27" t="n"/>
      <c r="AT50" s="27" t="n"/>
      <c r="AU50" s="27" t="n"/>
      <c r="AV50" s="27" t="n"/>
      <c r="AW50" s="27" t="n"/>
      <c r="AX50" s="27" t="n"/>
      <c r="AY50" s="204" t="n"/>
      <c r="AZ50" s="204" t="n"/>
      <c r="BA50" s="38" t="inlineStr">
        <is>
          <t>.</t>
        </is>
      </c>
      <c r="BB50" s="190">
        <f>SUM(BC50:BN50)</f>
        <v/>
      </c>
      <c r="BC50" s="191">
        <f>L50*0.0702730030</f>
        <v/>
      </c>
      <c r="BD50" s="191">
        <f>L50*0.0734327604</f>
        <v/>
      </c>
      <c r="BE50" s="191">
        <f>L50*0.0752022245</f>
        <v/>
      </c>
      <c r="BF50" s="191">
        <f>L50*0.0771612740</f>
        <v/>
      </c>
      <c r="BG50" s="191">
        <f>L50*0.0796890799</f>
        <v/>
      </c>
      <c r="BH50" s="191">
        <f>L50*0.0817745197</f>
        <v/>
      </c>
      <c r="BI50" s="191">
        <f>L50*0.0849342770</f>
        <v/>
      </c>
      <c r="BJ50" s="191">
        <f>L50*0.0870197169</f>
        <v/>
      </c>
      <c r="BK50" s="191">
        <f>L50*0.0889787664</f>
        <v/>
      </c>
      <c r="BL50" s="191">
        <f>L50*0.0911905966</f>
        <v/>
      </c>
      <c r="BM50" s="191">
        <f>L50*0.0935920121</f>
        <v/>
      </c>
      <c r="BN50" s="192">
        <f>L50*0.0967517695</f>
        <v/>
      </c>
      <c r="BO50" s="36" t="inlineStr">
        <is>
          <t>.</t>
        </is>
      </c>
      <c r="BP50" s="193">
        <f>SUM(BQ50:CB50)</f>
        <v/>
      </c>
      <c r="BQ50" s="191">
        <f>MAX(0,BC50-AA50)</f>
        <v/>
      </c>
      <c r="BR50" s="191">
        <f>MAX(0,BD50-AB50)</f>
        <v/>
      </c>
      <c r="BS50" s="191">
        <f>MAX(0,BE50-AC50)</f>
        <v/>
      </c>
      <c r="BT50" s="191">
        <f>MAX(0,BF50-AD50)</f>
        <v/>
      </c>
      <c r="BU50" s="191">
        <f>MAX(0,BG50-AE50)</f>
        <v/>
      </c>
      <c r="BV50" s="191">
        <f>MAX(0,BH50-AF50)</f>
        <v/>
      </c>
      <c r="BW50" s="191">
        <f>MAX(0,BI50-AG50)</f>
        <v/>
      </c>
      <c r="BX50" s="191">
        <f>MAX(0,BJ50-AH50)</f>
        <v/>
      </c>
      <c r="BY50" s="191">
        <f>MAX(0,BK50-AI50)</f>
        <v/>
      </c>
      <c r="BZ50" s="191">
        <f>MAX(0,BL50-AJ50)</f>
        <v/>
      </c>
      <c r="CA50" s="191">
        <f>MAX(0,BM50-AK50)</f>
        <v/>
      </c>
      <c r="CB50" s="192">
        <f>MAX(0,BN50-AL50)</f>
        <v/>
      </c>
    </row>
    <row r="51">
      <c r="A51" s="64" t="inlineStr">
        <is>
          <t>07621230000117</t>
        </is>
      </c>
      <c r="B51" s="57" t="inlineStr">
        <is>
          <t>CASA MISSAO COMERCIO DE PRODUTOS NATURAI</t>
        </is>
      </c>
      <c r="C51" s="57" t="inlineStr">
        <is>
          <t>SEM GRUPO</t>
        </is>
      </c>
      <c r="D51" s="61" t="inlineStr">
        <is>
          <t>LARISSA PADILHA</t>
        </is>
      </c>
      <c r="E51" s="30" t="inlineStr">
        <is>
          <t>.</t>
        </is>
      </c>
      <c r="F51" s="63" t="n"/>
      <c r="G51" s="179" t="n"/>
      <c r="H51" s="57" t="n"/>
      <c r="I51" s="57" t="n"/>
      <c r="J51" s="61" t="n"/>
      <c r="K51" s="30" t="inlineStr">
        <is>
          <t>.</t>
        </is>
      </c>
      <c r="L51" s="180" t="n">
        <v>20487.34</v>
      </c>
      <c r="M51" s="181" t="n">
        <v>1439.71</v>
      </c>
      <c r="N51" s="181" t="n">
        <v>1504.44</v>
      </c>
      <c r="O51" s="181" t="n">
        <v>1540.69</v>
      </c>
      <c r="P51" s="181" t="n">
        <v>1580.83</v>
      </c>
      <c r="Q51" s="181" t="n">
        <v>1632.62</v>
      </c>
      <c r="R51" s="181" t="n">
        <v>1675.34</v>
      </c>
      <c r="S51" s="181" t="n">
        <v>1740.08</v>
      </c>
      <c r="T51" s="181" t="n">
        <v>1782.8</v>
      </c>
      <c r="U51" s="181" t="n">
        <v>1822.94</v>
      </c>
      <c r="V51" s="181" t="n">
        <v>1868.25</v>
      </c>
      <c r="W51" s="181" t="n">
        <v>1917.45</v>
      </c>
      <c r="X51" s="182" t="n">
        <v>1982.19</v>
      </c>
      <c r="Y51" s="183" t="inlineStr">
        <is>
          <t>.</t>
        </is>
      </c>
      <c r="Z51" s="184">
        <f>SUM(AA51:AL51)</f>
        <v/>
      </c>
      <c r="AA51" s="185" t="n">
        <v>0</v>
      </c>
      <c r="AB51" s="185" t="n">
        <v>0</v>
      </c>
      <c r="AC51" s="185" t="n">
        <v>1171.17</v>
      </c>
      <c r="AD51" s="185" t="n">
        <v>0</v>
      </c>
      <c r="AE51" s="185" t="n">
        <v>1696.04</v>
      </c>
      <c r="AF51" s="185" t="n">
        <v>0</v>
      </c>
      <c r="AG51" s="185" t="n">
        <v>1891.89</v>
      </c>
      <c r="AH51" s="185" t="n">
        <v>1825.63</v>
      </c>
      <c r="AI51" s="185" t="n">
        <v>0</v>
      </c>
      <c r="AJ51" s="185" t="n">
        <v>3399.6</v>
      </c>
      <c r="AK51" s="185" t="n">
        <v>0</v>
      </c>
      <c r="AL51" s="186" t="n">
        <v>0</v>
      </c>
      <c r="AM51" s="30" t="inlineStr">
        <is>
          <t>.</t>
        </is>
      </c>
      <c r="AN51" s="187">
        <f>IF(L51=0,0,Z51/L51)</f>
        <v/>
      </c>
      <c r="AO51" s="57">
        <f>IF(AN51&gt;=1,"🟢",IF(AN51&gt;=0.7,"🟡",IF(AN51&gt;=0.4,"🟠","🔴")))</f>
        <v/>
      </c>
      <c r="AP51" s="185">
        <f>L51-Z51</f>
        <v/>
      </c>
      <c r="AQ51" s="55">
        <f>RANK(Z51,$Z$4:$Z$503,0)</f>
        <v/>
      </c>
      <c r="AR51" s="39" t="inlineStr">
        <is>
          <t>.</t>
        </is>
      </c>
      <c r="AS51" s="27" t="n"/>
      <c r="AT51" s="27" t="n"/>
      <c r="AU51" s="27" t="n"/>
      <c r="AV51" s="27" t="n"/>
      <c r="AW51" s="27" t="n"/>
      <c r="AX51" s="27" t="n"/>
      <c r="AY51" s="204" t="n"/>
      <c r="AZ51" s="204" t="n"/>
      <c r="BA51" s="38" t="inlineStr">
        <is>
          <t>.</t>
        </is>
      </c>
      <c r="BB51" s="190">
        <f>SUM(BC51:BN51)</f>
        <v/>
      </c>
      <c r="BC51" s="191">
        <f>L51*0.0702730030</f>
        <v/>
      </c>
      <c r="BD51" s="191">
        <f>L51*0.0734327604</f>
        <v/>
      </c>
      <c r="BE51" s="191">
        <f>L51*0.0752022245</f>
        <v/>
      </c>
      <c r="BF51" s="191">
        <f>L51*0.0771612740</f>
        <v/>
      </c>
      <c r="BG51" s="191">
        <f>L51*0.0796890799</f>
        <v/>
      </c>
      <c r="BH51" s="191">
        <f>L51*0.0817745197</f>
        <v/>
      </c>
      <c r="BI51" s="191">
        <f>L51*0.0849342770</f>
        <v/>
      </c>
      <c r="BJ51" s="191">
        <f>L51*0.0870197169</f>
        <v/>
      </c>
      <c r="BK51" s="191">
        <f>L51*0.0889787664</f>
        <v/>
      </c>
      <c r="BL51" s="191">
        <f>L51*0.0911905966</f>
        <v/>
      </c>
      <c r="BM51" s="191">
        <f>L51*0.0935920121</f>
        <v/>
      </c>
      <c r="BN51" s="192">
        <f>L51*0.0967517695</f>
        <v/>
      </c>
      <c r="BO51" s="36" t="inlineStr">
        <is>
          <t>.</t>
        </is>
      </c>
      <c r="BP51" s="193">
        <f>SUM(BQ51:CB51)</f>
        <v/>
      </c>
      <c r="BQ51" s="191">
        <f>MAX(0,BC51-AA51)</f>
        <v/>
      </c>
      <c r="BR51" s="191">
        <f>MAX(0,BD51-AB51)</f>
        <v/>
      </c>
      <c r="BS51" s="191">
        <f>MAX(0,BE51-AC51)</f>
        <v/>
      </c>
      <c r="BT51" s="191">
        <f>MAX(0,BF51-AD51)</f>
        <v/>
      </c>
      <c r="BU51" s="191">
        <f>MAX(0,BG51-AE51)</f>
        <v/>
      </c>
      <c r="BV51" s="191">
        <f>MAX(0,BH51-AF51)</f>
        <v/>
      </c>
      <c r="BW51" s="191">
        <f>MAX(0,BI51-AG51)</f>
        <v/>
      </c>
      <c r="BX51" s="191">
        <f>MAX(0,BJ51-AH51)</f>
        <v/>
      </c>
      <c r="BY51" s="191">
        <f>MAX(0,BK51-AI51)</f>
        <v/>
      </c>
      <c r="BZ51" s="191">
        <f>MAX(0,BL51-AJ51)</f>
        <v/>
      </c>
      <c r="CA51" s="191">
        <f>MAX(0,BM51-AK51)</f>
        <v/>
      </c>
      <c r="CB51" s="192">
        <f>MAX(0,BN51-AL51)</f>
        <v/>
      </c>
    </row>
    <row r="52">
      <c r="A52" s="64" t="inlineStr">
        <is>
          <t>24583557000322</t>
        </is>
      </c>
      <c r="B52" s="57" t="inlineStr">
        <is>
          <t>SHOPPER COMERCIO ALIMENTICIO LTDA</t>
        </is>
      </c>
      <c r="C52" s="57" t="inlineStr">
        <is>
          <t>SEM GRUPO</t>
        </is>
      </c>
      <c r="D52" s="61" t="inlineStr">
        <is>
          <t>LARISSA PADILHA</t>
        </is>
      </c>
      <c r="E52" s="30" t="inlineStr">
        <is>
          <t>.</t>
        </is>
      </c>
      <c r="F52" s="63" t="n"/>
      <c r="G52" s="179" t="n"/>
      <c r="H52" s="57" t="n"/>
      <c r="I52" s="57" t="n"/>
      <c r="J52" s="61" t="n"/>
      <c r="K52" s="30" t="inlineStr">
        <is>
          <t>.</t>
        </is>
      </c>
      <c r="L52" s="180" t="n">
        <v>20475.4</v>
      </c>
      <c r="M52" s="181" t="n">
        <v>1438.87</v>
      </c>
      <c r="N52" s="181" t="n">
        <v>1503.56</v>
      </c>
      <c r="O52" s="181" t="n">
        <v>1539.8</v>
      </c>
      <c r="P52" s="181" t="n">
        <v>1579.91</v>
      </c>
      <c r="Q52" s="181" t="n">
        <v>1631.67</v>
      </c>
      <c r="R52" s="181" t="n">
        <v>1674.37</v>
      </c>
      <c r="S52" s="181" t="n">
        <v>1739.06</v>
      </c>
      <c r="T52" s="181" t="n">
        <v>1781.76</v>
      </c>
      <c r="U52" s="181" t="n">
        <v>1821.88</v>
      </c>
      <c r="V52" s="181" t="n">
        <v>1867.16</v>
      </c>
      <c r="W52" s="181" t="n">
        <v>1916.33</v>
      </c>
      <c r="X52" s="182" t="n">
        <v>1981.03</v>
      </c>
      <c r="Y52" s="183" t="inlineStr">
        <is>
          <t>.</t>
        </is>
      </c>
      <c r="Z52" s="184">
        <f>SUM(AA52:AL52)</f>
        <v/>
      </c>
      <c r="AA52" s="185" t="n">
        <v>3182.95</v>
      </c>
      <c r="AB52" s="185" t="n">
        <v>0</v>
      </c>
      <c r="AC52" s="185" t="n">
        <v>1595.24</v>
      </c>
      <c r="AD52" s="185" t="n">
        <v>0</v>
      </c>
      <c r="AE52" s="185" t="n">
        <v>3340.55</v>
      </c>
      <c r="AF52" s="185" t="n">
        <v>0</v>
      </c>
      <c r="AG52" s="185" t="n">
        <v>0</v>
      </c>
      <c r="AH52" s="185" t="n">
        <v>0</v>
      </c>
      <c r="AI52" s="185" t="n">
        <v>0</v>
      </c>
      <c r="AJ52" s="185" t="n">
        <v>2222.25</v>
      </c>
      <c r="AK52" s="185" t="n">
        <v>0</v>
      </c>
      <c r="AL52" s="186" t="n">
        <v>0</v>
      </c>
      <c r="AM52" s="30" t="inlineStr">
        <is>
          <t>.</t>
        </is>
      </c>
      <c r="AN52" s="187">
        <f>IF(L52=0,0,Z52/L52)</f>
        <v/>
      </c>
      <c r="AO52" s="57">
        <f>IF(AN52&gt;=1,"🟢",IF(AN52&gt;=0.7,"🟡",IF(AN52&gt;=0.4,"🟠","🔴")))</f>
        <v/>
      </c>
      <c r="AP52" s="185">
        <f>L52-Z52</f>
        <v/>
      </c>
      <c r="AQ52" s="55">
        <f>RANK(Z52,$Z$4:$Z$503,0)</f>
        <v/>
      </c>
      <c r="AR52" s="39" t="inlineStr">
        <is>
          <t>.</t>
        </is>
      </c>
      <c r="AS52" s="27" t="n"/>
      <c r="AT52" s="27" t="n"/>
      <c r="AU52" s="27" t="n"/>
      <c r="AV52" s="27" t="n"/>
      <c r="AW52" s="27" t="n"/>
      <c r="AX52" s="27" t="n"/>
      <c r="AY52" s="204" t="n"/>
      <c r="AZ52" s="204" t="n"/>
      <c r="BA52" s="38" t="inlineStr">
        <is>
          <t>.</t>
        </is>
      </c>
      <c r="BB52" s="190">
        <f>SUM(BC52:BN52)</f>
        <v/>
      </c>
      <c r="BC52" s="191">
        <f>L52*0.0702730030</f>
        <v/>
      </c>
      <c r="BD52" s="191">
        <f>L52*0.0734327604</f>
        <v/>
      </c>
      <c r="BE52" s="191">
        <f>L52*0.0752022245</f>
        <v/>
      </c>
      <c r="BF52" s="191">
        <f>L52*0.0771612740</f>
        <v/>
      </c>
      <c r="BG52" s="191">
        <f>L52*0.0796890799</f>
        <v/>
      </c>
      <c r="BH52" s="191">
        <f>L52*0.0817745197</f>
        <v/>
      </c>
      <c r="BI52" s="191">
        <f>L52*0.0849342770</f>
        <v/>
      </c>
      <c r="BJ52" s="191">
        <f>L52*0.0870197169</f>
        <v/>
      </c>
      <c r="BK52" s="191">
        <f>L52*0.0889787664</f>
        <v/>
      </c>
      <c r="BL52" s="191">
        <f>L52*0.0911905966</f>
        <v/>
      </c>
      <c r="BM52" s="191">
        <f>L52*0.0935920121</f>
        <v/>
      </c>
      <c r="BN52" s="192">
        <f>L52*0.0967517695</f>
        <v/>
      </c>
      <c r="BO52" s="36" t="inlineStr">
        <is>
          <t>.</t>
        </is>
      </c>
      <c r="BP52" s="193">
        <f>SUM(BQ52:CB52)</f>
        <v/>
      </c>
      <c r="BQ52" s="191">
        <f>MAX(0,BC52-AA52)</f>
        <v/>
      </c>
      <c r="BR52" s="191">
        <f>MAX(0,BD52-AB52)</f>
        <v/>
      </c>
      <c r="BS52" s="191">
        <f>MAX(0,BE52-AC52)</f>
        <v/>
      </c>
      <c r="BT52" s="191">
        <f>MAX(0,BF52-AD52)</f>
        <v/>
      </c>
      <c r="BU52" s="191">
        <f>MAX(0,BG52-AE52)</f>
        <v/>
      </c>
      <c r="BV52" s="191">
        <f>MAX(0,BH52-AF52)</f>
        <v/>
      </c>
      <c r="BW52" s="191">
        <f>MAX(0,BI52-AG52)</f>
        <v/>
      </c>
      <c r="BX52" s="191">
        <f>MAX(0,BJ52-AH52)</f>
        <v/>
      </c>
      <c r="BY52" s="191">
        <f>MAX(0,BK52-AI52)</f>
        <v/>
      </c>
      <c r="BZ52" s="191">
        <f>MAX(0,BL52-AJ52)</f>
        <v/>
      </c>
      <c r="CA52" s="191">
        <f>MAX(0,BM52-AK52)</f>
        <v/>
      </c>
      <c r="CB52" s="192">
        <f>MAX(0,BN52-AL52)</f>
        <v/>
      </c>
    </row>
    <row r="53">
      <c r="A53" s="64" t="inlineStr">
        <is>
          <t>58434075000160</t>
        </is>
      </c>
      <c r="B53" s="57" t="inlineStr">
        <is>
          <t>MISTER GRAOS SS MOCOQUINHA LTDA - ME</t>
        </is>
      </c>
      <c r="C53" s="57" t="inlineStr">
        <is>
          <t>SEM GRUPO</t>
        </is>
      </c>
      <c r="D53" s="61" t="inlineStr">
        <is>
          <t>LARISSA PADILHA</t>
        </is>
      </c>
      <c r="E53" s="30" t="inlineStr">
        <is>
          <t>.</t>
        </is>
      </c>
      <c r="F53" s="63" t="n"/>
      <c r="G53" s="179" t="n"/>
      <c r="H53" s="57" t="n"/>
      <c r="I53" s="57" t="n"/>
      <c r="J53" s="61" t="n"/>
      <c r="K53" s="30" t="inlineStr">
        <is>
          <t>.</t>
        </is>
      </c>
      <c r="L53" s="180" t="n">
        <v>20181.87</v>
      </c>
      <c r="M53" s="181" t="n">
        <v>1418.24</v>
      </c>
      <c r="N53" s="181" t="n">
        <v>1482.01</v>
      </c>
      <c r="O53" s="181" t="n">
        <v>1517.72</v>
      </c>
      <c r="P53" s="181" t="n">
        <v>1557.26</v>
      </c>
      <c r="Q53" s="181" t="n">
        <v>1608.28</v>
      </c>
      <c r="R53" s="181" t="n">
        <v>1650.36</v>
      </c>
      <c r="S53" s="181" t="n">
        <v>1714.13</v>
      </c>
      <c r="T53" s="181" t="n">
        <v>1756.22</v>
      </c>
      <c r="U53" s="181" t="n">
        <v>1795.76</v>
      </c>
      <c r="V53" s="181" t="n">
        <v>1840.4</v>
      </c>
      <c r="W53" s="181" t="n">
        <v>1888.86</v>
      </c>
      <c r="X53" s="182" t="n">
        <v>1952.63</v>
      </c>
      <c r="Y53" s="183" t="inlineStr">
        <is>
          <t>.</t>
        </is>
      </c>
      <c r="Z53" s="184">
        <f>SUM(AA53:AL53)</f>
        <v/>
      </c>
      <c r="AA53" s="185" t="n">
        <v>0</v>
      </c>
      <c r="AB53" s="185" t="n">
        <v>0</v>
      </c>
      <c r="AC53" s="185" t="n">
        <v>4986.98</v>
      </c>
      <c r="AD53" s="185" t="n">
        <v>0</v>
      </c>
      <c r="AE53" s="185" t="n">
        <v>0</v>
      </c>
      <c r="AF53" s="185" t="n">
        <v>1571.32</v>
      </c>
      <c r="AG53" s="185" t="n">
        <v>0</v>
      </c>
      <c r="AH53" s="185" t="n">
        <v>2162.66</v>
      </c>
      <c r="AI53" s="185" t="n">
        <v>0</v>
      </c>
      <c r="AJ53" s="185" t="n">
        <v>0</v>
      </c>
      <c r="AK53" s="185" t="n">
        <v>0</v>
      </c>
      <c r="AL53" s="186" t="n">
        <v>0</v>
      </c>
      <c r="AM53" s="30" t="inlineStr">
        <is>
          <t>.</t>
        </is>
      </c>
      <c r="AN53" s="187">
        <f>IF(L53=0,0,Z53/L53)</f>
        <v/>
      </c>
      <c r="AO53" s="57">
        <f>IF(AN53&gt;=1,"🟢",IF(AN53&gt;=0.7,"🟡",IF(AN53&gt;=0.4,"🟠","🔴")))</f>
        <v/>
      </c>
      <c r="AP53" s="185">
        <f>L53-Z53</f>
        <v/>
      </c>
      <c r="AQ53" s="55">
        <f>RANK(Z53,$Z$4:$Z$503,0)</f>
        <v/>
      </c>
      <c r="AR53" s="39" t="inlineStr">
        <is>
          <t>.</t>
        </is>
      </c>
      <c r="AS53" s="27" t="n"/>
      <c r="AT53" s="27" t="n"/>
      <c r="AU53" s="27" t="n"/>
      <c r="AV53" s="27" t="n"/>
      <c r="AW53" s="27" t="n"/>
      <c r="AX53" s="27" t="n"/>
      <c r="AY53" s="204" t="n"/>
      <c r="AZ53" s="204" t="n"/>
      <c r="BA53" s="38" t="inlineStr">
        <is>
          <t>.</t>
        </is>
      </c>
      <c r="BB53" s="190">
        <f>SUM(BC53:BN53)</f>
        <v/>
      </c>
      <c r="BC53" s="191">
        <f>L53*0.0702730030</f>
        <v/>
      </c>
      <c r="BD53" s="191">
        <f>L53*0.0734327604</f>
        <v/>
      </c>
      <c r="BE53" s="191">
        <f>L53*0.0752022245</f>
        <v/>
      </c>
      <c r="BF53" s="191">
        <f>L53*0.0771612740</f>
        <v/>
      </c>
      <c r="BG53" s="191">
        <f>L53*0.0796890799</f>
        <v/>
      </c>
      <c r="BH53" s="191">
        <f>L53*0.0817745197</f>
        <v/>
      </c>
      <c r="BI53" s="191">
        <f>L53*0.0849342770</f>
        <v/>
      </c>
      <c r="BJ53" s="191">
        <f>L53*0.0870197169</f>
        <v/>
      </c>
      <c r="BK53" s="191">
        <f>L53*0.0889787664</f>
        <v/>
      </c>
      <c r="BL53" s="191">
        <f>L53*0.0911905966</f>
        <v/>
      </c>
      <c r="BM53" s="191">
        <f>L53*0.0935920121</f>
        <v/>
      </c>
      <c r="BN53" s="192">
        <f>L53*0.0967517695</f>
        <v/>
      </c>
      <c r="BO53" s="36" t="inlineStr">
        <is>
          <t>.</t>
        </is>
      </c>
      <c r="BP53" s="193">
        <f>SUM(BQ53:CB53)</f>
        <v/>
      </c>
      <c r="BQ53" s="191">
        <f>MAX(0,BC53-AA53)</f>
        <v/>
      </c>
      <c r="BR53" s="191">
        <f>MAX(0,BD53-AB53)</f>
        <v/>
      </c>
      <c r="BS53" s="191">
        <f>MAX(0,BE53-AC53)</f>
        <v/>
      </c>
      <c r="BT53" s="191">
        <f>MAX(0,BF53-AD53)</f>
        <v/>
      </c>
      <c r="BU53" s="191">
        <f>MAX(0,BG53-AE53)</f>
        <v/>
      </c>
      <c r="BV53" s="191">
        <f>MAX(0,BH53-AF53)</f>
        <v/>
      </c>
      <c r="BW53" s="191">
        <f>MAX(0,BI53-AG53)</f>
        <v/>
      </c>
      <c r="BX53" s="191">
        <f>MAX(0,BJ53-AH53)</f>
        <v/>
      </c>
      <c r="BY53" s="191">
        <f>MAX(0,BK53-AI53)</f>
        <v/>
      </c>
      <c r="BZ53" s="191">
        <f>MAX(0,BL53-AJ53)</f>
        <v/>
      </c>
      <c r="CA53" s="191">
        <f>MAX(0,BM53-AK53)</f>
        <v/>
      </c>
      <c r="CB53" s="192">
        <f>MAX(0,BN53-AL53)</f>
        <v/>
      </c>
    </row>
    <row r="54">
      <c r="A54" s="64" t="inlineStr">
        <is>
          <t>34404590000130</t>
        </is>
      </c>
      <c r="B54" s="57" t="inlineStr">
        <is>
          <t>JOAO COSTA SOARES E CIA LTDA</t>
        </is>
      </c>
      <c r="C54" s="57" t="inlineStr">
        <is>
          <t>SEM GRUPO</t>
        </is>
      </c>
      <c r="D54" s="61" t="inlineStr">
        <is>
          <t>LARISSA PADILHA</t>
        </is>
      </c>
      <c r="E54" s="30" t="inlineStr">
        <is>
          <t>.</t>
        </is>
      </c>
      <c r="F54" s="63" t="n"/>
      <c r="G54" s="179" t="n"/>
      <c r="H54" s="57" t="n"/>
      <c r="I54" s="57" t="n"/>
      <c r="J54" s="61" t="n"/>
      <c r="K54" s="30" t="inlineStr">
        <is>
          <t>.</t>
        </is>
      </c>
      <c r="L54" s="180" t="n">
        <v>19979.22</v>
      </c>
      <c r="M54" s="181" t="n">
        <v>1404</v>
      </c>
      <c r="N54" s="181" t="n">
        <v>1467.13</v>
      </c>
      <c r="O54" s="181" t="n">
        <v>1502.48</v>
      </c>
      <c r="P54" s="181" t="n">
        <v>1541.62</v>
      </c>
      <c r="Q54" s="181" t="n">
        <v>1592.13</v>
      </c>
      <c r="R54" s="181" t="n">
        <v>1633.79</v>
      </c>
      <c r="S54" s="181" t="n">
        <v>1696.92</v>
      </c>
      <c r="T54" s="181" t="n">
        <v>1738.59</v>
      </c>
      <c r="U54" s="181" t="n">
        <v>1777.73</v>
      </c>
      <c r="V54" s="181" t="n">
        <v>1821.92</v>
      </c>
      <c r="W54" s="181" t="n">
        <v>1869.89</v>
      </c>
      <c r="X54" s="182" t="n">
        <v>1933.02</v>
      </c>
      <c r="Y54" s="183" t="inlineStr">
        <is>
          <t>.</t>
        </is>
      </c>
      <c r="Z54" s="184">
        <f>SUM(AA54:AL54)</f>
        <v/>
      </c>
      <c r="AA54" s="185" t="n">
        <v>7788.52</v>
      </c>
      <c r="AB54" s="185" t="n">
        <v>0</v>
      </c>
      <c r="AC54" s="185" t="n">
        <v>0</v>
      </c>
      <c r="AD54" s="185" t="n">
        <v>0</v>
      </c>
      <c r="AE54" s="185" t="n">
        <v>0</v>
      </c>
      <c r="AF54" s="185" t="n">
        <v>0</v>
      </c>
      <c r="AG54" s="185" t="n">
        <v>0</v>
      </c>
      <c r="AH54" s="185" t="n">
        <v>0</v>
      </c>
      <c r="AI54" s="185" t="n">
        <v>4305.5</v>
      </c>
      <c r="AJ54" s="185" t="n">
        <v>0</v>
      </c>
      <c r="AK54" s="185" t="n">
        <v>0</v>
      </c>
      <c r="AL54" s="186" t="n">
        <v>0</v>
      </c>
      <c r="AM54" s="30" t="inlineStr">
        <is>
          <t>.</t>
        </is>
      </c>
      <c r="AN54" s="187">
        <f>IF(L54=0,0,Z54/L54)</f>
        <v/>
      </c>
      <c r="AO54" s="57">
        <f>IF(AN54&gt;=1,"🟢",IF(AN54&gt;=0.7,"🟡",IF(AN54&gt;=0.4,"🟠","🔴")))</f>
        <v/>
      </c>
      <c r="AP54" s="185">
        <f>L54-Z54</f>
        <v/>
      </c>
      <c r="AQ54" s="55">
        <f>RANK(Z54,$Z$4:$Z$503,0)</f>
        <v/>
      </c>
      <c r="AR54" s="39" t="inlineStr">
        <is>
          <t>.</t>
        </is>
      </c>
      <c r="AS54" s="27" t="n"/>
      <c r="AT54" s="27" t="n"/>
      <c r="AU54" s="27" t="n"/>
      <c r="AV54" s="27" t="n"/>
      <c r="AW54" s="27" t="n"/>
      <c r="AX54" s="27" t="n"/>
      <c r="AY54" s="204" t="n"/>
      <c r="AZ54" s="204" t="n"/>
      <c r="BA54" s="38" t="inlineStr">
        <is>
          <t>.</t>
        </is>
      </c>
      <c r="BB54" s="190">
        <f>SUM(BC54:BN54)</f>
        <v/>
      </c>
      <c r="BC54" s="191">
        <f>L54*0.0702730030</f>
        <v/>
      </c>
      <c r="BD54" s="191">
        <f>L54*0.0734327604</f>
        <v/>
      </c>
      <c r="BE54" s="191">
        <f>L54*0.0752022245</f>
        <v/>
      </c>
      <c r="BF54" s="191">
        <f>L54*0.0771612740</f>
        <v/>
      </c>
      <c r="BG54" s="191">
        <f>L54*0.0796890799</f>
        <v/>
      </c>
      <c r="BH54" s="191">
        <f>L54*0.0817745197</f>
        <v/>
      </c>
      <c r="BI54" s="191">
        <f>L54*0.0849342770</f>
        <v/>
      </c>
      <c r="BJ54" s="191">
        <f>L54*0.0870197169</f>
        <v/>
      </c>
      <c r="BK54" s="191">
        <f>L54*0.0889787664</f>
        <v/>
      </c>
      <c r="BL54" s="191">
        <f>L54*0.0911905966</f>
        <v/>
      </c>
      <c r="BM54" s="191">
        <f>L54*0.0935920121</f>
        <v/>
      </c>
      <c r="BN54" s="192">
        <f>L54*0.0967517695</f>
        <v/>
      </c>
      <c r="BO54" s="36" t="inlineStr">
        <is>
          <t>.</t>
        </is>
      </c>
      <c r="BP54" s="193">
        <f>SUM(BQ54:CB54)</f>
        <v/>
      </c>
      <c r="BQ54" s="191">
        <f>MAX(0,BC54-AA54)</f>
        <v/>
      </c>
      <c r="BR54" s="191">
        <f>MAX(0,BD54-AB54)</f>
        <v/>
      </c>
      <c r="BS54" s="191">
        <f>MAX(0,BE54-AC54)</f>
        <v/>
      </c>
      <c r="BT54" s="191">
        <f>MAX(0,BF54-AD54)</f>
        <v/>
      </c>
      <c r="BU54" s="191">
        <f>MAX(0,BG54-AE54)</f>
        <v/>
      </c>
      <c r="BV54" s="191">
        <f>MAX(0,BH54-AF54)</f>
        <v/>
      </c>
      <c r="BW54" s="191">
        <f>MAX(0,BI54-AG54)</f>
        <v/>
      </c>
      <c r="BX54" s="191">
        <f>MAX(0,BJ54-AH54)</f>
        <v/>
      </c>
      <c r="BY54" s="191">
        <f>MAX(0,BK54-AI54)</f>
        <v/>
      </c>
      <c r="BZ54" s="191">
        <f>MAX(0,BL54-AJ54)</f>
        <v/>
      </c>
      <c r="CA54" s="191">
        <f>MAX(0,BM54-AK54)</f>
        <v/>
      </c>
      <c r="CB54" s="192">
        <f>MAX(0,BN54-AL54)</f>
        <v/>
      </c>
    </row>
    <row r="55">
      <c r="A55" s="64" t="inlineStr">
        <is>
          <t>48097578000134</t>
        </is>
      </c>
      <c r="B55" s="57" t="inlineStr">
        <is>
          <t>SALAH UD DIN ALE CHARKIE LTDA - ME</t>
        </is>
      </c>
      <c r="C55" s="57" t="inlineStr">
        <is>
          <t>SEM GRUPO</t>
        </is>
      </c>
      <c r="D55" s="61" t="inlineStr">
        <is>
          <t>HEMANUELE DITZEL (MANU)</t>
        </is>
      </c>
      <c r="E55" s="30" t="inlineStr">
        <is>
          <t>.</t>
        </is>
      </c>
      <c r="F55" s="63" t="n"/>
      <c r="G55" s="179" t="n"/>
      <c r="H55" s="57" t="n"/>
      <c r="I55" s="57" t="n"/>
      <c r="J55" s="61" t="n"/>
      <c r="K55" s="30" t="inlineStr">
        <is>
          <t>.</t>
        </is>
      </c>
      <c r="L55" s="180" t="n">
        <v>19757.5</v>
      </c>
      <c r="M55" s="181" t="n">
        <v>1388.42</v>
      </c>
      <c r="N55" s="181" t="n">
        <v>1450.85</v>
      </c>
      <c r="O55" s="181" t="n">
        <v>1485.81</v>
      </c>
      <c r="P55" s="181" t="n">
        <v>1524.51</v>
      </c>
      <c r="Q55" s="181" t="n">
        <v>1574.46</v>
      </c>
      <c r="R55" s="181" t="n">
        <v>1615.66</v>
      </c>
      <c r="S55" s="181" t="n">
        <v>1678.09</v>
      </c>
      <c r="T55" s="181" t="n">
        <v>1719.29</v>
      </c>
      <c r="U55" s="181" t="n">
        <v>1758</v>
      </c>
      <c r="V55" s="181" t="n">
        <v>1801.7</v>
      </c>
      <c r="W55" s="181" t="n">
        <v>1849.14</v>
      </c>
      <c r="X55" s="182" t="n">
        <v>1911.57</v>
      </c>
      <c r="Y55" s="183" t="inlineStr">
        <is>
          <t>.</t>
        </is>
      </c>
      <c r="Z55" s="184">
        <f>SUM(AA55:AL55)</f>
        <v/>
      </c>
      <c r="AA55" s="185" t="n">
        <v>0</v>
      </c>
      <c r="AB55" s="185" t="n">
        <v>0</v>
      </c>
      <c r="AC55" s="185" t="n">
        <v>2843.61</v>
      </c>
      <c r="AD55" s="185" t="n">
        <v>598.3</v>
      </c>
      <c r="AE55" s="185" t="n">
        <v>1319.91</v>
      </c>
      <c r="AF55" s="185" t="n">
        <v>1106.18</v>
      </c>
      <c r="AG55" s="185" t="n">
        <v>0</v>
      </c>
      <c r="AH55" s="185" t="n">
        <v>1037.31</v>
      </c>
      <c r="AI55" s="185" t="n">
        <v>0</v>
      </c>
      <c r="AJ55" s="185" t="n">
        <v>0</v>
      </c>
      <c r="AK55" s="185" t="n">
        <v>0</v>
      </c>
      <c r="AL55" s="186" t="n">
        <v>1045.43</v>
      </c>
      <c r="AM55" s="30" t="inlineStr">
        <is>
          <t>.</t>
        </is>
      </c>
      <c r="AN55" s="187">
        <f>IF(L55=0,0,Z55/L55)</f>
        <v/>
      </c>
      <c r="AO55" s="57">
        <f>IF(AN55&gt;=1,"🟢",IF(AN55&gt;=0.7,"🟡",IF(AN55&gt;=0.4,"🟠","🔴")))</f>
        <v/>
      </c>
      <c r="AP55" s="185">
        <f>L55-Z55</f>
        <v/>
      </c>
      <c r="AQ55" s="55">
        <f>RANK(Z55,$Z$4:$Z$503,0)</f>
        <v/>
      </c>
      <c r="AR55" s="39" t="inlineStr">
        <is>
          <t>.</t>
        </is>
      </c>
      <c r="AS55" s="27" t="n"/>
      <c r="AT55" s="27" t="n"/>
      <c r="AU55" s="27" t="n"/>
      <c r="AV55" s="27" t="n"/>
      <c r="AW55" s="27" t="n"/>
      <c r="AX55" s="27" t="n"/>
      <c r="AY55" s="204" t="n"/>
      <c r="AZ55" s="204" t="n"/>
      <c r="BA55" s="38" t="inlineStr">
        <is>
          <t>.</t>
        </is>
      </c>
      <c r="BB55" s="190">
        <f>SUM(BC55:BN55)</f>
        <v/>
      </c>
      <c r="BC55" s="191">
        <f>L55*0.0702730030</f>
        <v/>
      </c>
      <c r="BD55" s="191">
        <f>L55*0.0734327604</f>
        <v/>
      </c>
      <c r="BE55" s="191">
        <f>L55*0.0752022245</f>
        <v/>
      </c>
      <c r="BF55" s="191">
        <f>L55*0.0771612740</f>
        <v/>
      </c>
      <c r="BG55" s="191">
        <f>L55*0.0796890799</f>
        <v/>
      </c>
      <c r="BH55" s="191">
        <f>L55*0.0817745197</f>
        <v/>
      </c>
      <c r="BI55" s="191">
        <f>L55*0.0849342770</f>
        <v/>
      </c>
      <c r="BJ55" s="191">
        <f>L55*0.0870197169</f>
        <v/>
      </c>
      <c r="BK55" s="191">
        <f>L55*0.0889787664</f>
        <v/>
      </c>
      <c r="BL55" s="191">
        <f>L55*0.0911905966</f>
        <v/>
      </c>
      <c r="BM55" s="191">
        <f>L55*0.0935920121</f>
        <v/>
      </c>
      <c r="BN55" s="192">
        <f>L55*0.0967517695</f>
        <v/>
      </c>
      <c r="BO55" s="36" t="inlineStr">
        <is>
          <t>.</t>
        </is>
      </c>
      <c r="BP55" s="193">
        <f>SUM(BQ55:CB55)</f>
        <v/>
      </c>
      <c r="BQ55" s="191">
        <f>MAX(0,BC55-AA55)</f>
        <v/>
      </c>
      <c r="BR55" s="191">
        <f>MAX(0,BD55-AB55)</f>
        <v/>
      </c>
      <c r="BS55" s="191">
        <f>MAX(0,BE55-AC55)</f>
        <v/>
      </c>
      <c r="BT55" s="191">
        <f>MAX(0,BF55-AD55)</f>
        <v/>
      </c>
      <c r="BU55" s="191">
        <f>MAX(0,BG55-AE55)</f>
        <v/>
      </c>
      <c r="BV55" s="191">
        <f>MAX(0,BH55-AF55)</f>
        <v/>
      </c>
      <c r="BW55" s="191">
        <f>MAX(0,BI55-AG55)</f>
        <v/>
      </c>
      <c r="BX55" s="191">
        <f>MAX(0,BJ55-AH55)</f>
        <v/>
      </c>
      <c r="BY55" s="191">
        <f>MAX(0,BK55-AI55)</f>
        <v/>
      </c>
      <c r="BZ55" s="191">
        <f>MAX(0,BL55-AJ55)</f>
        <v/>
      </c>
      <c r="CA55" s="191">
        <f>MAX(0,BM55-AK55)</f>
        <v/>
      </c>
      <c r="CB55" s="192">
        <f>MAX(0,BN55-AL55)</f>
        <v/>
      </c>
    </row>
    <row r="56">
      <c r="A56" s="64" t="inlineStr">
        <is>
          <t>57185527000155</t>
        </is>
      </c>
      <c r="B56" s="57" t="inlineStr">
        <is>
          <t>A.M.MENDANHA LTDA- ME</t>
        </is>
      </c>
      <c r="C56" s="57" t="inlineStr">
        <is>
          <t>SEM GRUPO</t>
        </is>
      </c>
      <c r="D56" s="61" t="inlineStr">
        <is>
          <t>LARISSA PADILHA</t>
        </is>
      </c>
      <c r="E56" s="30" t="inlineStr">
        <is>
          <t>.</t>
        </is>
      </c>
      <c r="F56" s="63" t="n"/>
      <c r="G56" s="179" t="n"/>
      <c r="H56" s="57" t="n"/>
      <c r="I56" s="57" t="n"/>
      <c r="J56" s="61" t="n"/>
      <c r="K56" s="30" t="inlineStr">
        <is>
          <t>.</t>
        </is>
      </c>
      <c r="L56" s="180" t="n">
        <v>19606.89</v>
      </c>
      <c r="M56" s="181" t="n">
        <v>1377.84</v>
      </c>
      <c r="N56" s="181" t="n">
        <v>1439.79</v>
      </c>
      <c r="O56" s="181" t="n">
        <v>1474.48</v>
      </c>
      <c r="P56" s="181" t="n">
        <v>1512.89</v>
      </c>
      <c r="Q56" s="181" t="n">
        <v>1562.45</v>
      </c>
      <c r="R56" s="181" t="n">
        <v>1603.34</v>
      </c>
      <c r="S56" s="181" t="n">
        <v>1665.3</v>
      </c>
      <c r="T56" s="181" t="n">
        <v>1706.19</v>
      </c>
      <c r="U56" s="181" t="n">
        <v>1744.6</v>
      </c>
      <c r="V56" s="181" t="n">
        <v>1787.96</v>
      </c>
      <c r="W56" s="181" t="n">
        <v>1835.05</v>
      </c>
      <c r="X56" s="182" t="n">
        <v>1897</v>
      </c>
      <c r="Y56" s="183" t="inlineStr">
        <is>
          <t>.</t>
        </is>
      </c>
      <c r="Z56" s="184">
        <f>SUM(AA56:AL56)</f>
        <v/>
      </c>
      <c r="AA56" s="185" t="n">
        <v>0</v>
      </c>
      <c r="AB56" s="185" t="n">
        <v>0</v>
      </c>
      <c r="AC56" s="185" t="n">
        <v>3158.51</v>
      </c>
      <c r="AD56" s="185" t="n">
        <v>0</v>
      </c>
      <c r="AE56" s="185" t="n">
        <v>1763.39</v>
      </c>
      <c r="AF56" s="185" t="n">
        <v>0</v>
      </c>
      <c r="AG56" s="185" t="n">
        <v>3693.24</v>
      </c>
      <c r="AH56" s="185" t="n">
        <v>0</v>
      </c>
      <c r="AI56" s="185" t="n">
        <v>0</v>
      </c>
      <c r="AJ56" s="185" t="n">
        <v>0</v>
      </c>
      <c r="AK56" s="185" t="n">
        <v>0</v>
      </c>
      <c r="AL56" s="186" t="n">
        <v>0</v>
      </c>
      <c r="AM56" s="30" t="inlineStr">
        <is>
          <t>.</t>
        </is>
      </c>
      <c r="AN56" s="187">
        <f>IF(L56=0,0,Z56/L56)</f>
        <v/>
      </c>
      <c r="AO56" s="57">
        <f>IF(AN56&gt;=1,"🟢",IF(AN56&gt;=0.7,"🟡",IF(AN56&gt;=0.4,"🟠","🔴")))</f>
        <v/>
      </c>
      <c r="AP56" s="185">
        <f>L56-Z56</f>
        <v/>
      </c>
      <c r="AQ56" s="55">
        <f>RANK(Z56,$Z$4:$Z$503,0)</f>
        <v/>
      </c>
      <c r="AR56" s="39" t="inlineStr">
        <is>
          <t>.</t>
        </is>
      </c>
      <c r="AS56" s="27" t="n"/>
      <c r="AT56" s="27" t="n"/>
      <c r="AU56" s="27" t="n"/>
      <c r="AV56" s="27" t="n"/>
      <c r="AW56" s="27" t="n"/>
      <c r="AX56" s="27" t="n"/>
      <c r="AY56" s="204" t="n"/>
      <c r="AZ56" s="204" t="n"/>
      <c r="BA56" s="38" t="inlineStr">
        <is>
          <t>.</t>
        </is>
      </c>
      <c r="BB56" s="190">
        <f>SUM(BC56:BN56)</f>
        <v/>
      </c>
      <c r="BC56" s="191">
        <f>L56*0.0702730030</f>
        <v/>
      </c>
      <c r="BD56" s="191">
        <f>L56*0.0734327604</f>
        <v/>
      </c>
      <c r="BE56" s="191">
        <f>L56*0.0752022245</f>
        <v/>
      </c>
      <c r="BF56" s="191">
        <f>L56*0.0771612740</f>
        <v/>
      </c>
      <c r="BG56" s="191">
        <f>L56*0.0796890799</f>
        <v/>
      </c>
      <c r="BH56" s="191">
        <f>L56*0.0817745197</f>
        <v/>
      </c>
      <c r="BI56" s="191">
        <f>L56*0.0849342770</f>
        <v/>
      </c>
      <c r="BJ56" s="191">
        <f>L56*0.0870197169</f>
        <v/>
      </c>
      <c r="BK56" s="191">
        <f>L56*0.0889787664</f>
        <v/>
      </c>
      <c r="BL56" s="191">
        <f>L56*0.0911905966</f>
        <v/>
      </c>
      <c r="BM56" s="191">
        <f>L56*0.0935920121</f>
        <v/>
      </c>
      <c r="BN56" s="192">
        <f>L56*0.0967517695</f>
        <v/>
      </c>
      <c r="BO56" s="36" t="inlineStr">
        <is>
          <t>.</t>
        </is>
      </c>
      <c r="BP56" s="193">
        <f>SUM(BQ56:CB56)</f>
        <v/>
      </c>
      <c r="BQ56" s="191">
        <f>MAX(0,BC56-AA56)</f>
        <v/>
      </c>
      <c r="BR56" s="191">
        <f>MAX(0,BD56-AB56)</f>
        <v/>
      </c>
      <c r="BS56" s="191">
        <f>MAX(0,BE56-AC56)</f>
        <v/>
      </c>
      <c r="BT56" s="191">
        <f>MAX(0,BF56-AD56)</f>
        <v/>
      </c>
      <c r="BU56" s="191">
        <f>MAX(0,BG56-AE56)</f>
        <v/>
      </c>
      <c r="BV56" s="191">
        <f>MAX(0,BH56-AF56)</f>
        <v/>
      </c>
      <c r="BW56" s="191">
        <f>MAX(0,BI56-AG56)</f>
        <v/>
      </c>
      <c r="BX56" s="191">
        <f>MAX(0,BJ56-AH56)</f>
        <v/>
      </c>
      <c r="BY56" s="191">
        <f>MAX(0,BK56-AI56)</f>
        <v/>
      </c>
      <c r="BZ56" s="191">
        <f>MAX(0,BL56-AJ56)</f>
        <v/>
      </c>
      <c r="CA56" s="191">
        <f>MAX(0,BM56-AK56)</f>
        <v/>
      </c>
      <c r="CB56" s="192">
        <f>MAX(0,BN56-AL56)</f>
        <v/>
      </c>
    </row>
    <row r="57">
      <c r="A57" s="64" t="inlineStr">
        <is>
          <t>16548054000126</t>
        </is>
      </c>
      <c r="B57" s="57" t="inlineStr">
        <is>
          <t>R B COMERCIO DE COSMETICOS LTDA - ME</t>
        </is>
      </c>
      <c r="C57" s="57" t="inlineStr">
        <is>
          <t>SEM GRUPO</t>
        </is>
      </c>
      <c r="D57" s="61" t="inlineStr">
        <is>
          <t>LARISSA PADILHA</t>
        </is>
      </c>
      <c r="E57" s="30" t="inlineStr">
        <is>
          <t>.</t>
        </is>
      </c>
      <c r="F57" s="63" t="n"/>
      <c r="G57" s="179" t="n"/>
      <c r="H57" s="57" t="n"/>
      <c r="I57" s="57" t="n"/>
      <c r="J57" s="61" t="n"/>
      <c r="K57" s="30" t="inlineStr">
        <is>
          <t>.</t>
        </is>
      </c>
      <c r="L57" s="180" t="n">
        <v>19515.27</v>
      </c>
      <c r="M57" s="181" t="n">
        <v>1371.4</v>
      </c>
      <c r="N57" s="181" t="n">
        <v>1433.06</v>
      </c>
      <c r="O57" s="181" t="n">
        <v>1467.59</v>
      </c>
      <c r="P57" s="181" t="n">
        <v>1505.82</v>
      </c>
      <c r="Q57" s="181" t="n">
        <v>1555.15</v>
      </c>
      <c r="R57" s="181" t="n">
        <v>1595.85</v>
      </c>
      <c r="S57" s="181" t="n">
        <v>1657.52</v>
      </c>
      <c r="T57" s="181" t="n">
        <v>1698.21</v>
      </c>
      <c r="U57" s="181" t="n">
        <v>1736.45</v>
      </c>
      <c r="V57" s="181" t="n">
        <v>1779.61</v>
      </c>
      <c r="W57" s="181" t="n">
        <v>1826.47</v>
      </c>
      <c r="X57" s="182" t="n">
        <v>1888.14</v>
      </c>
      <c r="Y57" s="183" t="inlineStr">
        <is>
          <t>.</t>
        </is>
      </c>
      <c r="Z57" s="184">
        <f>SUM(AA57:AL57)</f>
        <v/>
      </c>
      <c r="AA57" s="185" t="n">
        <v>0</v>
      </c>
      <c r="AB57" s="185" t="n">
        <v>0</v>
      </c>
      <c r="AC57" s="185" t="n">
        <v>0</v>
      </c>
      <c r="AD57" s="185" t="n">
        <v>0</v>
      </c>
      <c r="AE57" s="185" t="n">
        <v>0</v>
      </c>
      <c r="AF57" s="185" t="n">
        <v>0</v>
      </c>
      <c r="AG57" s="185" t="n">
        <v>0</v>
      </c>
      <c r="AH57" s="185" t="n">
        <v>0</v>
      </c>
      <c r="AI57" s="185" t="n">
        <v>0</v>
      </c>
      <c r="AJ57" s="185" t="n">
        <v>2535.6</v>
      </c>
      <c r="AK57" s="185" t="n">
        <v>6603.27</v>
      </c>
      <c r="AL57" s="186" t="n">
        <v>1786.37</v>
      </c>
      <c r="AM57" s="30" t="inlineStr">
        <is>
          <t>.</t>
        </is>
      </c>
      <c r="AN57" s="187">
        <f>IF(L57=0,0,Z57/L57)</f>
        <v/>
      </c>
      <c r="AO57" s="57">
        <f>IF(AN57&gt;=1,"🟢",IF(AN57&gt;=0.7,"🟡",IF(AN57&gt;=0.4,"🟠","🔴")))</f>
        <v/>
      </c>
      <c r="AP57" s="185">
        <f>L57-Z57</f>
        <v/>
      </c>
      <c r="AQ57" s="55">
        <f>RANK(Z57,$Z$4:$Z$503,0)</f>
        <v/>
      </c>
      <c r="AR57" s="39" t="inlineStr">
        <is>
          <t>.</t>
        </is>
      </c>
      <c r="AS57" s="27" t="n"/>
      <c r="AT57" s="27" t="n"/>
      <c r="AU57" s="27" t="n"/>
      <c r="AV57" s="27" t="n"/>
      <c r="AW57" s="27" t="n"/>
      <c r="AX57" s="27" t="n"/>
      <c r="AY57" s="204" t="n"/>
      <c r="AZ57" s="204" t="n"/>
      <c r="BA57" s="38" t="inlineStr">
        <is>
          <t>.</t>
        </is>
      </c>
      <c r="BB57" s="190">
        <f>SUM(BC57:BN57)</f>
        <v/>
      </c>
      <c r="BC57" s="191">
        <f>L57*0.0702730030</f>
        <v/>
      </c>
      <c r="BD57" s="191">
        <f>L57*0.0734327604</f>
        <v/>
      </c>
      <c r="BE57" s="191">
        <f>L57*0.0752022245</f>
        <v/>
      </c>
      <c r="BF57" s="191">
        <f>L57*0.0771612740</f>
        <v/>
      </c>
      <c r="BG57" s="191">
        <f>L57*0.0796890799</f>
        <v/>
      </c>
      <c r="BH57" s="191">
        <f>L57*0.0817745197</f>
        <v/>
      </c>
      <c r="BI57" s="191">
        <f>L57*0.0849342770</f>
        <v/>
      </c>
      <c r="BJ57" s="191">
        <f>L57*0.0870197169</f>
        <v/>
      </c>
      <c r="BK57" s="191">
        <f>L57*0.0889787664</f>
        <v/>
      </c>
      <c r="BL57" s="191">
        <f>L57*0.0911905966</f>
        <v/>
      </c>
      <c r="BM57" s="191">
        <f>L57*0.0935920121</f>
        <v/>
      </c>
      <c r="BN57" s="192">
        <f>L57*0.0967517695</f>
        <v/>
      </c>
      <c r="BO57" s="36" t="inlineStr">
        <is>
          <t>.</t>
        </is>
      </c>
      <c r="BP57" s="193">
        <f>SUM(BQ57:CB57)</f>
        <v/>
      </c>
      <c r="BQ57" s="191">
        <f>MAX(0,BC57-AA57)</f>
        <v/>
      </c>
      <c r="BR57" s="191">
        <f>MAX(0,BD57-AB57)</f>
        <v/>
      </c>
      <c r="BS57" s="191">
        <f>MAX(0,BE57-AC57)</f>
        <v/>
      </c>
      <c r="BT57" s="191">
        <f>MAX(0,BF57-AD57)</f>
        <v/>
      </c>
      <c r="BU57" s="191">
        <f>MAX(0,BG57-AE57)</f>
        <v/>
      </c>
      <c r="BV57" s="191">
        <f>MAX(0,BH57-AF57)</f>
        <v/>
      </c>
      <c r="BW57" s="191">
        <f>MAX(0,BI57-AG57)</f>
        <v/>
      </c>
      <c r="BX57" s="191">
        <f>MAX(0,BJ57-AH57)</f>
        <v/>
      </c>
      <c r="BY57" s="191">
        <f>MAX(0,BK57-AI57)</f>
        <v/>
      </c>
      <c r="BZ57" s="191">
        <f>MAX(0,BL57-AJ57)</f>
        <v/>
      </c>
      <c r="CA57" s="191">
        <f>MAX(0,BM57-AK57)</f>
        <v/>
      </c>
      <c r="CB57" s="192">
        <f>MAX(0,BN57-AL57)</f>
        <v/>
      </c>
    </row>
    <row r="58">
      <c r="A58" s="64" t="inlineStr">
        <is>
          <t>02672868000163</t>
        </is>
      </c>
      <c r="B58" s="57" t="inlineStr">
        <is>
          <t>PACOMIL PAVAO COMERCIAL MINEIRO LTDA</t>
        </is>
      </c>
      <c r="C58" s="57" t="inlineStr">
        <is>
          <t>SEM GRUPO</t>
        </is>
      </c>
      <c r="D58" s="61" t="inlineStr">
        <is>
          <t>LARISSA PADILHA</t>
        </is>
      </c>
      <c r="E58" s="30" t="inlineStr">
        <is>
          <t>.</t>
        </is>
      </c>
      <c r="F58" s="63" t="n"/>
      <c r="G58" s="179" t="n"/>
      <c r="H58" s="57" t="n"/>
      <c r="I58" s="57" t="n"/>
      <c r="J58" s="61" t="n"/>
      <c r="K58" s="30" t="inlineStr">
        <is>
          <t>.</t>
        </is>
      </c>
      <c r="L58" s="180" t="n">
        <v>19392.92</v>
      </c>
      <c r="M58" s="181" t="n">
        <v>1362.8</v>
      </c>
      <c r="N58" s="181" t="n">
        <v>1424.08</v>
      </c>
      <c r="O58" s="181" t="n">
        <v>1458.39</v>
      </c>
      <c r="P58" s="181" t="n">
        <v>1496.38</v>
      </c>
      <c r="Q58" s="181" t="n">
        <v>1545.4</v>
      </c>
      <c r="R58" s="181" t="n">
        <v>1585.85</v>
      </c>
      <c r="S58" s="181" t="n">
        <v>1647.12</v>
      </c>
      <c r="T58" s="181" t="n">
        <v>1687.57</v>
      </c>
      <c r="U58" s="181" t="n">
        <v>1725.56</v>
      </c>
      <c r="V58" s="181" t="n">
        <v>1768.45</v>
      </c>
      <c r="W58" s="181" t="n">
        <v>1815.02</v>
      </c>
      <c r="X58" s="182" t="n">
        <v>1876.3</v>
      </c>
      <c r="Y58" s="183" t="inlineStr">
        <is>
          <t>.</t>
        </is>
      </c>
      <c r="Z58" s="184">
        <f>SUM(AA58:AL58)</f>
        <v/>
      </c>
      <c r="AA58" s="185" t="n">
        <v>0</v>
      </c>
      <c r="AB58" s="185" t="n">
        <v>0</v>
      </c>
      <c r="AC58" s="185" t="n">
        <v>2810.98</v>
      </c>
      <c r="AD58" s="185" t="n">
        <v>0</v>
      </c>
      <c r="AE58" s="185" t="n">
        <v>0</v>
      </c>
      <c r="AF58" s="185" t="n">
        <v>2060.83</v>
      </c>
      <c r="AG58" s="185" t="n">
        <v>0</v>
      </c>
      <c r="AH58" s="185" t="n">
        <v>0</v>
      </c>
      <c r="AI58" s="185" t="n">
        <v>1618.6</v>
      </c>
      <c r="AJ58" s="185" t="n">
        <v>0</v>
      </c>
      <c r="AK58" s="185" t="n">
        <v>1939.56</v>
      </c>
      <c r="AL58" s="186" t="n">
        <v>0</v>
      </c>
      <c r="AM58" s="30" t="inlineStr">
        <is>
          <t>.</t>
        </is>
      </c>
      <c r="AN58" s="187">
        <f>IF(L58=0,0,Z58/L58)</f>
        <v/>
      </c>
      <c r="AO58" s="57">
        <f>IF(AN58&gt;=1,"🟢",IF(AN58&gt;=0.7,"🟡",IF(AN58&gt;=0.4,"🟠","🔴")))</f>
        <v/>
      </c>
      <c r="AP58" s="185">
        <f>L58-Z58</f>
        <v/>
      </c>
      <c r="AQ58" s="55">
        <f>RANK(Z58,$Z$4:$Z$503,0)</f>
        <v/>
      </c>
      <c r="AR58" s="39" t="inlineStr">
        <is>
          <t>.</t>
        </is>
      </c>
      <c r="AS58" s="27" t="n"/>
      <c r="AT58" s="27" t="n"/>
      <c r="AU58" s="27" t="n"/>
      <c r="AV58" s="27" t="n"/>
      <c r="AW58" s="27" t="n"/>
      <c r="AX58" s="27" t="n"/>
      <c r="AY58" s="204" t="n"/>
      <c r="AZ58" s="204" t="n"/>
      <c r="BA58" s="38" t="inlineStr">
        <is>
          <t>.</t>
        </is>
      </c>
      <c r="BB58" s="190">
        <f>SUM(BC58:BN58)</f>
        <v/>
      </c>
      <c r="BC58" s="191">
        <f>L58*0.0702730030</f>
        <v/>
      </c>
      <c r="BD58" s="191">
        <f>L58*0.0734327604</f>
        <v/>
      </c>
      <c r="BE58" s="191">
        <f>L58*0.0752022245</f>
        <v/>
      </c>
      <c r="BF58" s="191">
        <f>L58*0.0771612740</f>
        <v/>
      </c>
      <c r="BG58" s="191">
        <f>L58*0.0796890799</f>
        <v/>
      </c>
      <c r="BH58" s="191">
        <f>L58*0.0817745197</f>
        <v/>
      </c>
      <c r="BI58" s="191">
        <f>L58*0.0849342770</f>
        <v/>
      </c>
      <c r="BJ58" s="191">
        <f>L58*0.0870197169</f>
        <v/>
      </c>
      <c r="BK58" s="191">
        <f>L58*0.0889787664</f>
        <v/>
      </c>
      <c r="BL58" s="191">
        <f>L58*0.0911905966</f>
        <v/>
      </c>
      <c r="BM58" s="191">
        <f>L58*0.0935920121</f>
        <v/>
      </c>
      <c r="BN58" s="192">
        <f>L58*0.0967517695</f>
        <v/>
      </c>
      <c r="BO58" s="36" t="inlineStr">
        <is>
          <t>.</t>
        </is>
      </c>
      <c r="BP58" s="193">
        <f>SUM(BQ58:CB58)</f>
        <v/>
      </c>
      <c r="BQ58" s="191">
        <f>MAX(0,BC58-AA58)</f>
        <v/>
      </c>
      <c r="BR58" s="191">
        <f>MAX(0,BD58-AB58)</f>
        <v/>
      </c>
      <c r="BS58" s="191">
        <f>MAX(0,BE58-AC58)</f>
        <v/>
      </c>
      <c r="BT58" s="191">
        <f>MAX(0,BF58-AD58)</f>
        <v/>
      </c>
      <c r="BU58" s="191">
        <f>MAX(0,BG58-AE58)</f>
        <v/>
      </c>
      <c r="BV58" s="191">
        <f>MAX(0,BH58-AF58)</f>
        <v/>
      </c>
      <c r="BW58" s="191">
        <f>MAX(0,BI58-AG58)</f>
        <v/>
      </c>
      <c r="BX58" s="191">
        <f>MAX(0,BJ58-AH58)</f>
        <v/>
      </c>
      <c r="BY58" s="191">
        <f>MAX(0,BK58-AI58)</f>
        <v/>
      </c>
      <c r="BZ58" s="191">
        <f>MAX(0,BL58-AJ58)</f>
        <v/>
      </c>
      <c r="CA58" s="191">
        <f>MAX(0,BM58-AK58)</f>
        <v/>
      </c>
      <c r="CB58" s="192">
        <f>MAX(0,BN58-AL58)</f>
        <v/>
      </c>
    </row>
    <row r="59">
      <c r="A59" s="64" t="inlineStr">
        <is>
          <t>17880439000230</t>
        </is>
      </c>
      <c r="B59" s="57" t="inlineStr">
        <is>
          <t>MAIS NATURAL COMERCIO DE PRODUTOS NATURA</t>
        </is>
      </c>
      <c r="C59" s="57" t="inlineStr">
        <is>
          <t>MAIS NATURAL</t>
        </is>
      </c>
      <c r="D59" s="61" t="inlineStr">
        <is>
          <t>HEMANUELE DITZEL (MANU)</t>
        </is>
      </c>
      <c r="E59" s="30" t="inlineStr">
        <is>
          <t>.</t>
        </is>
      </c>
      <c r="F59" s="63" t="n"/>
      <c r="G59" s="179" t="n"/>
      <c r="H59" s="57" t="n"/>
      <c r="I59" s="57" t="n"/>
      <c r="J59" s="61" t="n"/>
      <c r="K59" s="30" t="inlineStr">
        <is>
          <t>.</t>
        </is>
      </c>
      <c r="L59" s="180" t="n">
        <v>18594.78</v>
      </c>
      <c r="M59" s="181" t="n">
        <v>1306.71</v>
      </c>
      <c r="N59" s="181" t="n">
        <v>1365.47</v>
      </c>
      <c r="O59" s="181" t="n">
        <v>1398.37</v>
      </c>
      <c r="P59" s="181" t="n">
        <v>1434.8</v>
      </c>
      <c r="Q59" s="181" t="n">
        <v>1481.8</v>
      </c>
      <c r="R59" s="181" t="n">
        <v>1520.58</v>
      </c>
      <c r="S59" s="181" t="n">
        <v>1579.33</v>
      </c>
      <c r="T59" s="181" t="n">
        <v>1618.11</v>
      </c>
      <c r="U59" s="181" t="n">
        <v>1654.54</v>
      </c>
      <c r="V59" s="181" t="n">
        <v>1695.67</v>
      </c>
      <c r="W59" s="181" t="n">
        <v>1740.32</v>
      </c>
      <c r="X59" s="182" t="n">
        <v>1799.08</v>
      </c>
      <c r="Y59" s="183" t="inlineStr">
        <is>
          <t>.</t>
        </is>
      </c>
      <c r="Z59" s="184">
        <f>SUM(AA59:AL59)</f>
        <v/>
      </c>
      <c r="AA59" s="185" t="n">
        <v>0</v>
      </c>
      <c r="AB59" s="185" t="n">
        <v>0</v>
      </c>
      <c r="AC59" s="185" t="n">
        <v>960.34</v>
      </c>
      <c r="AD59" s="185" t="n">
        <v>1470.89</v>
      </c>
      <c r="AE59" s="185" t="n">
        <v>0</v>
      </c>
      <c r="AF59" s="185" t="n">
        <v>0</v>
      </c>
      <c r="AG59" s="185" t="n">
        <v>0</v>
      </c>
      <c r="AH59" s="185" t="n">
        <v>1571.69</v>
      </c>
      <c r="AI59" s="185" t="n">
        <v>0</v>
      </c>
      <c r="AJ59" s="185" t="n">
        <v>4785.64</v>
      </c>
      <c r="AK59" s="185" t="n">
        <v>0</v>
      </c>
      <c r="AL59" s="186" t="n">
        <v>0</v>
      </c>
      <c r="AM59" s="30" t="inlineStr">
        <is>
          <t>.</t>
        </is>
      </c>
      <c r="AN59" s="187">
        <f>IF(L59=0,0,Z59/L59)</f>
        <v/>
      </c>
      <c r="AO59" s="57">
        <f>IF(AN59&gt;=1,"🟢",IF(AN59&gt;=0.7,"🟡",IF(AN59&gt;=0.4,"🟠","🔴")))</f>
        <v/>
      </c>
      <c r="AP59" s="185">
        <f>L59-Z59</f>
        <v/>
      </c>
      <c r="AQ59" s="55">
        <f>RANK(Z59,$Z$4:$Z$503,0)</f>
        <v/>
      </c>
      <c r="AR59" s="39" t="inlineStr">
        <is>
          <t>.</t>
        </is>
      </c>
      <c r="AS59" s="27" t="n"/>
      <c r="AT59" s="27" t="n"/>
      <c r="AU59" s="27" t="n"/>
      <c r="AV59" s="27" t="n"/>
      <c r="AW59" s="27" t="n"/>
      <c r="AX59" s="27" t="n"/>
      <c r="AY59" s="204" t="n"/>
      <c r="AZ59" s="204" t="n"/>
      <c r="BA59" s="38" t="inlineStr">
        <is>
          <t>.</t>
        </is>
      </c>
      <c r="BB59" s="190">
        <f>SUM(BC59:BN59)</f>
        <v/>
      </c>
      <c r="BC59" s="191">
        <f>L59*0.0702730030</f>
        <v/>
      </c>
      <c r="BD59" s="191">
        <f>L59*0.0734327604</f>
        <v/>
      </c>
      <c r="BE59" s="191">
        <f>L59*0.0752022245</f>
        <v/>
      </c>
      <c r="BF59" s="191">
        <f>L59*0.0771612740</f>
        <v/>
      </c>
      <c r="BG59" s="191">
        <f>L59*0.0796890799</f>
        <v/>
      </c>
      <c r="BH59" s="191">
        <f>L59*0.0817745197</f>
        <v/>
      </c>
      <c r="BI59" s="191">
        <f>L59*0.0849342770</f>
        <v/>
      </c>
      <c r="BJ59" s="191">
        <f>L59*0.0870197169</f>
        <v/>
      </c>
      <c r="BK59" s="191">
        <f>L59*0.0889787664</f>
        <v/>
      </c>
      <c r="BL59" s="191">
        <f>L59*0.0911905966</f>
        <v/>
      </c>
      <c r="BM59" s="191">
        <f>L59*0.0935920121</f>
        <v/>
      </c>
      <c r="BN59" s="192">
        <f>L59*0.0967517695</f>
        <v/>
      </c>
      <c r="BO59" s="36" t="inlineStr">
        <is>
          <t>.</t>
        </is>
      </c>
      <c r="BP59" s="193">
        <f>SUM(BQ59:CB59)</f>
        <v/>
      </c>
      <c r="BQ59" s="191">
        <f>MAX(0,BC59-AA59)</f>
        <v/>
      </c>
      <c r="BR59" s="191">
        <f>MAX(0,BD59-AB59)</f>
        <v/>
      </c>
      <c r="BS59" s="191">
        <f>MAX(0,BE59-AC59)</f>
        <v/>
      </c>
      <c r="BT59" s="191">
        <f>MAX(0,BF59-AD59)</f>
        <v/>
      </c>
      <c r="BU59" s="191">
        <f>MAX(0,BG59-AE59)</f>
        <v/>
      </c>
      <c r="BV59" s="191">
        <f>MAX(0,BH59-AF59)</f>
        <v/>
      </c>
      <c r="BW59" s="191">
        <f>MAX(0,BI59-AG59)</f>
        <v/>
      </c>
      <c r="BX59" s="191">
        <f>MAX(0,BJ59-AH59)</f>
        <v/>
      </c>
      <c r="BY59" s="191">
        <f>MAX(0,BK59-AI59)</f>
        <v/>
      </c>
      <c r="BZ59" s="191">
        <f>MAX(0,BL59-AJ59)</f>
        <v/>
      </c>
      <c r="CA59" s="191">
        <f>MAX(0,BM59-AK59)</f>
        <v/>
      </c>
      <c r="CB59" s="192">
        <f>MAX(0,BN59-AL59)</f>
        <v/>
      </c>
    </row>
    <row r="60">
      <c r="A60" s="64" t="inlineStr">
        <is>
          <t>41626544000140</t>
        </is>
      </c>
      <c r="B60" s="57" t="inlineStr">
        <is>
          <t>ALICE NO PAIS DOS GRAOS COMERCIO DE ALIM</t>
        </is>
      </c>
      <c r="C60" s="57" t="inlineStr">
        <is>
          <t>TUDO EM GRAOS</t>
        </is>
      </c>
      <c r="D60" s="61" t="inlineStr">
        <is>
          <t>DAIANE STAVICKI</t>
        </is>
      </c>
      <c r="E60" s="30" t="inlineStr">
        <is>
          <t>.</t>
        </is>
      </c>
      <c r="F60" s="63" t="n">
        <v>25</v>
      </c>
      <c r="G60" s="179" t="n">
        <v>0.062</v>
      </c>
      <c r="H60" s="57" t="inlineStr">
        <is>
          <t>🔴 VERMELHO</t>
        </is>
      </c>
      <c r="I60" s="57" t="inlineStr">
        <is>
          <t>ATIVAÇÃO</t>
        </is>
      </c>
      <c r="J60" s="61" t="inlineStr">
        <is>
          <t>Reativar inativos + Prospectar</t>
        </is>
      </c>
      <c r="K60" s="30" t="inlineStr">
        <is>
          <t>.</t>
        </is>
      </c>
      <c r="L60" s="180" t="n">
        <v>18540.85</v>
      </c>
      <c r="M60" s="181" t="n">
        <v>1302.92</v>
      </c>
      <c r="N60" s="181" t="n">
        <v>1361.51</v>
      </c>
      <c r="O60" s="181" t="n">
        <v>1394.31</v>
      </c>
      <c r="P60" s="181" t="n">
        <v>1430.64</v>
      </c>
      <c r="Q60" s="181" t="n">
        <v>1477.5</v>
      </c>
      <c r="R60" s="181" t="n">
        <v>1516.17</v>
      </c>
      <c r="S60" s="181" t="n">
        <v>1574.75</v>
      </c>
      <c r="T60" s="181" t="n">
        <v>1613.42</v>
      </c>
      <c r="U60" s="181" t="n">
        <v>1649.74</v>
      </c>
      <c r="V60" s="181" t="n">
        <v>1690.75</v>
      </c>
      <c r="W60" s="181" t="n">
        <v>1735.28</v>
      </c>
      <c r="X60" s="182" t="n">
        <v>1793.86</v>
      </c>
      <c r="Y60" s="183" t="inlineStr">
        <is>
          <t>.</t>
        </is>
      </c>
      <c r="Z60" s="184">
        <f>SUM(AA60:AL60)</f>
        <v/>
      </c>
      <c r="AA60" s="185" t="n">
        <v>0</v>
      </c>
      <c r="AB60" s="185" t="n">
        <v>0</v>
      </c>
      <c r="AC60" s="185" t="n">
        <v>0</v>
      </c>
      <c r="AD60" s="185" t="n">
        <v>0</v>
      </c>
      <c r="AE60" s="185" t="n">
        <v>0</v>
      </c>
      <c r="AF60" s="185" t="n">
        <v>0</v>
      </c>
      <c r="AG60" s="185" t="n">
        <v>0</v>
      </c>
      <c r="AH60" s="185" t="n">
        <v>2827.15</v>
      </c>
      <c r="AI60" s="185" t="n">
        <v>2271.76</v>
      </c>
      <c r="AJ60" s="185" t="n">
        <v>2380.54</v>
      </c>
      <c r="AK60" s="185" t="n">
        <v>0</v>
      </c>
      <c r="AL60" s="186" t="n">
        <v>1159.74</v>
      </c>
      <c r="AM60" s="30" t="inlineStr">
        <is>
          <t>.</t>
        </is>
      </c>
      <c r="AN60" s="187">
        <f>IF(L60=0,0,Z60/L60)</f>
        <v/>
      </c>
      <c r="AO60" s="57">
        <f>IF(AN60&gt;=1,"🟢",IF(AN60&gt;=0.7,"🟡",IF(AN60&gt;=0.4,"🟠","🔴")))</f>
        <v/>
      </c>
      <c r="AP60" s="185">
        <f>L60-Z60</f>
        <v/>
      </c>
      <c r="AQ60" s="55">
        <f>RANK(Z60,$Z$4:$Z$503,0)</f>
        <v/>
      </c>
      <c r="AR60" s="39" t="inlineStr">
        <is>
          <t>.</t>
        </is>
      </c>
      <c r="AS60" s="27" t="n"/>
      <c r="AT60" s="27" t="n"/>
      <c r="AU60" s="27" t="n"/>
      <c r="AV60" s="27" t="n"/>
      <c r="AW60" s="27" t="n"/>
      <c r="AX60" s="27" t="n"/>
      <c r="AY60" s="204" t="n"/>
      <c r="AZ60" s="204" t="n"/>
      <c r="BA60" s="38" t="inlineStr">
        <is>
          <t>.</t>
        </is>
      </c>
      <c r="BB60" s="190">
        <f>SUM(BC60:BN60)</f>
        <v/>
      </c>
      <c r="BC60" s="191">
        <f>L60*0.0702730030</f>
        <v/>
      </c>
      <c r="BD60" s="191">
        <f>L60*0.0734327604</f>
        <v/>
      </c>
      <c r="BE60" s="191">
        <f>L60*0.0752022245</f>
        <v/>
      </c>
      <c r="BF60" s="191">
        <f>L60*0.0771612740</f>
        <v/>
      </c>
      <c r="BG60" s="191">
        <f>L60*0.0796890799</f>
        <v/>
      </c>
      <c r="BH60" s="191">
        <f>L60*0.0817745197</f>
        <v/>
      </c>
      <c r="BI60" s="191">
        <f>L60*0.0849342770</f>
        <v/>
      </c>
      <c r="BJ60" s="191">
        <f>L60*0.0870197169</f>
        <v/>
      </c>
      <c r="BK60" s="191">
        <f>L60*0.0889787664</f>
        <v/>
      </c>
      <c r="BL60" s="191">
        <f>L60*0.0911905966</f>
        <v/>
      </c>
      <c r="BM60" s="191">
        <f>L60*0.0935920121</f>
        <v/>
      </c>
      <c r="BN60" s="192">
        <f>L60*0.0967517695</f>
        <v/>
      </c>
      <c r="BO60" s="36" t="inlineStr">
        <is>
          <t>.</t>
        </is>
      </c>
      <c r="BP60" s="193">
        <f>SUM(BQ60:CB60)</f>
        <v/>
      </c>
      <c r="BQ60" s="191">
        <f>MAX(0,BC60-AA60)</f>
        <v/>
      </c>
      <c r="BR60" s="191">
        <f>MAX(0,BD60-AB60)</f>
        <v/>
      </c>
      <c r="BS60" s="191">
        <f>MAX(0,BE60-AC60)</f>
        <v/>
      </c>
      <c r="BT60" s="191">
        <f>MAX(0,BF60-AD60)</f>
        <v/>
      </c>
      <c r="BU60" s="191">
        <f>MAX(0,BG60-AE60)</f>
        <v/>
      </c>
      <c r="BV60" s="191">
        <f>MAX(0,BH60-AF60)</f>
        <v/>
      </c>
      <c r="BW60" s="191">
        <f>MAX(0,BI60-AG60)</f>
        <v/>
      </c>
      <c r="BX60" s="191">
        <f>MAX(0,BJ60-AH60)</f>
        <v/>
      </c>
      <c r="BY60" s="191">
        <f>MAX(0,BK60-AI60)</f>
        <v/>
      </c>
      <c r="BZ60" s="191">
        <f>MAX(0,BL60-AJ60)</f>
        <v/>
      </c>
      <c r="CA60" s="191">
        <f>MAX(0,BM60-AK60)</f>
        <v/>
      </c>
      <c r="CB60" s="192">
        <f>MAX(0,BN60-AL60)</f>
        <v/>
      </c>
    </row>
    <row r="61">
      <c r="A61" s="64" t="inlineStr">
        <is>
          <t>49366518000132</t>
        </is>
      </c>
      <c r="B61" s="57" t="inlineStr">
        <is>
          <t>BERBERIAN OLIVEIRA COMERCIO LTDA - ME</t>
        </is>
      </c>
      <c r="C61" s="57" t="inlineStr">
        <is>
          <t>SEM GRUPO</t>
        </is>
      </c>
      <c r="D61" s="61" t="inlineStr">
        <is>
          <t>LARISSA PADILHA</t>
        </is>
      </c>
      <c r="E61" s="30" t="inlineStr">
        <is>
          <t>.</t>
        </is>
      </c>
      <c r="F61" s="63" t="n"/>
      <c r="G61" s="179" t="n"/>
      <c r="H61" s="57" t="n"/>
      <c r="I61" s="57" t="n"/>
      <c r="J61" s="61" t="n"/>
      <c r="K61" s="30" t="inlineStr">
        <is>
          <t>.</t>
        </is>
      </c>
      <c r="L61" s="180" t="n">
        <v>18434.16</v>
      </c>
      <c r="M61" s="181" t="n">
        <v>1295.42</v>
      </c>
      <c r="N61" s="181" t="n">
        <v>1353.67</v>
      </c>
      <c r="O61" s="181" t="n">
        <v>1386.29</v>
      </c>
      <c r="P61" s="181" t="n">
        <v>1422.4</v>
      </c>
      <c r="Q61" s="181" t="n">
        <v>1469</v>
      </c>
      <c r="R61" s="181" t="n">
        <v>1507.45</v>
      </c>
      <c r="S61" s="181" t="n">
        <v>1565.69</v>
      </c>
      <c r="T61" s="181" t="n">
        <v>1604.14</v>
      </c>
      <c r="U61" s="181" t="n">
        <v>1640.25</v>
      </c>
      <c r="V61" s="181" t="n">
        <v>1681.02</v>
      </c>
      <c r="W61" s="181" t="n">
        <v>1725.29</v>
      </c>
      <c r="X61" s="182" t="n">
        <v>1783.54</v>
      </c>
      <c r="Y61" s="183" t="inlineStr">
        <is>
          <t>.</t>
        </is>
      </c>
      <c r="Z61" s="184">
        <f>SUM(AA61:AL61)</f>
        <v/>
      </c>
      <c r="AA61" s="185" t="n">
        <v>0</v>
      </c>
      <c r="AB61" s="185" t="n">
        <v>0</v>
      </c>
      <c r="AC61" s="185" t="n">
        <v>0</v>
      </c>
      <c r="AD61" s="185" t="n">
        <v>0</v>
      </c>
      <c r="AE61" s="185" t="n">
        <v>2617.68</v>
      </c>
      <c r="AF61" s="185" t="n">
        <v>0</v>
      </c>
      <c r="AG61" s="185" t="n">
        <v>3470.24</v>
      </c>
      <c r="AH61" s="185" t="n">
        <v>0</v>
      </c>
      <c r="AI61" s="185" t="n">
        <v>2328.62</v>
      </c>
      <c r="AJ61" s="185" t="n">
        <v>0</v>
      </c>
      <c r="AK61" s="185" t="n">
        <v>0</v>
      </c>
      <c r="AL61" s="186" t="n">
        <v>0</v>
      </c>
      <c r="AM61" s="30" t="inlineStr">
        <is>
          <t>.</t>
        </is>
      </c>
      <c r="AN61" s="187">
        <f>IF(L61=0,0,Z61/L61)</f>
        <v/>
      </c>
      <c r="AO61" s="57">
        <f>IF(AN61&gt;=1,"🟢",IF(AN61&gt;=0.7,"🟡",IF(AN61&gt;=0.4,"🟠","🔴")))</f>
        <v/>
      </c>
      <c r="AP61" s="185">
        <f>L61-Z61</f>
        <v/>
      </c>
      <c r="AQ61" s="55">
        <f>RANK(Z61,$Z$4:$Z$503,0)</f>
        <v/>
      </c>
      <c r="AR61" s="39" t="inlineStr">
        <is>
          <t>.</t>
        </is>
      </c>
      <c r="AS61" s="27" t="n"/>
      <c r="AT61" s="27" t="n"/>
      <c r="AU61" s="27" t="n"/>
      <c r="AV61" s="27" t="n"/>
      <c r="AW61" s="27" t="n"/>
      <c r="AX61" s="27" t="n"/>
      <c r="AY61" s="204" t="n"/>
      <c r="AZ61" s="204" t="n"/>
      <c r="BA61" s="38" t="inlineStr">
        <is>
          <t>.</t>
        </is>
      </c>
      <c r="BB61" s="190">
        <f>SUM(BC61:BN61)</f>
        <v/>
      </c>
      <c r="BC61" s="191">
        <f>L61*0.0702730030</f>
        <v/>
      </c>
      <c r="BD61" s="191">
        <f>L61*0.0734327604</f>
        <v/>
      </c>
      <c r="BE61" s="191">
        <f>L61*0.0752022245</f>
        <v/>
      </c>
      <c r="BF61" s="191">
        <f>L61*0.0771612740</f>
        <v/>
      </c>
      <c r="BG61" s="191">
        <f>L61*0.0796890799</f>
        <v/>
      </c>
      <c r="BH61" s="191">
        <f>L61*0.0817745197</f>
        <v/>
      </c>
      <c r="BI61" s="191">
        <f>L61*0.0849342770</f>
        <v/>
      </c>
      <c r="BJ61" s="191">
        <f>L61*0.0870197169</f>
        <v/>
      </c>
      <c r="BK61" s="191">
        <f>L61*0.0889787664</f>
        <v/>
      </c>
      <c r="BL61" s="191">
        <f>L61*0.0911905966</f>
        <v/>
      </c>
      <c r="BM61" s="191">
        <f>L61*0.0935920121</f>
        <v/>
      </c>
      <c r="BN61" s="192">
        <f>L61*0.0967517695</f>
        <v/>
      </c>
      <c r="BO61" s="36" t="inlineStr">
        <is>
          <t>.</t>
        </is>
      </c>
      <c r="BP61" s="193">
        <f>SUM(BQ61:CB61)</f>
        <v/>
      </c>
      <c r="BQ61" s="191">
        <f>MAX(0,BC61-AA61)</f>
        <v/>
      </c>
      <c r="BR61" s="191">
        <f>MAX(0,BD61-AB61)</f>
        <v/>
      </c>
      <c r="BS61" s="191">
        <f>MAX(0,BE61-AC61)</f>
        <v/>
      </c>
      <c r="BT61" s="191">
        <f>MAX(0,BF61-AD61)</f>
        <v/>
      </c>
      <c r="BU61" s="191">
        <f>MAX(0,BG61-AE61)</f>
        <v/>
      </c>
      <c r="BV61" s="191">
        <f>MAX(0,BH61-AF61)</f>
        <v/>
      </c>
      <c r="BW61" s="191">
        <f>MAX(0,BI61-AG61)</f>
        <v/>
      </c>
      <c r="BX61" s="191">
        <f>MAX(0,BJ61-AH61)</f>
        <v/>
      </c>
      <c r="BY61" s="191">
        <f>MAX(0,BK61-AI61)</f>
        <v/>
      </c>
      <c r="BZ61" s="191">
        <f>MAX(0,BL61-AJ61)</f>
        <v/>
      </c>
      <c r="CA61" s="191">
        <f>MAX(0,BM61-AK61)</f>
        <v/>
      </c>
      <c r="CB61" s="192">
        <f>MAX(0,BN61-AL61)</f>
        <v/>
      </c>
    </row>
    <row r="62">
      <c r="A62" s="64" t="inlineStr">
        <is>
          <t>29841719000137</t>
        </is>
      </c>
      <c r="B62" s="57" t="inlineStr">
        <is>
          <t>SALLES &amp; SALLES LTDA - EPP</t>
        </is>
      </c>
      <c r="C62" s="57" t="inlineStr">
        <is>
          <t>SEM GRUPO</t>
        </is>
      </c>
      <c r="D62" s="61" t="inlineStr">
        <is>
          <t>LARISSA PADILHA</t>
        </is>
      </c>
      <c r="E62" s="30" t="inlineStr">
        <is>
          <t>.</t>
        </is>
      </c>
      <c r="F62" s="63" t="n"/>
      <c r="G62" s="179" t="n"/>
      <c r="H62" s="57" t="n"/>
      <c r="I62" s="57" t="n"/>
      <c r="J62" s="61" t="n"/>
      <c r="K62" s="30" t="inlineStr">
        <is>
          <t>.</t>
        </is>
      </c>
      <c r="L62" s="180" t="n">
        <v>18056.5</v>
      </c>
      <c r="M62" s="181" t="n">
        <v>1268.88</v>
      </c>
      <c r="N62" s="181" t="n">
        <v>1325.94</v>
      </c>
      <c r="O62" s="181" t="n">
        <v>1357.89</v>
      </c>
      <c r="P62" s="181" t="n">
        <v>1393.26</v>
      </c>
      <c r="Q62" s="181" t="n">
        <v>1438.91</v>
      </c>
      <c r="R62" s="181" t="n">
        <v>1476.56</v>
      </c>
      <c r="S62" s="181" t="n">
        <v>1533.62</v>
      </c>
      <c r="T62" s="181" t="n">
        <v>1571.27</v>
      </c>
      <c r="U62" s="181" t="n">
        <v>1606.65</v>
      </c>
      <c r="V62" s="181" t="n">
        <v>1646.58</v>
      </c>
      <c r="W62" s="181" t="n">
        <v>1689.94</v>
      </c>
      <c r="X62" s="182" t="n">
        <v>1747</v>
      </c>
      <c r="Y62" s="183" t="inlineStr">
        <is>
          <t>.</t>
        </is>
      </c>
      <c r="Z62" s="184">
        <f>SUM(AA62:AL62)</f>
        <v/>
      </c>
      <c r="AA62" s="185" t="n">
        <v>0</v>
      </c>
      <c r="AB62" s="185" t="n">
        <v>0</v>
      </c>
      <c r="AC62" s="185" t="n">
        <v>0</v>
      </c>
      <c r="AD62" s="185" t="n">
        <v>2564.27</v>
      </c>
      <c r="AE62" s="185" t="n">
        <v>0</v>
      </c>
      <c r="AF62" s="185" t="n">
        <v>0</v>
      </c>
      <c r="AG62" s="185" t="n">
        <v>0</v>
      </c>
      <c r="AH62" s="185" t="n">
        <v>2472.28</v>
      </c>
      <c r="AI62" s="185" t="n">
        <v>0</v>
      </c>
      <c r="AJ62" s="185" t="n">
        <v>0</v>
      </c>
      <c r="AK62" s="185" t="n">
        <v>0</v>
      </c>
      <c r="AL62" s="186" t="n">
        <v>2184.82</v>
      </c>
      <c r="AM62" s="30" t="inlineStr">
        <is>
          <t>.</t>
        </is>
      </c>
      <c r="AN62" s="187">
        <f>IF(L62=0,0,Z62/L62)</f>
        <v/>
      </c>
      <c r="AO62" s="57">
        <f>IF(AN62&gt;=1,"🟢",IF(AN62&gt;=0.7,"🟡",IF(AN62&gt;=0.4,"🟠","🔴")))</f>
        <v/>
      </c>
      <c r="AP62" s="185">
        <f>L62-Z62</f>
        <v/>
      </c>
      <c r="AQ62" s="55">
        <f>RANK(Z62,$Z$4:$Z$503,0)</f>
        <v/>
      </c>
      <c r="AR62" s="39" t="inlineStr">
        <is>
          <t>.</t>
        </is>
      </c>
      <c r="AS62" s="27" t="n"/>
      <c r="AT62" s="27" t="n"/>
      <c r="AU62" s="27" t="n"/>
      <c r="AV62" s="27" t="n"/>
      <c r="AW62" s="27" t="n"/>
      <c r="AX62" s="27" t="n"/>
      <c r="AY62" s="204" t="n"/>
      <c r="AZ62" s="204" t="n"/>
      <c r="BA62" s="38" t="inlineStr">
        <is>
          <t>.</t>
        </is>
      </c>
      <c r="BB62" s="190">
        <f>SUM(BC62:BN62)</f>
        <v/>
      </c>
      <c r="BC62" s="191">
        <f>L62*0.0702730030</f>
        <v/>
      </c>
      <c r="BD62" s="191">
        <f>L62*0.0734327604</f>
        <v/>
      </c>
      <c r="BE62" s="191">
        <f>L62*0.0752022245</f>
        <v/>
      </c>
      <c r="BF62" s="191">
        <f>L62*0.0771612740</f>
        <v/>
      </c>
      <c r="BG62" s="191">
        <f>L62*0.0796890799</f>
        <v/>
      </c>
      <c r="BH62" s="191">
        <f>L62*0.0817745197</f>
        <v/>
      </c>
      <c r="BI62" s="191">
        <f>L62*0.0849342770</f>
        <v/>
      </c>
      <c r="BJ62" s="191">
        <f>L62*0.0870197169</f>
        <v/>
      </c>
      <c r="BK62" s="191">
        <f>L62*0.0889787664</f>
        <v/>
      </c>
      <c r="BL62" s="191">
        <f>L62*0.0911905966</f>
        <v/>
      </c>
      <c r="BM62" s="191">
        <f>L62*0.0935920121</f>
        <v/>
      </c>
      <c r="BN62" s="192">
        <f>L62*0.0967517695</f>
        <v/>
      </c>
      <c r="BO62" s="36" t="inlineStr">
        <is>
          <t>.</t>
        </is>
      </c>
      <c r="BP62" s="193">
        <f>SUM(BQ62:CB62)</f>
        <v/>
      </c>
      <c r="BQ62" s="191">
        <f>MAX(0,BC62-AA62)</f>
        <v/>
      </c>
      <c r="BR62" s="191">
        <f>MAX(0,BD62-AB62)</f>
        <v/>
      </c>
      <c r="BS62" s="191">
        <f>MAX(0,BE62-AC62)</f>
        <v/>
      </c>
      <c r="BT62" s="191">
        <f>MAX(0,BF62-AD62)</f>
        <v/>
      </c>
      <c r="BU62" s="191">
        <f>MAX(0,BG62-AE62)</f>
        <v/>
      </c>
      <c r="BV62" s="191">
        <f>MAX(0,BH62-AF62)</f>
        <v/>
      </c>
      <c r="BW62" s="191">
        <f>MAX(0,BI62-AG62)</f>
        <v/>
      </c>
      <c r="BX62" s="191">
        <f>MAX(0,BJ62-AH62)</f>
        <v/>
      </c>
      <c r="BY62" s="191">
        <f>MAX(0,BK62-AI62)</f>
        <v/>
      </c>
      <c r="BZ62" s="191">
        <f>MAX(0,BL62-AJ62)</f>
        <v/>
      </c>
      <c r="CA62" s="191">
        <f>MAX(0,BM62-AK62)</f>
        <v/>
      </c>
      <c r="CB62" s="192">
        <f>MAX(0,BN62-AL62)</f>
        <v/>
      </c>
    </row>
    <row r="63">
      <c r="A63" s="64" t="inlineStr">
        <is>
          <t>50353207000118</t>
        </is>
      </c>
      <c r="B63" s="57" t="inlineStr">
        <is>
          <t>COMPRE FACIL LTDA - ME</t>
        </is>
      </c>
      <c r="C63" s="57" t="inlineStr">
        <is>
          <t>SEM GRUPO</t>
        </is>
      </c>
      <c r="D63" s="61" t="inlineStr">
        <is>
          <t>LARISSA PADILHA</t>
        </is>
      </c>
      <c r="E63" s="30" t="inlineStr">
        <is>
          <t>.</t>
        </is>
      </c>
      <c r="F63" s="63" t="n"/>
      <c r="G63" s="179" t="n"/>
      <c r="H63" s="57" t="n"/>
      <c r="I63" s="57" t="n"/>
      <c r="J63" s="61" t="n"/>
      <c r="K63" s="30" t="inlineStr">
        <is>
          <t>.</t>
        </is>
      </c>
      <c r="L63" s="180" t="n">
        <v>17942.38</v>
      </c>
      <c r="M63" s="181" t="n">
        <v>1260.86</v>
      </c>
      <c r="N63" s="181" t="n">
        <v>1317.56</v>
      </c>
      <c r="O63" s="181" t="n">
        <v>1349.31</v>
      </c>
      <c r="P63" s="181" t="n">
        <v>1384.46</v>
      </c>
      <c r="Q63" s="181" t="n">
        <v>1429.81</v>
      </c>
      <c r="R63" s="181" t="n">
        <v>1467.23</v>
      </c>
      <c r="S63" s="181" t="n">
        <v>1523.92</v>
      </c>
      <c r="T63" s="181" t="n">
        <v>1561.34</v>
      </c>
      <c r="U63" s="181" t="n">
        <v>1596.49</v>
      </c>
      <c r="V63" s="181" t="n">
        <v>1636.18</v>
      </c>
      <c r="W63" s="181" t="n">
        <v>1679.26</v>
      </c>
      <c r="X63" s="182" t="n">
        <v>1735.96</v>
      </c>
      <c r="Y63" s="183" t="inlineStr">
        <is>
          <t>.</t>
        </is>
      </c>
      <c r="Z63" s="184">
        <f>SUM(AA63:AL63)</f>
        <v/>
      </c>
      <c r="AA63" s="185" t="n">
        <v>0</v>
      </c>
      <c r="AB63" s="185" t="n">
        <v>0</v>
      </c>
      <c r="AC63" s="185" t="n">
        <v>0</v>
      </c>
      <c r="AD63" s="185" t="n">
        <v>0</v>
      </c>
      <c r="AE63" s="185" t="n">
        <v>0</v>
      </c>
      <c r="AF63" s="185" t="n">
        <v>0</v>
      </c>
      <c r="AG63" s="185" t="n">
        <v>0</v>
      </c>
      <c r="AH63" s="185" t="n">
        <v>0</v>
      </c>
      <c r="AI63" s="185" t="n">
        <v>0</v>
      </c>
      <c r="AJ63" s="185" t="n">
        <v>0</v>
      </c>
      <c r="AK63" s="185" t="n">
        <v>0</v>
      </c>
      <c r="AL63" s="186" t="n">
        <v>7907.73</v>
      </c>
      <c r="AM63" s="30" t="inlineStr">
        <is>
          <t>.</t>
        </is>
      </c>
      <c r="AN63" s="187">
        <f>IF(L63=0,0,Z63/L63)</f>
        <v/>
      </c>
      <c r="AO63" s="57">
        <f>IF(AN63&gt;=1,"🟢",IF(AN63&gt;=0.7,"🟡",IF(AN63&gt;=0.4,"🟠","🔴")))</f>
        <v/>
      </c>
      <c r="AP63" s="185">
        <f>L63-Z63</f>
        <v/>
      </c>
      <c r="AQ63" s="55">
        <f>RANK(Z63,$Z$4:$Z$503,0)</f>
        <v/>
      </c>
      <c r="AR63" s="39" t="inlineStr">
        <is>
          <t>.</t>
        </is>
      </c>
      <c r="AS63" s="27" t="n"/>
      <c r="AT63" s="27" t="n"/>
      <c r="AU63" s="27" t="n"/>
      <c r="AV63" s="27" t="n"/>
      <c r="AW63" s="27" t="n"/>
      <c r="AX63" s="27" t="n"/>
      <c r="AY63" s="204" t="n"/>
      <c r="AZ63" s="204" t="n"/>
      <c r="BA63" s="38" t="inlineStr">
        <is>
          <t>.</t>
        </is>
      </c>
      <c r="BB63" s="190">
        <f>SUM(BC63:BN63)</f>
        <v/>
      </c>
      <c r="BC63" s="191">
        <f>L63*0.0702730030</f>
        <v/>
      </c>
      <c r="BD63" s="191">
        <f>L63*0.0734327604</f>
        <v/>
      </c>
      <c r="BE63" s="191">
        <f>L63*0.0752022245</f>
        <v/>
      </c>
      <c r="BF63" s="191">
        <f>L63*0.0771612740</f>
        <v/>
      </c>
      <c r="BG63" s="191">
        <f>L63*0.0796890799</f>
        <v/>
      </c>
      <c r="BH63" s="191">
        <f>L63*0.0817745197</f>
        <v/>
      </c>
      <c r="BI63" s="191">
        <f>L63*0.0849342770</f>
        <v/>
      </c>
      <c r="BJ63" s="191">
        <f>L63*0.0870197169</f>
        <v/>
      </c>
      <c r="BK63" s="191">
        <f>L63*0.0889787664</f>
        <v/>
      </c>
      <c r="BL63" s="191">
        <f>L63*0.0911905966</f>
        <v/>
      </c>
      <c r="BM63" s="191">
        <f>L63*0.0935920121</f>
        <v/>
      </c>
      <c r="BN63" s="192">
        <f>L63*0.0967517695</f>
        <v/>
      </c>
      <c r="BO63" s="36" t="inlineStr">
        <is>
          <t>.</t>
        </is>
      </c>
      <c r="BP63" s="193">
        <f>SUM(BQ63:CB63)</f>
        <v/>
      </c>
      <c r="BQ63" s="191">
        <f>MAX(0,BC63-AA63)</f>
        <v/>
      </c>
      <c r="BR63" s="191">
        <f>MAX(0,BD63-AB63)</f>
        <v/>
      </c>
      <c r="BS63" s="191">
        <f>MAX(0,BE63-AC63)</f>
        <v/>
      </c>
      <c r="BT63" s="191">
        <f>MAX(0,BF63-AD63)</f>
        <v/>
      </c>
      <c r="BU63" s="191">
        <f>MAX(0,BG63-AE63)</f>
        <v/>
      </c>
      <c r="BV63" s="191">
        <f>MAX(0,BH63-AF63)</f>
        <v/>
      </c>
      <c r="BW63" s="191">
        <f>MAX(0,BI63-AG63)</f>
        <v/>
      </c>
      <c r="BX63" s="191">
        <f>MAX(0,BJ63-AH63)</f>
        <v/>
      </c>
      <c r="BY63" s="191">
        <f>MAX(0,BK63-AI63)</f>
        <v/>
      </c>
      <c r="BZ63" s="191">
        <f>MAX(0,BL63-AJ63)</f>
        <v/>
      </c>
      <c r="CA63" s="191">
        <f>MAX(0,BM63-AK63)</f>
        <v/>
      </c>
      <c r="CB63" s="192">
        <f>MAX(0,BN63-AL63)</f>
        <v/>
      </c>
    </row>
    <row r="64">
      <c r="A64" s="64" t="inlineStr">
        <is>
          <t>09088606000103</t>
        </is>
      </c>
      <c r="B64" s="57" t="inlineStr">
        <is>
          <t>FMC COMERCIO LTDA - EPP</t>
        </is>
      </c>
      <c r="C64" s="57" t="inlineStr">
        <is>
          <t>SEM GRUPO</t>
        </is>
      </c>
      <c r="D64" s="61" t="inlineStr">
        <is>
          <t>LARISSA PADILHA</t>
        </is>
      </c>
      <c r="E64" s="30" t="inlineStr">
        <is>
          <t>.</t>
        </is>
      </c>
      <c r="F64" s="63" t="n"/>
      <c r="G64" s="179" t="n"/>
      <c r="H64" s="57" t="n"/>
      <c r="I64" s="57" t="n"/>
      <c r="J64" s="61" t="n"/>
      <c r="K64" s="30" t="inlineStr">
        <is>
          <t>.</t>
        </is>
      </c>
      <c r="L64" s="180" t="n">
        <v>17700.42</v>
      </c>
      <c r="M64" s="181" t="n">
        <v>1243.86</v>
      </c>
      <c r="N64" s="181" t="n">
        <v>1299.79</v>
      </c>
      <c r="O64" s="181" t="n">
        <v>1331.11</v>
      </c>
      <c r="P64" s="181" t="n">
        <v>1365.79</v>
      </c>
      <c r="Q64" s="181" t="n">
        <v>1410.53</v>
      </c>
      <c r="R64" s="181" t="n">
        <v>1447.44</v>
      </c>
      <c r="S64" s="181" t="n">
        <v>1503.37</v>
      </c>
      <c r="T64" s="181" t="n">
        <v>1540.29</v>
      </c>
      <c r="U64" s="181" t="n">
        <v>1574.96</v>
      </c>
      <c r="V64" s="181" t="n">
        <v>1614.11</v>
      </c>
      <c r="W64" s="181" t="n">
        <v>1656.62</v>
      </c>
      <c r="X64" s="182" t="n">
        <v>1712.55</v>
      </c>
      <c r="Y64" s="183" t="inlineStr">
        <is>
          <t>.</t>
        </is>
      </c>
      <c r="Z64" s="184">
        <f>SUM(AA64:AL64)</f>
        <v/>
      </c>
      <c r="AA64" s="185" t="n">
        <v>0</v>
      </c>
      <c r="AB64" s="185" t="n">
        <v>0</v>
      </c>
      <c r="AC64" s="185" t="n">
        <v>0</v>
      </c>
      <c r="AD64" s="185" t="n">
        <v>0</v>
      </c>
      <c r="AE64" s="185" t="n">
        <v>0</v>
      </c>
      <c r="AF64" s="185" t="n">
        <v>2000.97</v>
      </c>
      <c r="AG64" s="185" t="n">
        <v>0</v>
      </c>
      <c r="AH64" s="185" t="n">
        <v>2710.69</v>
      </c>
      <c r="AI64" s="185" t="n">
        <v>0</v>
      </c>
      <c r="AJ64" s="185" t="n">
        <v>0</v>
      </c>
      <c r="AK64" s="185" t="n">
        <v>3352.34</v>
      </c>
      <c r="AL64" s="186" t="n">
        <v>0</v>
      </c>
      <c r="AM64" s="222" t="n">
        <v>897.75</v>
      </c>
      <c r="AN64" s="187">
        <f>IF(L64=0,0,Z64/L64)</f>
        <v/>
      </c>
      <c r="AO64" s="57">
        <f>IF(AN64&gt;=1,"🟢",IF(AN64&gt;=0.7,"🟡",IF(AN64&gt;=0.4,"🟠","🔴")))</f>
        <v/>
      </c>
      <c r="AP64" s="185">
        <f>L64-Z64</f>
        <v/>
      </c>
      <c r="AQ64" s="55">
        <f>RANK(Z64,$Z$4:$Z$503,0)</f>
        <v/>
      </c>
      <c r="AR64" s="39" t="inlineStr">
        <is>
          <t>.</t>
        </is>
      </c>
      <c r="AS64" s="27" t="n"/>
      <c r="AT64" s="27" t="n"/>
      <c r="AU64" s="27" t="n"/>
      <c r="AV64" s="27" t="n"/>
      <c r="AW64" s="27" t="n"/>
      <c r="AX64" s="27" t="n"/>
      <c r="AY64" s="204" t="n"/>
      <c r="AZ64" s="204" t="n"/>
      <c r="BA64" s="38" t="inlineStr">
        <is>
          <t>.</t>
        </is>
      </c>
      <c r="BB64" s="190">
        <f>SUM(BC64:BN64)</f>
        <v/>
      </c>
      <c r="BC64" s="191">
        <f>L64*0.0702730030</f>
        <v/>
      </c>
      <c r="BD64" s="191">
        <f>L64*0.0734327604</f>
        <v/>
      </c>
      <c r="BE64" s="191">
        <f>L64*0.0752022245</f>
        <v/>
      </c>
      <c r="BF64" s="191">
        <f>L64*0.0771612740</f>
        <v/>
      </c>
      <c r="BG64" s="191">
        <f>L64*0.0796890799</f>
        <v/>
      </c>
      <c r="BH64" s="191">
        <f>L64*0.0817745197</f>
        <v/>
      </c>
      <c r="BI64" s="191">
        <f>L64*0.0849342770</f>
        <v/>
      </c>
      <c r="BJ64" s="191">
        <f>L64*0.0870197169</f>
        <v/>
      </c>
      <c r="BK64" s="191">
        <f>L64*0.0889787664</f>
        <v/>
      </c>
      <c r="BL64" s="191">
        <f>L64*0.0911905966</f>
        <v/>
      </c>
      <c r="BM64" s="191">
        <f>L64*0.0935920121</f>
        <v/>
      </c>
      <c r="BN64" s="192">
        <f>L64*0.0967517695</f>
        <v/>
      </c>
      <c r="BO64" s="36" t="inlineStr">
        <is>
          <t>.</t>
        </is>
      </c>
      <c r="BP64" s="193">
        <f>SUM(BQ64:CB64)</f>
        <v/>
      </c>
      <c r="BQ64" s="191">
        <f>MAX(0,BC64-AA64)</f>
        <v/>
      </c>
      <c r="BR64" s="191">
        <f>MAX(0,BD64-AB64)</f>
        <v/>
      </c>
      <c r="BS64" s="191">
        <f>MAX(0,BE64-AC64)</f>
        <v/>
      </c>
      <c r="BT64" s="191">
        <f>MAX(0,BF64-AD64)</f>
        <v/>
      </c>
      <c r="BU64" s="191">
        <f>MAX(0,BG64-AE64)</f>
        <v/>
      </c>
      <c r="BV64" s="191">
        <f>MAX(0,BH64-AF64)</f>
        <v/>
      </c>
      <c r="BW64" s="191">
        <f>MAX(0,BI64-AG64)</f>
        <v/>
      </c>
      <c r="BX64" s="191">
        <f>MAX(0,BJ64-AH64)</f>
        <v/>
      </c>
      <c r="BY64" s="191">
        <f>MAX(0,BK64-AI64)</f>
        <v/>
      </c>
      <c r="BZ64" s="191">
        <f>MAX(0,BL64-AJ64)</f>
        <v/>
      </c>
      <c r="CA64" s="191">
        <f>MAX(0,BM64-AK64)</f>
        <v/>
      </c>
      <c r="CB64" s="192">
        <f>MAX(0,BN64-AL64)</f>
        <v/>
      </c>
    </row>
    <row r="65">
      <c r="A65" s="64" t="inlineStr">
        <is>
          <t>22332946000198</t>
        </is>
      </c>
      <c r="B65" s="57" t="inlineStr">
        <is>
          <t>EMPORIO POMAR URBANO ALIMENTOS LTDA</t>
        </is>
      </c>
      <c r="C65" s="57" t="inlineStr">
        <is>
          <t>SEM GRUPO</t>
        </is>
      </c>
      <c r="D65" s="61" t="inlineStr">
        <is>
          <t>HEMANUELE DITZEL (MANU)</t>
        </is>
      </c>
      <c r="E65" s="30" t="inlineStr">
        <is>
          <t>.</t>
        </is>
      </c>
      <c r="F65" s="63" t="n"/>
      <c r="G65" s="179" t="n"/>
      <c r="H65" s="57" t="n"/>
      <c r="I65" s="57" t="n"/>
      <c r="J65" s="61" t="n"/>
      <c r="K65" s="30" t="inlineStr">
        <is>
          <t>.</t>
        </is>
      </c>
      <c r="L65" s="180" t="n">
        <v>17597.87</v>
      </c>
      <c r="M65" s="181" t="n">
        <v>1236.66</v>
      </c>
      <c r="N65" s="181" t="n">
        <v>1292.26</v>
      </c>
      <c r="O65" s="181" t="n">
        <v>1323.4</v>
      </c>
      <c r="P65" s="181" t="n">
        <v>1357.87</v>
      </c>
      <c r="Q65" s="181" t="n">
        <v>1402.36</v>
      </c>
      <c r="R65" s="181" t="n">
        <v>1439.06</v>
      </c>
      <c r="S65" s="181" t="n">
        <v>1494.66</v>
      </c>
      <c r="T65" s="181" t="n">
        <v>1531.36</v>
      </c>
      <c r="U65" s="181" t="n">
        <v>1565.84</v>
      </c>
      <c r="V65" s="181" t="n">
        <v>1604.76</v>
      </c>
      <c r="W65" s="181" t="n">
        <v>1647.02</v>
      </c>
      <c r="X65" s="182" t="n">
        <v>1702.62</v>
      </c>
      <c r="Y65" s="183" t="inlineStr">
        <is>
          <t>.</t>
        </is>
      </c>
      <c r="Z65" s="184">
        <f>SUM(AA65:AL65)</f>
        <v/>
      </c>
      <c r="AA65" s="185" t="n">
        <v>0</v>
      </c>
      <c r="AB65" s="185" t="n">
        <v>0</v>
      </c>
      <c r="AC65" s="185" t="n">
        <v>0</v>
      </c>
      <c r="AD65" s="185" t="n">
        <v>0</v>
      </c>
      <c r="AE65" s="185" t="n">
        <v>0</v>
      </c>
      <c r="AF65" s="185" t="n">
        <v>0</v>
      </c>
      <c r="AG65" s="185" t="n">
        <v>0</v>
      </c>
      <c r="AH65" s="185" t="n">
        <v>397.11</v>
      </c>
      <c r="AI65" s="185" t="n">
        <v>1462.02</v>
      </c>
      <c r="AJ65" s="185" t="n">
        <v>2970.54</v>
      </c>
      <c r="AK65" s="185" t="n">
        <v>2785.48</v>
      </c>
      <c r="AL65" s="186" t="n">
        <v>1315.12</v>
      </c>
      <c r="AM65" s="30" t="inlineStr">
        <is>
          <t>.</t>
        </is>
      </c>
      <c r="AN65" s="187">
        <f>IF(L65=0,0,Z65/L65)</f>
        <v/>
      </c>
      <c r="AO65" s="57">
        <f>IF(AN65&gt;=1,"🟢",IF(AN65&gt;=0.7,"🟡",IF(AN65&gt;=0.4,"🟠","🔴")))</f>
        <v/>
      </c>
      <c r="AP65" s="185">
        <f>L65-Z65</f>
        <v/>
      </c>
      <c r="AQ65" s="55">
        <f>RANK(Z65,$Z$4:$Z$503,0)</f>
        <v/>
      </c>
      <c r="AR65" s="39" t="inlineStr">
        <is>
          <t>.</t>
        </is>
      </c>
      <c r="AS65" s="27" t="n"/>
      <c r="AT65" s="27" t="n"/>
      <c r="AU65" s="27" t="n"/>
      <c r="AV65" s="27" t="n"/>
      <c r="AW65" s="27" t="n"/>
      <c r="AX65" s="27" t="n"/>
      <c r="AY65" s="204" t="n"/>
      <c r="AZ65" s="204" t="n"/>
      <c r="BA65" s="38" t="inlineStr">
        <is>
          <t>.</t>
        </is>
      </c>
      <c r="BB65" s="190">
        <f>SUM(BC65:BN65)</f>
        <v/>
      </c>
      <c r="BC65" s="191">
        <f>L65*0.0702730030</f>
        <v/>
      </c>
      <c r="BD65" s="191">
        <f>L65*0.0734327604</f>
        <v/>
      </c>
      <c r="BE65" s="191">
        <f>L65*0.0752022245</f>
        <v/>
      </c>
      <c r="BF65" s="191">
        <f>L65*0.0771612740</f>
        <v/>
      </c>
      <c r="BG65" s="191">
        <f>L65*0.0796890799</f>
        <v/>
      </c>
      <c r="BH65" s="191">
        <f>L65*0.0817745197</f>
        <v/>
      </c>
      <c r="BI65" s="191">
        <f>L65*0.0849342770</f>
        <v/>
      </c>
      <c r="BJ65" s="191">
        <f>L65*0.0870197169</f>
        <v/>
      </c>
      <c r="BK65" s="191">
        <f>L65*0.0889787664</f>
        <v/>
      </c>
      <c r="BL65" s="191">
        <f>L65*0.0911905966</f>
        <v/>
      </c>
      <c r="BM65" s="191">
        <f>L65*0.0935920121</f>
        <v/>
      </c>
      <c r="BN65" s="192">
        <f>L65*0.0967517695</f>
        <v/>
      </c>
      <c r="BO65" s="36" t="inlineStr">
        <is>
          <t>.</t>
        </is>
      </c>
      <c r="BP65" s="193">
        <f>SUM(BQ65:CB65)</f>
        <v/>
      </c>
      <c r="BQ65" s="191">
        <f>MAX(0,BC65-AA65)</f>
        <v/>
      </c>
      <c r="BR65" s="191">
        <f>MAX(0,BD65-AB65)</f>
        <v/>
      </c>
      <c r="BS65" s="191">
        <f>MAX(0,BE65-AC65)</f>
        <v/>
      </c>
      <c r="BT65" s="191">
        <f>MAX(0,BF65-AD65)</f>
        <v/>
      </c>
      <c r="BU65" s="191">
        <f>MAX(0,BG65-AE65)</f>
        <v/>
      </c>
      <c r="BV65" s="191">
        <f>MAX(0,BH65-AF65)</f>
        <v/>
      </c>
      <c r="BW65" s="191">
        <f>MAX(0,BI65-AG65)</f>
        <v/>
      </c>
      <c r="BX65" s="191">
        <f>MAX(0,BJ65-AH65)</f>
        <v/>
      </c>
      <c r="BY65" s="191">
        <f>MAX(0,BK65-AI65)</f>
        <v/>
      </c>
      <c r="BZ65" s="191">
        <f>MAX(0,BL65-AJ65)</f>
        <v/>
      </c>
      <c r="CA65" s="191">
        <f>MAX(0,BM65-AK65)</f>
        <v/>
      </c>
      <c r="CB65" s="192">
        <f>MAX(0,BN65-AL65)</f>
        <v/>
      </c>
    </row>
    <row r="66">
      <c r="A66" s="64" t="inlineStr">
        <is>
          <t>05589673000142</t>
        </is>
      </c>
      <c r="B66" s="57" t="inlineStr">
        <is>
          <t>NUTRICROK ALIMENTOS LTDA</t>
        </is>
      </c>
      <c r="C66" s="57" t="inlineStr">
        <is>
          <t>SEM GRUPO</t>
        </is>
      </c>
      <c r="D66" s="61" t="inlineStr">
        <is>
          <t>HEMANUELE DITZEL (MANU)</t>
        </is>
      </c>
      <c r="E66" s="30" t="inlineStr">
        <is>
          <t>.</t>
        </is>
      </c>
      <c r="F66" s="63" t="n"/>
      <c r="G66" s="179" t="n"/>
      <c r="H66" s="57" t="n"/>
      <c r="I66" s="57" t="n"/>
      <c r="J66" s="61" t="n"/>
      <c r="K66" s="30" t="inlineStr">
        <is>
          <t>.</t>
        </is>
      </c>
      <c r="L66" s="180" t="n">
        <v>17257.2</v>
      </c>
      <c r="M66" s="181" t="n">
        <v>1212.72</v>
      </c>
      <c r="N66" s="181" t="n">
        <v>1267.24</v>
      </c>
      <c r="O66" s="181" t="n">
        <v>1297.78</v>
      </c>
      <c r="P66" s="181" t="n">
        <v>1331.59</v>
      </c>
      <c r="Q66" s="181" t="n">
        <v>1375.21</v>
      </c>
      <c r="R66" s="181" t="n">
        <v>1411.2</v>
      </c>
      <c r="S66" s="181" t="n">
        <v>1465.73</v>
      </c>
      <c r="T66" s="181" t="n">
        <v>1501.72</v>
      </c>
      <c r="U66" s="181" t="n">
        <v>1535.52</v>
      </c>
      <c r="V66" s="181" t="n">
        <v>1573.69</v>
      </c>
      <c r="W66" s="181" t="n">
        <v>1615.14</v>
      </c>
      <c r="X66" s="182" t="n">
        <v>1669.66</v>
      </c>
      <c r="Y66" s="183" t="inlineStr">
        <is>
          <t>.</t>
        </is>
      </c>
      <c r="Z66" s="184">
        <f>SUM(AA66:AL66)</f>
        <v/>
      </c>
      <c r="AA66" s="185" t="n">
        <v>0</v>
      </c>
      <c r="AB66" s="185" t="n">
        <v>0</v>
      </c>
      <c r="AC66" s="185" t="n">
        <v>2621.56</v>
      </c>
      <c r="AD66" s="185" t="n">
        <v>0</v>
      </c>
      <c r="AE66" s="185" t="n">
        <v>0</v>
      </c>
      <c r="AF66" s="185" t="n">
        <v>4253.92</v>
      </c>
      <c r="AG66" s="185" t="n">
        <v>0</v>
      </c>
      <c r="AH66" s="185" t="n">
        <v>0</v>
      </c>
      <c r="AI66" s="185" t="n">
        <v>0</v>
      </c>
      <c r="AJ66" s="185" t="n">
        <v>0</v>
      </c>
      <c r="AK66" s="185" t="n">
        <v>0</v>
      </c>
      <c r="AL66" s="186" t="n">
        <v>0</v>
      </c>
      <c r="AM66" s="30" t="inlineStr">
        <is>
          <t>.</t>
        </is>
      </c>
      <c r="AN66" s="187">
        <f>IF(L66=0,0,Z66/L66)</f>
        <v/>
      </c>
      <c r="AO66" s="57">
        <f>IF(AN66&gt;=1,"🟢",IF(AN66&gt;=0.7,"🟡",IF(AN66&gt;=0.4,"🟠","🔴")))</f>
        <v/>
      </c>
      <c r="AP66" s="185">
        <f>L66-Z66</f>
        <v/>
      </c>
      <c r="AQ66" s="55">
        <f>RANK(Z66,$Z$4:$Z$503,0)</f>
        <v/>
      </c>
      <c r="AR66" s="39" t="inlineStr">
        <is>
          <t>.</t>
        </is>
      </c>
      <c r="AS66" s="27" t="n"/>
      <c r="AT66" s="27" t="n"/>
      <c r="AU66" s="27" t="n"/>
      <c r="AV66" s="27" t="n"/>
      <c r="AW66" s="27" t="n"/>
      <c r="AX66" s="27" t="n"/>
      <c r="AY66" s="204" t="n"/>
      <c r="AZ66" s="204" t="n"/>
      <c r="BA66" s="38" t="inlineStr">
        <is>
          <t>.</t>
        </is>
      </c>
      <c r="BB66" s="190">
        <f>SUM(BC66:BN66)</f>
        <v/>
      </c>
      <c r="BC66" s="191">
        <f>L66*0.0702730030</f>
        <v/>
      </c>
      <c r="BD66" s="191">
        <f>L66*0.0734327604</f>
        <v/>
      </c>
      <c r="BE66" s="191">
        <f>L66*0.0752022245</f>
        <v/>
      </c>
      <c r="BF66" s="191">
        <f>L66*0.0771612740</f>
        <v/>
      </c>
      <c r="BG66" s="191">
        <f>L66*0.0796890799</f>
        <v/>
      </c>
      <c r="BH66" s="191">
        <f>L66*0.0817745197</f>
        <v/>
      </c>
      <c r="BI66" s="191">
        <f>L66*0.0849342770</f>
        <v/>
      </c>
      <c r="BJ66" s="191">
        <f>L66*0.0870197169</f>
        <v/>
      </c>
      <c r="BK66" s="191">
        <f>L66*0.0889787664</f>
        <v/>
      </c>
      <c r="BL66" s="191">
        <f>L66*0.0911905966</f>
        <v/>
      </c>
      <c r="BM66" s="191">
        <f>L66*0.0935920121</f>
        <v/>
      </c>
      <c r="BN66" s="192">
        <f>L66*0.0967517695</f>
        <v/>
      </c>
      <c r="BO66" s="36" t="inlineStr">
        <is>
          <t>.</t>
        </is>
      </c>
      <c r="BP66" s="193">
        <f>SUM(BQ66:CB66)</f>
        <v/>
      </c>
      <c r="BQ66" s="191">
        <f>MAX(0,BC66-AA66)</f>
        <v/>
      </c>
      <c r="BR66" s="191">
        <f>MAX(0,BD66-AB66)</f>
        <v/>
      </c>
      <c r="BS66" s="191">
        <f>MAX(0,BE66-AC66)</f>
        <v/>
      </c>
      <c r="BT66" s="191">
        <f>MAX(0,BF66-AD66)</f>
        <v/>
      </c>
      <c r="BU66" s="191">
        <f>MAX(0,BG66-AE66)</f>
        <v/>
      </c>
      <c r="BV66" s="191">
        <f>MAX(0,BH66-AF66)</f>
        <v/>
      </c>
      <c r="BW66" s="191">
        <f>MAX(0,BI66-AG66)</f>
        <v/>
      </c>
      <c r="BX66" s="191">
        <f>MAX(0,BJ66-AH66)</f>
        <v/>
      </c>
      <c r="BY66" s="191">
        <f>MAX(0,BK66-AI66)</f>
        <v/>
      </c>
      <c r="BZ66" s="191">
        <f>MAX(0,BL66-AJ66)</f>
        <v/>
      </c>
      <c r="CA66" s="191">
        <f>MAX(0,BM66-AK66)</f>
        <v/>
      </c>
      <c r="CB66" s="192">
        <f>MAX(0,BN66-AL66)</f>
        <v/>
      </c>
    </row>
    <row r="67">
      <c r="A67" s="64" t="inlineStr">
        <is>
          <t>15415386000170</t>
        </is>
      </c>
      <c r="B67" s="57" t="inlineStr">
        <is>
          <t>DI MANGIARE ALIMENTOS LTDA ME</t>
        </is>
      </c>
      <c r="C67" s="57" t="inlineStr">
        <is>
          <t>SEM GRUPO</t>
        </is>
      </c>
      <c r="D67" s="61" t="inlineStr">
        <is>
          <t>HEMANUELE DITZEL (MANU)</t>
        </is>
      </c>
      <c r="E67" s="30" t="inlineStr">
        <is>
          <t>.</t>
        </is>
      </c>
      <c r="F67" s="63" t="n"/>
      <c r="G67" s="179" t="n"/>
      <c r="H67" s="57" t="n"/>
      <c r="I67" s="57" t="n"/>
      <c r="J67" s="61" t="n"/>
      <c r="K67" s="30" t="inlineStr">
        <is>
          <t>.</t>
        </is>
      </c>
      <c r="L67" s="180" t="n">
        <v>16824.53</v>
      </c>
      <c r="M67" s="181" t="n">
        <v>1182.31</v>
      </c>
      <c r="N67" s="181" t="n">
        <v>1235.47</v>
      </c>
      <c r="O67" s="181" t="n">
        <v>1265.24</v>
      </c>
      <c r="P67" s="181" t="n">
        <v>1298.2</v>
      </c>
      <c r="Q67" s="181" t="n">
        <v>1340.73</v>
      </c>
      <c r="R67" s="181" t="n">
        <v>1375.82</v>
      </c>
      <c r="S67" s="181" t="n">
        <v>1428.98</v>
      </c>
      <c r="T67" s="181" t="n">
        <v>1464.07</v>
      </c>
      <c r="U67" s="181" t="n">
        <v>1497.03</v>
      </c>
      <c r="V67" s="181" t="n">
        <v>1534.24</v>
      </c>
      <c r="W67" s="181" t="n">
        <v>1574.64</v>
      </c>
      <c r="X67" s="182" t="n">
        <v>1627.8</v>
      </c>
      <c r="Y67" s="183" t="inlineStr">
        <is>
          <t>.</t>
        </is>
      </c>
      <c r="Z67" s="184">
        <f>SUM(AA67:AL67)</f>
        <v/>
      </c>
      <c r="AA67" s="185" t="n">
        <v>0</v>
      </c>
      <c r="AB67" s="185" t="n">
        <v>0</v>
      </c>
      <c r="AC67" s="185" t="n">
        <v>0</v>
      </c>
      <c r="AD67" s="185" t="n">
        <v>0</v>
      </c>
      <c r="AE67" s="185" t="n">
        <v>0</v>
      </c>
      <c r="AF67" s="185" t="n">
        <v>0</v>
      </c>
      <c r="AG67" s="185" t="n">
        <v>0</v>
      </c>
      <c r="AH67" s="185" t="n">
        <v>0</v>
      </c>
      <c r="AI67" s="185" t="n">
        <v>0</v>
      </c>
      <c r="AJ67" s="185" t="n">
        <v>4785.4</v>
      </c>
      <c r="AK67" s="185" t="n">
        <v>0</v>
      </c>
      <c r="AL67" s="186" t="n">
        <v>3707.53</v>
      </c>
      <c r="AM67" s="30" t="inlineStr">
        <is>
          <t>.</t>
        </is>
      </c>
      <c r="AN67" s="187">
        <f>IF(L67=0,0,Z67/L67)</f>
        <v/>
      </c>
      <c r="AO67" s="57">
        <f>IF(AN67&gt;=1,"🟢",IF(AN67&gt;=0.7,"🟡",IF(AN67&gt;=0.4,"🟠","🔴")))</f>
        <v/>
      </c>
      <c r="AP67" s="185">
        <f>L67-Z67</f>
        <v/>
      </c>
      <c r="AQ67" s="55">
        <f>RANK(Z67,$Z$4:$Z$503,0)</f>
        <v/>
      </c>
      <c r="AR67" s="39" t="inlineStr">
        <is>
          <t>.</t>
        </is>
      </c>
      <c r="AS67" s="27" t="n"/>
      <c r="AT67" s="27" t="n"/>
      <c r="AU67" s="27" t="n"/>
      <c r="AV67" s="27" t="n"/>
      <c r="AW67" s="27" t="n"/>
      <c r="AX67" s="27" t="n"/>
      <c r="AY67" s="204" t="n"/>
      <c r="AZ67" s="204" t="n"/>
      <c r="BA67" s="38" t="inlineStr">
        <is>
          <t>.</t>
        </is>
      </c>
      <c r="BB67" s="190">
        <f>SUM(BC67:BN67)</f>
        <v/>
      </c>
      <c r="BC67" s="191">
        <f>L67*0.0702730030</f>
        <v/>
      </c>
      <c r="BD67" s="191">
        <f>L67*0.0734327604</f>
        <v/>
      </c>
      <c r="BE67" s="191">
        <f>L67*0.0752022245</f>
        <v/>
      </c>
      <c r="BF67" s="191">
        <f>L67*0.0771612740</f>
        <v/>
      </c>
      <c r="BG67" s="191">
        <f>L67*0.0796890799</f>
        <v/>
      </c>
      <c r="BH67" s="191">
        <f>L67*0.0817745197</f>
        <v/>
      </c>
      <c r="BI67" s="191">
        <f>L67*0.0849342770</f>
        <v/>
      </c>
      <c r="BJ67" s="191">
        <f>L67*0.0870197169</f>
        <v/>
      </c>
      <c r="BK67" s="191">
        <f>L67*0.0889787664</f>
        <v/>
      </c>
      <c r="BL67" s="191">
        <f>L67*0.0911905966</f>
        <v/>
      </c>
      <c r="BM67" s="191">
        <f>L67*0.0935920121</f>
        <v/>
      </c>
      <c r="BN67" s="192">
        <f>L67*0.0967517695</f>
        <v/>
      </c>
      <c r="BO67" s="36" t="inlineStr">
        <is>
          <t>.</t>
        </is>
      </c>
      <c r="BP67" s="193">
        <f>SUM(BQ67:CB67)</f>
        <v/>
      </c>
      <c r="BQ67" s="191">
        <f>MAX(0,BC67-AA67)</f>
        <v/>
      </c>
      <c r="BR67" s="191">
        <f>MAX(0,BD67-AB67)</f>
        <v/>
      </c>
      <c r="BS67" s="191">
        <f>MAX(0,BE67-AC67)</f>
        <v/>
      </c>
      <c r="BT67" s="191">
        <f>MAX(0,BF67-AD67)</f>
        <v/>
      </c>
      <c r="BU67" s="191">
        <f>MAX(0,BG67-AE67)</f>
        <v/>
      </c>
      <c r="BV67" s="191">
        <f>MAX(0,BH67-AF67)</f>
        <v/>
      </c>
      <c r="BW67" s="191">
        <f>MAX(0,BI67-AG67)</f>
        <v/>
      </c>
      <c r="BX67" s="191">
        <f>MAX(0,BJ67-AH67)</f>
        <v/>
      </c>
      <c r="BY67" s="191">
        <f>MAX(0,BK67-AI67)</f>
        <v/>
      </c>
      <c r="BZ67" s="191">
        <f>MAX(0,BL67-AJ67)</f>
        <v/>
      </c>
      <c r="CA67" s="191">
        <f>MAX(0,BM67-AK67)</f>
        <v/>
      </c>
      <c r="CB67" s="192">
        <f>MAX(0,BN67-AL67)</f>
        <v/>
      </c>
    </row>
    <row r="68">
      <c r="A68" s="64" t="inlineStr">
        <is>
          <t>80204332000208</t>
        </is>
      </c>
      <c r="B68" s="57" t="inlineStr">
        <is>
          <t>TRIP COMESTIVEIS E SERVICOS LTDA - EPP</t>
        </is>
      </c>
      <c r="C68" s="57" t="inlineStr">
        <is>
          <t>TRIP</t>
        </is>
      </c>
      <c r="D68" s="61" t="inlineStr">
        <is>
          <t>HEMANUELE DITZEL (MANU)</t>
        </is>
      </c>
      <c r="E68" s="30" t="inlineStr">
        <is>
          <t>.</t>
        </is>
      </c>
      <c r="F68" s="63" t="n"/>
      <c r="G68" s="179" t="n"/>
      <c r="H68" s="57" t="n"/>
      <c r="I68" s="57" t="n"/>
      <c r="J68" s="61" t="n"/>
      <c r="K68" s="30" t="inlineStr">
        <is>
          <t>.</t>
        </is>
      </c>
      <c r="L68" s="180" t="n">
        <v>16536.56</v>
      </c>
      <c r="M68" s="181" t="n">
        <v>1162.07</v>
      </c>
      <c r="N68" s="181" t="n">
        <v>1214.33</v>
      </c>
      <c r="O68" s="181" t="n">
        <v>1243.59</v>
      </c>
      <c r="P68" s="181" t="n">
        <v>1275.98</v>
      </c>
      <c r="Q68" s="181" t="n">
        <v>1317.78</v>
      </c>
      <c r="R68" s="181" t="n">
        <v>1352.27</v>
      </c>
      <c r="S68" s="181" t="n">
        <v>1404.52</v>
      </c>
      <c r="T68" s="181" t="n">
        <v>1439.01</v>
      </c>
      <c r="U68" s="181" t="n">
        <v>1471.4</v>
      </c>
      <c r="V68" s="181" t="n">
        <v>1507.98</v>
      </c>
      <c r="W68" s="181" t="n">
        <v>1547.69</v>
      </c>
      <c r="X68" s="182" t="n">
        <v>1599.94</v>
      </c>
      <c r="Y68" s="183" t="inlineStr">
        <is>
          <t>.</t>
        </is>
      </c>
      <c r="Z68" s="184">
        <f>SUM(AA68:AL68)</f>
        <v/>
      </c>
      <c r="AA68" s="185" t="n">
        <v>0</v>
      </c>
      <c r="AB68" s="185" t="n">
        <v>0</v>
      </c>
      <c r="AC68" s="185" t="n">
        <v>0</v>
      </c>
      <c r="AD68" s="185" t="n">
        <v>0</v>
      </c>
      <c r="AE68" s="185" t="n">
        <v>7212.58</v>
      </c>
      <c r="AF68" s="185" t="n">
        <v>0</v>
      </c>
      <c r="AG68" s="185" t="n">
        <v>0</v>
      </c>
      <c r="AH68" s="185" t="n">
        <v>0</v>
      </c>
      <c r="AI68" s="185" t="n">
        <v>0</v>
      </c>
      <c r="AJ68" s="185" t="n">
        <v>0</v>
      </c>
      <c r="AK68" s="185" t="n">
        <v>0</v>
      </c>
      <c r="AL68" s="186" t="n">
        <v>0</v>
      </c>
      <c r="AM68" s="30" t="inlineStr">
        <is>
          <t>.</t>
        </is>
      </c>
      <c r="AN68" s="187">
        <f>IF(L68=0,0,Z68/L68)</f>
        <v/>
      </c>
      <c r="AO68" s="57">
        <f>IF(AN68&gt;=1,"🟢",IF(AN68&gt;=0.7,"🟡",IF(AN68&gt;=0.4,"🟠","🔴")))</f>
        <v/>
      </c>
      <c r="AP68" s="185">
        <f>L68-Z68</f>
        <v/>
      </c>
      <c r="AQ68" s="55">
        <f>RANK(Z68,$Z$4:$Z$503,0)</f>
        <v/>
      </c>
      <c r="AR68" s="39" t="inlineStr">
        <is>
          <t>.</t>
        </is>
      </c>
      <c r="AS68" s="27" t="n"/>
      <c r="AT68" s="27" t="n"/>
      <c r="AU68" s="27" t="n"/>
      <c r="AV68" s="27" t="n"/>
      <c r="AW68" s="27" t="n"/>
      <c r="AX68" s="27" t="n"/>
      <c r="AY68" s="204" t="n"/>
      <c r="AZ68" s="204" t="n"/>
      <c r="BA68" s="38" t="inlineStr">
        <is>
          <t>.</t>
        </is>
      </c>
      <c r="BB68" s="190">
        <f>SUM(BC68:BN68)</f>
        <v/>
      </c>
      <c r="BC68" s="191">
        <f>L68*0.0702730030</f>
        <v/>
      </c>
      <c r="BD68" s="191">
        <f>L68*0.0734327604</f>
        <v/>
      </c>
      <c r="BE68" s="191">
        <f>L68*0.0752022245</f>
        <v/>
      </c>
      <c r="BF68" s="191">
        <f>L68*0.0771612740</f>
        <v/>
      </c>
      <c r="BG68" s="191">
        <f>L68*0.0796890799</f>
        <v/>
      </c>
      <c r="BH68" s="191">
        <f>L68*0.0817745197</f>
        <v/>
      </c>
      <c r="BI68" s="191">
        <f>L68*0.0849342770</f>
        <v/>
      </c>
      <c r="BJ68" s="191">
        <f>L68*0.0870197169</f>
        <v/>
      </c>
      <c r="BK68" s="191">
        <f>L68*0.0889787664</f>
        <v/>
      </c>
      <c r="BL68" s="191">
        <f>L68*0.0911905966</f>
        <v/>
      </c>
      <c r="BM68" s="191">
        <f>L68*0.0935920121</f>
        <v/>
      </c>
      <c r="BN68" s="192">
        <f>L68*0.0967517695</f>
        <v/>
      </c>
      <c r="BO68" s="36" t="inlineStr">
        <is>
          <t>.</t>
        </is>
      </c>
      <c r="BP68" s="193">
        <f>SUM(BQ68:CB68)</f>
        <v/>
      </c>
      <c r="BQ68" s="191">
        <f>MAX(0,BC68-AA68)</f>
        <v/>
      </c>
      <c r="BR68" s="191">
        <f>MAX(0,BD68-AB68)</f>
        <v/>
      </c>
      <c r="BS68" s="191">
        <f>MAX(0,BE68-AC68)</f>
        <v/>
      </c>
      <c r="BT68" s="191">
        <f>MAX(0,BF68-AD68)</f>
        <v/>
      </c>
      <c r="BU68" s="191">
        <f>MAX(0,BG68-AE68)</f>
        <v/>
      </c>
      <c r="BV68" s="191">
        <f>MAX(0,BH68-AF68)</f>
        <v/>
      </c>
      <c r="BW68" s="191">
        <f>MAX(0,BI68-AG68)</f>
        <v/>
      </c>
      <c r="BX68" s="191">
        <f>MAX(0,BJ68-AH68)</f>
        <v/>
      </c>
      <c r="BY68" s="191">
        <f>MAX(0,BK68-AI68)</f>
        <v/>
      </c>
      <c r="BZ68" s="191">
        <f>MAX(0,BL68-AJ68)</f>
        <v/>
      </c>
      <c r="CA68" s="191">
        <f>MAX(0,BM68-AK68)</f>
        <v/>
      </c>
      <c r="CB68" s="192">
        <f>MAX(0,BN68-AL68)</f>
        <v/>
      </c>
    </row>
    <row r="69">
      <c r="A69" s="64" t="inlineStr">
        <is>
          <t>10337748000138</t>
        </is>
      </c>
      <c r="B69" s="57" t="inlineStr">
        <is>
          <t>SUPERMERCADO NATIANAS LTDA</t>
        </is>
      </c>
      <c r="C69" s="57" t="inlineStr">
        <is>
          <t>SEM GRUPO</t>
        </is>
      </c>
      <c r="D69" s="61" t="inlineStr">
        <is>
          <t>LARISSA PADILHA</t>
        </is>
      </c>
      <c r="E69" s="30" t="inlineStr">
        <is>
          <t>.</t>
        </is>
      </c>
      <c r="F69" s="63" t="n"/>
      <c r="G69" s="179" t="n"/>
      <c r="H69" s="57" t="n"/>
      <c r="I69" s="57" t="n"/>
      <c r="J69" s="61" t="n"/>
      <c r="K69" s="30" t="inlineStr">
        <is>
          <t>.</t>
        </is>
      </c>
      <c r="L69" s="180" t="n">
        <v>16420.37</v>
      </c>
      <c r="M69" s="181" t="n">
        <v>1153.91</v>
      </c>
      <c r="N69" s="181" t="n">
        <v>1205.79</v>
      </c>
      <c r="O69" s="181" t="n">
        <v>1234.85</v>
      </c>
      <c r="P69" s="181" t="n">
        <v>1267.02</v>
      </c>
      <c r="Q69" s="181" t="n">
        <v>1308.52</v>
      </c>
      <c r="R69" s="181" t="n">
        <v>1342.77</v>
      </c>
      <c r="S69" s="181" t="n">
        <v>1394.65</v>
      </c>
      <c r="T69" s="181" t="n">
        <v>1428.9</v>
      </c>
      <c r="U69" s="181" t="n">
        <v>1461.06</v>
      </c>
      <c r="V69" s="181" t="n">
        <v>1497.38</v>
      </c>
      <c r="W69" s="181" t="n">
        <v>1536.82</v>
      </c>
      <c r="X69" s="182" t="n">
        <v>1588.7</v>
      </c>
      <c r="Y69" s="183" t="inlineStr">
        <is>
          <t>.</t>
        </is>
      </c>
      <c r="Z69" s="184">
        <f>SUM(AA69:AL69)</f>
        <v/>
      </c>
      <c r="AA69" s="185" t="n">
        <v>0</v>
      </c>
      <c r="AB69" s="185" t="n">
        <v>0</v>
      </c>
      <c r="AC69" s="185" t="n">
        <v>0</v>
      </c>
      <c r="AD69" s="185" t="n">
        <v>0</v>
      </c>
      <c r="AE69" s="185" t="n">
        <v>0</v>
      </c>
      <c r="AF69" s="185" t="n">
        <v>0</v>
      </c>
      <c r="AG69" s="185" t="n">
        <v>2539.54</v>
      </c>
      <c r="AH69" s="185" t="n">
        <v>1940.05</v>
      </c>
      <c r="AI69" s="185" t="n">
        <v>0</v>
      </c>
      <c r="AJ69" s="185" t="n">
        <v>3913.65</v>
      </c>
      <c r="AK69" s="185" t="n">
        <v>0</v>
      </c>
      <c r="AL69" s="186" t="n">
        <v>0</v>
      </c>
      <c r="AM69" s="30" t="inlineStr">
        <is>
          <t>.</t>
        </is>
      </c>
      <c r="AN69" s="187">
        <f>IF(L69=0,0,Z69/L69)</f>
        <v/>
      </c>
      <c r="AO69" s="57">
        <f>IF(AN69&gt;=1,"🟢",IF(AN69&gt;=0.7,"🟡",IF(AN69&gt;=0.4,"🟠","🔴")))</f>
        <v/>
      </c>
      <c r="AP69" s="185">
        <f>L69-Z69</f>
        <v/>
      </c>
      <c r="AQ69" s="55">
        <f>RANK(Z69,$Z$4:$Z$503,0)</f>
        <v/>
      </c>
      <c r="AR69" s="39" t="inlineStr">
        <is>
          <t>.</t>
        </is>
      </c>
      <c r="AS69" s="27" t="n"/>
      <c r="AT69" s="27" t="n"/>
      <c r="AU69" s="27" t="n"/>
      <c r="AV69" s="27" t="n"/>
      <c r="AW69" s="27" t="n"/>
      <c r="AX69" s="27" t="n"/>
      <c r="AY69" s="204" t="n"/>
      <c r="AZ69" s="204" t="n"/>
      <c r="BA69" s="38" t="inlineStr">
        <is>
          <t>.</t>
        </is>
      </c>
      <c r="BB69" s="190">
        <f>SUM(BC69:BN69)</f>
        <v/>
      </c>
      <c r="BC69" s="191">
        <f>L69*0.0702730030</f>
        <v/>
      </c>
      <c r="BD69" s="191">
        <f>L69*0.0734327604</f>
        <v/>
      </c>
      <c r="BE69" s="191">
        <f>L69*0.0752022245</f>
        <v/>
      </c>
      <c r="BF69" s="191">
        <f>L69*0.0771612740</f>
        <v/>
      </c>
      <c r="BG69" s="191">
        <f>L69*0.0796890799</f>
        <v/>
      </c>
      <c r="BH69" s="191">
        <f>L69*0.0817745197</f>
        <v/>
      </c>
      <c r="BI69" s="191">
        <f>L69*0.0849342770</f>
        <v/>
      </c>
      <c r="BJ69" s="191">
        <f>L69*0.0870197169</f>
        <v/>
      </c>
      <c r="BK69" s="191">
        <f>L69*0.0889787664</f>
        <v/>
      </c>
      <c r="BL69" s="191">
        <f>L69*0.0911905966</f>
        <v/>
      </c>
      <c r="BM69" s="191">
        <f>L69*0.0935920121</f>
        <v/>
      </c>
      <c r="BN69" s="192">
        <f>L69*0.0967517695</f>
        <v/>
      </c>
      <c r="BO69" s="36" t="inlineStr">
        <is>
          <t>.</t>
        </is>
      </c>
      <c r="BP69" s="193">
        <f>SUM(BQ69:CB69)</f>
        <v/>
      </c>
      <c r="BQ69" s="191">
        <f>MAX(0,BC69-AA69)</f>
        <v/>
      </c>
      <c r="BR69" s="191">
        <f>MAX(0,BD69-AB69)</f>
        <v/>
      </c>
      <c r="BS69" s="191">
        <f>MAX(0,BE69-AC69)</f>
        <v/>
      </c>
      <c r="BT69" s="191">
        <f>MAX(0,BF69-AD69)</f>
        <v/>
      </c>
      <c r="BU69" s="191">
        <f>MAX(0,BG69-AE69)</f>
        <v/>
      </c>
      <c r="BV69" s="191">
        <f>MAX(0,BH69-AF69)</f>
        <v/>
      </c>
      <c r="BW69" s="191">
        <f>MAX(0,BI69-AG69)</f>
        <v/>
      </c>
      <c r="BX69" s="191">
        <f>MAX(0,BJ69-AH69)</f>
        <v/>
      </c>
      <c r="BY69" s="191">
        <f>MAX(0,BK69-AI69)</f>
        <v/>
      </c>
      <c r="BZ69" s="191">
        <f>MAX(0,BL69-AJ69)</f>
        <v/>
      </c>
      <c r="CA69" s="191">
        <f>MAX(0,BM69-AK69)</f>
        <v/>
      </c>
      <c r="CB69" s="192">
        <f>MAX(0,BN69-AL69)</f>
        <v/>
      </c>
    </row>
    <row r="70">
      <c r="A70" s="64" t="inlineStr">
        <is>
          <t>43922481000286</t>
        </is>
      </c>
      <c r="B70" s="57" t="inlineStr">
        <is>
          <t>P H V MOTA - EPP</t>
        </is>
      </c>
      <c r="C70" s="57" t="inlineStr">
        <is>
          <t>SEM GRUPO</t>
        </is>
      </c>
      <c r="D70" s="61" t="inlineStr">
        <is>
          <t>LARISSA PADILHA</t>
        </is>
      </c>
      <c r="E70" s="30" t="inlineStr">
        <is>
          <t>.</t>
        </is>
      </c>
      <c r="F70" s="63" t="n"/>
      <c r="G70" s="179" t="n"/>
      <c r="H70" s="57" t="n"/>
      <c r="I70" s="57" t="n"/>
      <c r="J70" s="61" t="n"/>
      <c r="K70" s="30" t="inlineStr">
        <is>
          <t>.</t>
        </is>
      </c>
      <c r="L70" s="180" t="n">
        <v>16110.67</v>
      </c>
      <c r="M70" s="181" t="n">
        <v>1132.14</v>
      </c>
      <c r="N70" s="181" t="n">
        <v>1183.05</v>
      </c>
      <c r="O70" s="181" t="n">
        <v>1211.56</v>
      </c>
      <c r="P70" s="181" t="n">
        <v>1243.12</v>
      </c>
      <c r="Q70" s="181" t="n">
        <v>1283.84</v>
      </c>
      <c r="R70" s="181" t="n">
        <v>1317.44</v>
      </c>
      <c r="S70" s="181" t="n">
        <v>1368.35</v>
      </c>
      <c r="T70" s="181" t="n">
        <v>1401.95</v>
      </c>
      <c r="U70" s="181" t="n">
        <v>1433.51</v>
      </c>
      <c r="V70" s="181" t="n">
        <v>1469.14</v>
      </c>
      <c r="W70" s="181" t="n">
        <v>1507.83</v>
      </c>
      <c r="X70" s="182" t="n">
        <v>1558.74</v>
      </c>
      <c r="Y70" s="183" t="inlineStr">
        <is>
          <t>.</t>
        </is>
      </c>
      <c r="Z70" s="184">
        <f>SUM(AA70:AL70)</f>
        <v/>
      </c>
      <c r="AA70" s="185" t="n">
        <v>0</v>
      </c>
      <c r="AB70" s="185" t="n">
        <v>0</v>
      </c>
      <c r="AC70" s="185" t="n">
        <v>2878.94</v>
      </c>
      <c r="AD70" s="185" t="n">
        <v>0</v>
      </c>
      <c r="AE70" s="185" t="n">
        <v>0</v>
      </c>
      <c r="AF70" s="185" t="n">
        <v>1784.16</v>
      </c>
      <c r="AG70" s="185" t="n">
        <v>0</v>
      </c>
      <c r="AH70" s="185" t="n">
        <v>0</v>
      </c>
      <c r="AI70" s="185" t="n">
        <v>2159.34</v>
      </c>
      <c r="AJ70" s="185" t="n">
        <v>0</v>
      </c>
      <c r="AK70" s="185" t="n">
        <v>0</v>
      </c>
      <c r="AL70" s="186" t="n">
        <v>0</v>
      </c>
      <c r="AM70" s="30" t="inlineStr">
        <is>
          <t>.</t>
        </is>
      </c>
      <c r="AN70" s="187">
        <f>IF(L70=0,0,Z70/L70)</f>
        <v/>
      </c>
      <c r="AO70" s="57">
        <f>IF(AN70&gt;=1,"🟢",IF(AN70&gt;=0.7,"🟡",IF(AN70&gt;=0.4,"🟠","🔴")))</f>
        <v/>
      </c>
      <c r="AP70" s="185">
        <f>L70-Z70</f>
        <v/>
      </c>
      <c r="AQ70" s="55">
        <f>RANK(Z70,$Z$4:$Z$503,0)</f>
        <v/>
      </c>
      <c r="AR70" s="39" t="inlineStr">
        <is>
          <t>.</t>
        </is>
      </c>
      <c r="AS70" s="27" t="n"/>
      <c r="AT70" s="27" t="n"/>
      <c r="AU70" s="27" t="n"/>
      <c r="AV70" s="27" t="n"/>
      <c r="AW70" s="27" t="n"/>
      <c r="AX70" s="27" t="n"/>
      <c r="AY70" s="204" t="n"/>
      <c r="AZ70" s="204" t="n"/>
      <c r="BA70" s="38" t="inlineStr">
        <is>
          <t>.</t>
        </is>
      </c>
      <c r="BB70" s="190">
        <f>SUM(BC70:BN70)</f>
        <v/>
      </c>
      <c r="BC70" s="191">
        <f>L70*0.0702730030</f>
        <v/>
      </c>
      <c r="BD70" s="191">
        <f>L70*0.0734327604</f>
        <v/>
      </c>
      <c r="BE70" s="191">
        <f>L70*0.0752022245</f>
        <v/>
      </c>
      <c r="BF70" s="191">
        <f>L70*0.0771612740</f>
        <v/>
      </c>
      <c r="BG70" s="191">
        <f>L70*0.0796890799</f>
        <v/>
      </c>
      <c r="BH70" s="191">
        <f>L70*0.0817745197</f>
        <v/>
      </c>
      <c r="BI70" s="191">
        <f>L70*0.0849342770</f>
        <v/>
      </c>
      <c r="BJ70" s="191">
        <f>L70*0.0870197169</f>
        <v/>
      </c>
      <c r="BK70" s="191">
        <f>L70*0.0889787664</f>
        <v/>
      </c>
      <c r="BL70" s="191">
        <f>L70*0.0911905966</f>
        <v/>
      </c>
      <c r="BM70" s="191">
        <f>L70*0.0935920121</f>
        <v/>
      </c>
      <c r="BN70" s="192">
        <f>L70*0.0967517695</f>
        <v/>
      </c>
      <c r="BO70" s="36" t="inlineStr">
        <is>
          <t>.</t>
        </is>
      </c>
      <c r="BP70" s="193">
        <f>SUM(BQ70:CB70)</f>
        <v/>
      </c>
      <c r="BQ70" s="191">
        <f>MAX(0,BC70-AA70)</f>
        <v/>
      </c>
      <c r="BR70" s="191">
        <f>MAX(0,BD70-AB70)</f>
        <v/>
      </c>
      <c r="BS70" s="191">
        <f>MAX(0,BE70-AC70)</f>
        <v/>
      </c>
      <c r="BT70" s="191">
        <f>MAX(0,BF70-AD70)</f>
        <v/>
      </c>
      <c r="BU70" s="191">
        <f>MAX(0,BG70-AE70)</f>
        <v/>
      </c>
      <c r="BV70" s="191">
        <f>MAX(0,BH70-AF70)</f>
        <v/>
      </c>
      <c r="BW70" s="191">
        <f>MAX(0,BI70-AG70)</f>
        <v/>
      </c>
      <c r="BX70" s="191">
        <f>MAX(0,BJ70-AH70)</f>
        <v/>
      </c>
      <c r="BY70" s="191">
        <f>MAX(0,BK70-AI70)</f>
        <v/>
      </c>
      <c r="BZ70" s="191">
        <f>MAX(0,BL70-AJ70)</f>
        <v/>
      </c>
      <c r="CA70" s="191">
        <f>MAX(0,BM70-AK70)</f>
        <v/>
      </c>
      <c r="CB70" s="192">
        <f>MAX(0,BN70-AL70)</f>
        <v/>
      </c>
    </row>
    <row r="71">
      <c r="A71" s="64" t="inlineStr">
        <is>
          <t>28088475000109</t>
        </is>
      </c>
      <c r="B71" s="57" t="inlineStr">
        <is>
          <t>NATU &amp; FIT LTDA - ME</t>
        </is>
      </c>
      <c r="C71" s="57" t="inlineStr">
        <is>
          <t>SEM GRUPO</t>
        </is>
      </c>
      <c r="D71" s="61" t="inlineStr">
        <is>
          <t>LARISSA PADILHA</t>
        </is>
      </c>
      <c r="E71" s="30" t="inlineStr">
        <is>
          <t>.</t>
        </is>
      </c>
      <c r="F71" s="63" t="n"/>
      <c r="G71" s="179" t="n"/>
      <c r="H71" s="57" t="n"/>
      <c r="I71" s="57" t="n"/>
      <c r="J71" s="61" t="n"/>
      <c r="K71" s="30" t="inlineStr">
        <is>
          <t>.</t>
        </is>
      </c>
      <c r="L71" s="180" t="n">
        <v>15962.67</v>
      </c>
      <c r="M71" s="181" t="n">
        <v>1121.74</v>
      </c>
      <c r="N71" s="181" t="n">
        <v>1172.18</v>
      </c>
      <c r="O71" s="181" t="n">
        <v>1200.43</v>
      </c>
      <c r="P71" s="181" t="n">
        <v>1231.7</v>
      </c>
      <c r="Q71" s="181" t="n">
        <v>1272.05</v>
      </c>
      <c r="R71" s="181" t="n">
        <v>1305.34</v>
      </c>
      <c r="S71" s="181" t="n">
        <v>1355.78</v>
      </c>
      <c r="T71" s="181" t="n">
        <v>1389.07</v>
      </c>
      <c r="U71" s="181" t="n">
        <v>1420.34</v>
      </c>
      <c r="V71" s="181" t="n">
        <v>1455.64</v>
      </c>
      <c r="W71" s="181" t="n">
        <v>1493.98</v>
      </c>
      <c r="X71" s="182" t="n">
        <v>1544.42</v>
      </c>
      <c r="Y71" s="183" t="inlineStr">
        <is>
          <t>.</t>
        </is>
      </c>
      <c r="Z71" s="184">
        <f>SUM(AA71:AL71)</f>
        <v/>
      </c>
      <c r="AA71" s="185" t="n">
        <v>0</v>
      </c>
      <c r="AB71" s="185" t="n">
        <v>0</v>
      </c>
      <c r="AC71" s="185" t="n">
        <v>681.27</v>
      </c>
      <c r="AD71" s="185" t="n">
        <v>0</v>
      </c>
      <c r="AE71" s="185" t="n">
        <v>1214.09</v>
      </c>
      <c r="AF71" s="185" t="n">
        <v>0</v>
      </c>
      <c r="AG71" s="185" t="n">
        <v>1575.94</v>
      </c>
      <c r="AH71" s="185" t="n">
        <v>0</v>
      </c>
      <c r="AI71" s="185" t="n">
        <v>1719.77</v>
      </c>
      <c r="AJ71" s="185" t="n">
        <v>2465.9</v>
      </c>
      <c r="AK71" s="185" t="n">
        <v>0</v>
      </c>
      <c r="AL71" s="186" t="n">
        <v>0</v>
      </c>
      <c r="AM71" s="30" t="inlineStr">
        <is>
          <t>.</t>
        </is>
      </c>
      <c r="AN71" s="187">
        <f>IF(L71=0,0,Z71/L71)</f>
        <v/>
      </c>
      <c r="AO71" s="57">
        <f>IF(AN71&gt;=1,"🟢",IF(AN71&gt;=0.7,"🟡",IF(AN71&gt;=0.4,"🟠","🔴")))</f>
        <v/>
      </c>
      <c r="AP71" s="185">
        <f>L71-Z71</f>
        <v/>
      </c>
      <c r="AQ71" s="55">
        <f>RANK(Z71,$Z$4:$Z$503,0)</f>
        <v/>
      </c>
      <c r="AR71" s="39" t="inlineStr">
        <is>
          <t>.</t>
        </is>
      </c>
      <c r="AS71" s="27" t="n"/>
      <c r="AT71" s="27" t="n"/>
      <c r="AU71" s="27" t="n"/>
      <c r="AV71" s="27" t="n"/>
      <c r="AW71" s="27" t="n"/>
      <c r="AX71" s="27" t="n"/>
      <c r="AY71" s="204" t="n"/>
      <c r="AZ71" s="204" t="n"/>
      <c r="BA71" s="38" t="inlineStr">
        <is>
          <t>.</t>
        </is>
      </c>
      <c r="BB71" s="190">
        <f>SUM(BC71:BN71)</f>
        <v/>
      </c>
      <c r="BC71" s="191">
        <f>L71*0.0702730030</f>
        <v/>
      </c>
      <c r="BD71" s="191">
        <f>L71*0.0734327604</f>
        <v/>
      </c>
      <c r="BE71" s="191">
        <f>L71*0.0752022245</f>
        <v/>
      </c>
      <c r="BF71" s="191">
        <f>L71*0.0771612740</f>
        <v/>
      </c>
      <c r="BG71" s="191">
        <f>L71*0.0796890799</f>
        <v/>
      </c>
      <c r="BH71" s="191">
        <f>L71*0.0817745197</f>
        <v/>
      </c>
      <c r="BI71" s="191">
        <f>L71*0.0849342770</f>
        <v/>
      </c>
      <c r="BJ71" s="191">
        <f>L71*0.0870197169</f>
        <v/>
      </c>
      <c r="BK71" s="191">
        <f>L71*0.0889787664</f>
        <v/>
      </c>
      <c r="BL71" s="191">
        <f>L71*0.0911905966</f>
        <v/>
      </c>
      <c r="BM71" s="191">
        <f>L71*0.0935920121</f>
        <v/>
      </c>
      <c r="BN71" s="192">
        <f>L71*0.0967517695</f>
        <v/>
      </c>
      <c r="BO71" s="36" t="inlineStr">
        <is>
          <t>.</t>
        </is>
      </c>
      <c r="BP71" s="193">
        <f>SUM(BQ71:CB71)</f>
        <v/>
      </c>
      <c r="BQ71" s="191">
        <f>MAX(0,BC71-AA71)</f>
        <v/>
      </c>
      <c r="BR71" s="191">
        <f>MAX(0,BD71-AB71)</f>
        <v/>
      </c>
      <c r="BS71" s="191">
        <f>MAX(0,BE71-AC71)</f>
        <v/>
      </c>
      <c r="BT71" s="191">
        <f>MAX(0,BF71-AD71)</f>
        <v/>
      </c>
      <c r="BU71" s="191">
        <f>MAX(0,BG71-AE71)</f>
        <v/>
      </c>
      <c r="BV71" s="191">
        <f>MAX(0,BH71-AF71)</f>
        <v/>
      </c>
      <c r="BW71" s="191">
        <f>MAX(0,BI71-AG71)</f>
        <v/>
      </c>
      <c r="BX71" s="191">
        <f>MAX(0,BJ71-AH71)</f>
        <v/>
      </c>
      <c r="BY71" s="191">
        <f>MAX(0,BK71-AI71)</f>
        <v/>
      </c>
      <c r="BZ71" s="191">
        <f>MAX(0,BL71-AJ71)</f>
        <v/>
      </c>
      <c r="CA71" s="191">
        <f>MAX(0,BM71-AK71)</f>
        <v/>
      </c>
      <c r="CB71" s="192">
        <f>MAX(0,BN71-AL71)</f>
        <v/>
      </c>
    </row>
    <row r="72">
      <c r="A72" s="64" t="inlineStr">
        <is>
          <t>34404590000300</t>
        </is>
      </c>
      <c r="B72" s="57" t="inlineStr">
        <is>
          <t>JOAO COSTA SOARES E CIA LTDA</t>
        </is>
      </c>
      <c r="C72" s="57" t="inlineStr">
        <is>
          <t>SEM GRUPO</t>
        </is>
      </c>
      <c r="D72" s="61" t="inlineStr">
        <is>
          <t>LARISSA PADILHA</t>
        </is>
      </c>
      <c r="E72" s="30" t="inlineStr">
        <is>
          <t>.</t>
        </is>
      </c>
      <c r="F72" s="63" t="n"/>
      <c r="G72" s="179" t="n"/>
      <c r="H72" s="57" t="n"/>
      <c r="I72" s="57" t="n"/>
      <c r="J72" s="61" t="n"/>
      <c r="K72" s="30" t="inlineStr">
        <is>
          <t>.</t>
        </is>
      </c>
      <c r="L72" s="180" t="n">
        <v>15690.36</v>
      </c>
      <c r="M72" s="181" t="n">
        <v>1102.61</v>
      </c>
      <c r="N72" s="181" t="n">
        <v>1152.19</v>
      </c>
      <c r="O72" s="181" t="n">
        <v>1179.95</v>
      </c>
      <c r="P72" s="181" t="n">
        <v>1210.69</v>
      </c>
      <c r="Q72" s="181" t="n">
        <v>1250.35</v>
      </c>
      <c r="R72" s="181" t="n">
        <v>1283.07</v>
      </c>
      <c r="S72" s="181" t="n">
        <v>1332.65</v>
      </c>
      <c r="T72" s="181" t="n">
        <v>1365.37</v>
      </c>
      <c r="U72" s="181" t="n">
        <v>1396.11</v>
      </c>
      <c r="V72" s="181" t="n">
        <v>1430.81</v>
      </c>
      <c r="W72" s="181" t="n">
        <v>1468.49</v>
      </c>
      <c r="X72" s="182" t="n">
        <v>1518.07</v>
      </c>
      <c r="Y72" s="183" t="inlineStr">
        <is>
          <t>.</t>
        </is>
      </c>
      <c r="Z72" s="184">
        <f>SUM(AA72:AL72)</f>
        <v/>
      </c>
      <c r="AA72" s="185" t="n">
        <v>5560.21</v>
      </c>
      <c r="AB72" s="185" t="n">
        <v>0</v>
      </c>
      <c r="AC72" s="185" t="n">
        <v>0</v>
      </c>
      <c r="AD72" s="185" t="n">
        <v>0</v>
      </c>
      <c r="AE72" s="185" t="n">
        <v>0</v>
      </c>
      <c r="AF72" s="185" t="n">
        <v>0</v>
      </c>
      <c r="AG72" s="185" t="n">
        <v>0</v>
      </c>
      <c r="AH72" s="185" t="n">
        <v>0</v>
      </c>
      <c r="AI72" s="185" t="n">
        <v>3720.17</v>
      </c>
      <c r="AJ72" s="185" t="n">
        <v>0</v>
      </c>
      <c r="AK72" s="185" t="n">
        <v>0</v>
      </c>
      <c r="AL72" s="186" t="n">
        <v>0</v>
      </c>
      <c r="AM72" s="30" t="inlineStr">
        <is>
          <t>.</t>
        </is>
      </c>
      <c r="AN72" s="187">
        <f>IF(L72=0,0,Z72/L72)</f>
        <v/>
      </c>
      <c r="AO72" s="57">
        <f>IF(AN72&gt;=1,"🟢",IF(AN72&gt;=0.7,"🟡",IF(AN72&gt;=0.4,"🟠","🔴")))</f>
        <v/>
      </c>
      <c r="AP72" s="185">
        <f>L72-Z72</f>
        <v/>
      </c>
      <c r="AQ72" s="55">
        <f>RANK(Z72,$Z$4:$Z$503,0)</f>
        <v/>
      </c>
      <c r="AR72" s="39" t="inlineStr">
        <is>
          <t>.</t>
        </is>
      </c>
      <c r="AS72" s="27" t="n"/>
      <c r="AT72" s="27" t="n"/>
      <c r="AU72" s="27" t="n"/>
      <c r="AV72" s="27" t="n"/>
      <c r="AW72" s="27" t="n"/>
      <c r="AX72" s="27" t="n"/>
      <c r="AY72" s="204" t="n"/>
      <c r="AZ72" s="204" t="n"/>
      <c r="BA72" s="38" t="inlineStr">
        <is>
          <t>.</t>
        </is>
      </c>
      <c r="BB72" s="190">
        <f>SUM(BC72:BN72)</f>
        <v/>
      </c>
      <c r="BC72" s="191">
        <f>L72*0.0702730030</f>
        <v/>
      </c>
      <c r="BD72" s="191">
        <f>L72*0.0734327604</f>
        <v/>
      </c>
      <c r="BE72" s="191">
        <f>L72*0.0752022245</f>
        <v/>
      </c>
      <c r="BF72" s="191">
        <f>L72*0.0771612740</f>
        <v/>
      </c>
      <c r="BG72" s="191">
        <f>L72*0.0796890799</f>
        <v/>
      </c>
      <c r="BH72" s="191">
        <f>L72*0.0817745197</f>
        <v/>
      </c>
      <c r="BI72" s="191">
        <f>L72*0.0849342770</f>
        <v/>
      </c>
      <c r="BJ72" s="191">
        <f>L72*0.0870197169</f>
        <v/>
      </c>
      <c r="BK72" s="191">
        <f>L72*0.0889787664</f>
        <v/>
      </c>
      <c r="BL72" s="191">
        <f>L72*0.0911905966</f>
        <v/>
      </c>
      <c r="BM72" s="191">
        <f>L72*0.0935920121</f>
        <v/>
      </c>
      <c r="BN72" s="192">
        <f>L72*0.0967517695</f>
        <v/>
      </c>
      <c r="BO72" s="36" t="inlineStr">
        <is>
          <t>.</t>
        </is>
      </c>
      <c r="BP72" s="193">
        <f>SUM(BQ72:CB72)</f>
        <v/>
      </c>
      <c r="BQ72" s="191">
        <f>MAX(0,BC72-AA72)</f>
        <v/>
      </c>
      <c r="BR72" s="191">
        <f>MAX(0,BD72-AB72)</f>
        <v/>
      </c>
      <c r="BS72" s="191">
        <f>MAX(0,BE72-AC72)</f>
        <v/>
      </c>
      <c r="BT72" s="191">
        <f>MAX(0,BF72-AD72)</f>
        <v/>
      </c>
      <c r="BU72" s="191">
        <f>MAX(0,BG72-AE72)</f>
        <v/>
      </c>
      <c r="BV72" s="191">
        <f>MAX(0,BH72-AF72)</f>
        <v/>
      </c>
      <c r="BW72" s="191">
        <f>MAX(0,BI72-AG72)</f>
        <v/>
      </c>
      <c r="BX72" s="191">
        <f>MAX(0,BJ72-AH72)</f>
        <v/>
      </c>
      <c r="BY72" s="191">
        <f>MAX(0,BK72-AI72)</f>
        <v/>
      </c>
      <c r="BZ72" s="191">
        <f>MAX(0,BL72-AJ72)</f>
        <v/>
      </c>
      <c r="CA72" s="191">
        <f>MAX(0,BM72-AK72)</f>
        <v/>
      </c>
      <c r="CB72" s="192">
        <f>MAX(0,BN72-AL72)</f>
        <v/>
      </c>
    </row>
    <row r="73">
      <c r="A73" s="64" t="inlineStr">
        <is>
          <t>11322507000188</t>
        </is>
      </c>
      <c r="B73" s="57" t="inlineStr">
        <is>
          <t>IRMAOS PEDROSA LTDA</t>
        </is>
      </c>
      <c r="C73" s="57" t="inlineStr">
        <is>
          <t>SEM GRUPO</t>
        </is>
      </c>
      <c r="D73" s="61" t="inlineStr">
        <is>
          <t>LARISSA PADILHA</t>
        </is>
      </c>
      <c r="E73" s="30" t="inlineStr">
        <is>
          <t>.</t>
        </is>
      </c>
      <c r="F73" s="63" t="n"/>
      <c r="G73" s="179" t="n"/>
      <c r="H73" s="57" t="n"/>
      <c r="I73" s="57" t="n"/>
      <c r="J73" s="61" t="n"/>
      <c r="K73" s="30" t="inlineStr">
        <is>
          <t>.</t>
        </is>
      </c>
      <c r="L73" s="180" t="n">
        <v>15459.55</v>
      </c>
      <c r="M73" s="181" t="n">
        <v>1086.39</v>
      </c>
      <c r="N73" s="181" t="n">
        <v>1135.24</v>
      </c>
      <c r="O73" s="181" t="n">
        <v>1162.59</v>
      </c>
      <c r="P73" s="181" t="n">
        <v>1192.88</v>
      </c>
      <c r="Q73" s="181" t="n">
        <v>1231.96</v>
      </c>
      <c r="R73" s="181" t="n">
        <v>1264.2</v>
      </c>
      <c r="S73" s="181" t="n">
        <v>1313.05</v>
      </c>
      <c r="T73" s="181" t="n">
        <v>1345.28</v>
      </c>
      <c r="U73" s="181" t="n">
        <v>1375.57</v>
      </c>
      <c r="V73" s="181" t="n">
        <v>1409.76</v>
      </c>
      <c r="W73" s="181" t="n">
        <v>1446.89</v>
      </c>
      <c r="X73" s="182" t="n">
        <v>1495.74</v>
      </c>
      <c r="Y73" s="183" t="inlineStr">
        <is>
          <t>.</t>
        </is>
      </c>
      <c r="Z73" s="184">
        <f>SUM(AA73:AL73)</f>
        <v/>
      </c>
      <c r="AA73" s="185" t="n">
        <v>0</v>
      </c>
      <c r="AB73" s="185" t="n">
        <v>0</v>
      </c>
      <c r="AC73" s="185" t="n">
        <v>0</v>
      </c>
      <c r="AD73" s="185" t="n">
        <v>0</v>
      </c>
      <c r="AE73" s="185" t="n">
        <v>0</v>
      </c>
      <c r="AF73" s="185" t="n">
        <v>0</v>
      </c>
      <c r="AG73" s="185" t="n">
        <v>0</v>
      </c>
      <c r="AH73" s="185" t="n">
        <v>4224.11</v>
      </c>
      <c r="AI73" s="185" t="n">
        <v>0</v>
      </c>
      <c r="AJ73" s="185" t="n">
        <v>0</v>
      </c>
      <c r="AK73" s="185" t="n">
        <v>3332.94</v>
      </c>
      <c r="AL73" s="186" t="n">
        <v>0</v>
      </c>
      <c r="AM73" s="30" t="inlineStr">
        <is>
          <t>.</t>
        </is>
      </c>
      <c r="AN73" s="187">
        <f>IF(L73=0,0,Z73/L73)</f>
        <v/>
      </c>
      <c r="AO73" s="57">
        <f>IF(AN73&gt;=1,"🟢",IF(AN73&gt;=0.7,"🟡",IF(AN73&gt;=0.4,"🟠","🔴")))</f>
        <v/>
      </c>
      <c r="AP73" s="185">
        <f>L73-Z73</f>
        <v/>
      </c>
      <c r="AQ73" s="55">
        <f>RANK(Z73,$Z$4:$Z$503,0)</f>
        <v/>
      </c>
      <c r="AR73" s="39" t="inlineStr">
        <is>
          <t>.</t>
        </is>
      </c>
      <c r="AS73" s="27" t="n"/>
      <c r="AT73" s="27" t="n"/>
      <c r="AU73" s="27" t="n"/>
      <c r="AV73" s="27" t="n"/>
      <c r="AW73" s="27" t="n"/>
      <c r="AX73" s="27" t="n"/>
      <c r="AY73" s="204" t="n"/>
      <c r="AZ73" s="204" t="n"/>
      <c r="BA73" s="38" t="inlineStr">
        <is>
          <t>.</t>
        </is>
      </c>
      <c r="BB73" s="190">
        <f>SUM(BC73:BN73)</f>
        <v/>
      </c>
      <c r="BC73" s="191">
        <f>L73*0.0702730030</f>
        <v/>
      </c>
      <c r="BD73" s="191">
        <f>L73*0.0734327604</f>
        <v/>
      </c>
      <c r="BE73" s="191">
        <f>L73*0.0752022245</f>
        <v/>
      </c>
      <c r="BF73" s="191">
        <f>L73*0.0771612740</f>
        <v/>
      </c>
      <c r="BG73" s="191">
        <f>L73*0.0796890799</f>
        <v/>
      </c>
      <c r="BH73" s="191">
        <f>L73*0.0817745197</f>
        <v/>
      </c>
      <c r="BI73" s="191">
        <f>L73*0.0849342770</f>
        <v/>
      </c>
      <c r="BJ73" s="191">
        <f>L73*0.0870197169</f>
        <v/>
      </c>
      <c r="BK73" s="191">
        <f>L73*0.0889787664</f>
        <v/>
      </c>
      <c r="BL73" s="191">
        <f>L73*0.0911905966</f>
        <v/>
      </c>
      <c r="BM73" s="191">
        <f>L73*0.0935920121</f>
        <v/>
      </c>
      <c r="BN73" s="192">
        <f>L73*0.0967517695</f>
        <v/>
      </c>
      <c r="BO73" s="36" t="inlineStr">
        <is>
          <t>.</t>
        </is>
      </c>
      <c r="BP73" s="193">
        <f>SUM(BQ73:CB73)</f>
        <v/>
      </c>
      <c r="BQ73" s="191">
        <f>MAX(0,BC73-AA73)</f>
        <v/>
      </c>
      <c r="BR73" s="191">
        <f>MAX(0,BD73-AB73)</f>
        <v/>
      </c>
      <c r="BS73" s="191">
        <f>MAX(0,BE73-AC73)</f>
        <v/>
      </c>
      <c r="BT73" s="191">
        <f>MAX(0,BF73-AD73)</f>
        <v/>
      </c>
      <c r="BU73" s="191">
        <f>MAX(0,BG73-AE73)</f>
        <v/>
      </c>
      <c r="BV73" s="191">
        <f>MAX(0,BH73-AF73)</f>
        <v/>
      </c>
      <c r="BW73" s="191">
        <f>MAX(0,BI73-AG73)</f>
        <v/>
      </c>
      <c r="BX73" s="191">
        <f>MAX(0,BJ73-AH73)</f>
        <v/>
      </c>
      <c r="BY73" s="191">
        <f>MAX(0,BK73-AI73)</f>
        <v/>
      </c>
      <c r="BZ73" s="191">
        <f>MAX(0,BL73-AJ73)</f>
        <v/>
      </c>
      <c r="CA73" s="191">
        <f>MAX(0,BM73-AK73)</f>
        <v/>
      </c>
      <c r="CB73" s="192">
        <f>MAX(0,BN73-AL73)</f>
        <v/>
      </c>
    </row>
    <row r="74">
      <c r="A74" s="64" t="inlineStr">
        <is>
          <t>04067573000193</t>
        </is>
      </c>
      <c r="B74" s="57" t="inlineStr">
        <is>
          <t>DISTRIBUIDORA LIGEIRINHO DE PRODUTOS ALI</t>
        </is>
      </c>
      <c r="C74" s="57" t="inlineStr">
        <is>
          <t>LIGEIRINHO</t>
        </is>
      </c>
      <c r="D74" s="61" t="inlineStr">
        <is>
          <t>LARISSA PADILHA</t>
        </is>
      </c>
      <c r="E74" s="30" t="inlineStr">
        <is>
          <t>.</t>
        </is>
      </c>
      <c r="F74" s="63" t="n"/>
      <c r="G74" s="179" t="n"/>
      <c r="H74" s="57" t="n"/>
      <c r="I74" s="57" t="n"/>
      <c r="J74" s="61" t="n"/>
      <c r="K74" s="30" t="inlineStr">
        <is>
          <t>.</t>
        </is>
      </c>
      <c r="L74" s="180" t="n">
        <v>15420.92</v>
      </c>
      <c r="M74" s="181" t="n">
        <v>1083.67</v>
      </c>
      <c r="N74" s="181" t="n">
        <v>1132.4</v>
      </c>
      <c r="O74" s="181" t="n">
        <v>1159.69</v>
      </c>
      <c r="P74" s="181" t="n">
        <v>1189.9</v>
      </c>
      <c r="Q74" s="181" t="n">
        <v>1228.88</v>
      </c>
      <c r="R74" s="181" t="n">
        <v>1261.04</v>
      </c>
      <c r="S74" s="181" t="n">
        <v>1309.77</v>
      </c>
      <c r="T74" s="181" t="n">
        <v>1341.92</v>
      </c>
      <c r="U74" s="181" t="n">
        <v>1372.13</v>
      </c>
      <c r="V74" s="181" t="n">
        <v>1406.24</v>
      </c>
      <c r="W74" s="181" t="n">
        <v>1443.28</v>
      </c>
      <c r="X74" s="182" t="n">
        <v>1492</v>
      </c>
      <c r="Y74" s="183" t="inlineStr">
        <is>
          <t>.</t>
        </is>
      </c>
      <c r="Z74" s="184">
        <f>SUM(AA74:AL74)</f>
        <v/>
      </c>
      <c r="AA74" s="185" t="n">
        <v>4361.42</v>
      </c>
      <c r="AB74" s="185" t="n">
        <v>2804.42</v>
      </c>
      <c r="AC74" s="185" t="n">
        <v>1317.43</v>
      </c>
      <c r="AD74" s="185" t="n">
        <v>1211.53</v>
      </c>
      <c r="AE74" s="185" t="n">
        <v>0</v>
      </c>
      <c r="AF74" s="185" t="n">
        <v>0</v>
      </c>
      <c r="AG74" s="185" t="n">
        <v>0</v>
      </c>
      <c r="AH74" s="185" t="n">
        <v>0</v>
      </c>
      <c r="AI74" s="185" t="n">
        <v>0</v>
      </c>
      <c r="AJ74" s="185" t="n">
        <v>0</v>
      </c>
      <c r="AK74" s="185" t="n">
        <v>0</v>
      </c>
      <c r="AL74" s="186" t="n">
        <v>0</v>
      </c>
      <c r="AM74" s="30" t="inlineStr">
        <is>
          <t>.</t>
        </is>
      </c>
      <c r="AN74" s="187">
        <f>IF(L74=0,0,Z74/L74)</f>
        <v/>
      </c>
      <c r="AO74" s="57">
        <f>IF(AN74&gt;=1,"🟢",IF(AN74&gt;=0.7,"🟡",IF(AN74&gt;=0.4,"🟠","🔴")))</f>
        <v/>
      </c>
      <c r="AP74" s="185">
        <f>L74-Z74</f>
        <v/>
      </c>
      <c r="AQ74" s="55">
        <f>RANK(Z74,$Z$4:$Z$503,0)</f>
        <v/>
      </c>
      <c r="AR74" s="39" t="inlineStr">
        <is>
          <t>.</t>
        </is>
      </c>
      <c r="AS74" s="27" t="n"/>
      <c r="AT74" s="27" t="n"/>
      <c r="AU74" s="27" t="n"/>
      <c r="AV74" s="27" t="n"/>
      <c r="AW74" s="27" t="n"/>
      <c r="AX74" s="27" t="n"/>
      <c r="AY74" s="204" t="n"/>
      <c r="AZ74" s="204" t="n"/>
      <c r="BA74" s="38" t="inlineStr">
        <is>
          <t>.</t>
        </is>
      </c>
      <c r="BB74" s="190">
        <f>SUM(BC74:BN74)</f>
        <v/>
      </c>
      <c r="BC74" s="191">
        <f>L74*0.0702730030</f>
        <v/>
      </c>
      <c r="BD74" s="191">
        <f>L74*0.0734327604</f>
        <v/>
      </c>
      <c r="BE74" s="191">
        <f>L74*0.0752022245</f>
        <v/>
      </c>
      <c r="BF74" s="191">
        <f>L74*0.0771612740</f>
        <v/>
      </c>
      <c r="BG74" s="191">
        <f>L74*0.0796890799</f>
        <v/>
      </c>
      <c r="BH74" s="191">
        <f>L74*0.0817745197</f>
        <v/>
      </c>
      <c r="BI74" s="191">
        <f>L74*0.0849342770</f>
        <v/>
      </c>
      <c r="BJ74" s="191">
        <f>L74*0.0870197169</f>
        <v/>
      </c>
      <c r="BK74" s="191">
        <f>L74*0.0889787664</f>
        <v/>
      </c>
      <c r="BL74" s="191">
        <f>L74*0.0911905966</f>
        <v/>
      </c>
      <c r="BM74" s="191">
        <f>L74*0.0935920121</f>
        <v/>
      </c>
      <c r="BN74" s="192">
        <f>L74*0.0967517695</f>
        <v/>
      </c>
      <c r="BO74" s="36" t="inlineStr">
        <is>
          <t>.</t>
        </is>
      </c>
      <c r="BP74" s="193">
        <f>SUM(BQ74:CB74)</f>
        <v/>
      </c>
      <c r="BQ74" s="191">
        <f>MAX(0,BC74-AA74)</f>
        <v/>
      </c>
      <c r="BR74" s="191">
        <f>MAX(0,BD74-AB74)</f>
        <v/>
      </c>
      <c r="BS74" s="191">
        <f>MAX(0,BE74-AC74)</f>
        <v/>
      </c>
      <c r="BT74" s="191">
        <f>MAX(0,BF74-AD74)</f>
        <v/>
      </c>
      <c r="BU74" s="191">
        <f>MAX(0,BG74-AE74)</f>
        <v/>
      </c>
      <c r="BV74" s="191">
        <f>MAX(0,BH74-AF74)</f>
        <v/>
      </c>
      <c r="BW74" s="191">
        <f>MAX(0,BI74-AG74)</f>
        <v/>
      </c>
      <c r="BX74" s="191">
        <f>MAX(0,BJ74-AH74)</f>
        <v/>
      </c>
      <c r="BY74" s="191">
        <f>MAX(0,BK74-AI74)</f>
        <v/>
      </c>
      <c r="BZ74" s="191">
        <f>MAX(0,BL74-AJ74)</f>
        <v/>
      </c>
      <c r="CA74" s="191">
        <f>MAX(0,BM74-AK74)</f>
        <v/>
      </c>
      <c r="CB74" s="192">
        <f>MAX(0,BN74-AL74)</f>
        <v/>
      </c>
    </row>
    <row r="75">
      <c r="A75" s="64" t="inlineStr">
        <is>
          <t>58429130000124</t>
        </is>
      </c>
      <c r="B75" s="57" t="inlineStr">
        <is>
          <t>DS COMERCIAL LTDA - ME</t>
        </is>
      </c>
      <c r="C75" s="57" t="inlineStr">
        <is>
          <t>SEM GRUPO</t>
        </is>
      </c>
      <c r="D75" s="61" t="inlineStr">
        <is>
          <t>LARISSA PADILHA</t>
        </is>
      </c>
      <c r="E75" s="30" t="inlineStr">
        <is>
          <t>.</t>
        </is>
      </c>
      <c r="F75" s="63" t="n"/>
      <c r="G75" s="179" t="n"/>
      <c r="H75" s="57" t="n"/>
      <c r="I75" s="57" t="n"/>
      <c r="J75" s="61" t="n"/>
      <c r="K75" s="30" t="inlineStr">
        <is>
          <t>.</t>
        </is>
      </c>
      <c r="L75" s="180" t="n">
        <v>15287.77</v>
      </c>
      <c r="M75" s="181" t="n">
        <v>1074.32</v>
      </c>
      <c r="N75" s="181" t="n">
        <v>1122.62</v>
      </c>
      <c r="O75" s="181" t="n">
        <v>1149.67</v>
      </c>
      <c r="P75" s="181" t="n">
        <v>1179.62</v>
      </c>
      <c r="Q75" s="181" t="n">
        <v>1218.27</v>
      </c>
      <c r="R75" s="181" t="n">
        <v>1250.15</v>
      </c>
      <c r="S75" s="181" t="n">
        <v>1298.46</v>
      </c>
      <c r="T75" s="181" t="n">
        <v>1330.34</v>
      </c>
      <c r="U75" s="181" t="n">
        <v>1360.29</v>
      </c>
      <c r="V75" s="181" t="n">
        <v>1394.1</v>
      </c>
      <c r="W75" s="181" t="n">
        <v>1430.81</v>
      </c>
      <c r="X75" s="182" t="n">
        <v>1479.12</v>
      </c>
      <c r="Y75" s="183" t="inlineStr">
        <is>
          <t>.</t>
        </is>
      </c>
      <c r="Z75" s="184">
        <f>SUM(AA75:AL75)</f>
        <v/>
      </c>
      <c r="AA75" s="185" t="n">
        <v>0</v>
      </c>
      <c r="AB75" s="185" t="n">
        <v>7844.03</v>
      </c>
      <c r="AC75" s="185" t="n">
        <v>0</v>
      </c>
      <c r="AD75" s="185" t="n">
        <v>0</v>
      </c>
      <c r="AE75" s="185" t="n">
        <v>3338.89</v>
      </c>
      <c r="AF75" s="185" t="n">
        <v>0</v>
      </c>
      <c r="AG75" s="185" t="n">
        <v>0</v>
      </c>
      <c r="AH75" s="185" t="n">
        <v>0</v>
      </c>
      <c r="AI75" s="185" t="n">
        <v>0</v>
      </c>
      <c r="AJ75" s="185" t="n">
        <v>0</v>
      </c>
      <c r="AK75" s="185" t="n">
        <v>0</v>
      </c>
      <c r="AL75" s="186" t="n">
        <v>0</v>
      </c>
      <c r="AM75" s="30" t="inlineStr">
        <is>
          <t>.</t>
        </is>
      </c>
      <c r="AN75" s="187">
        <f>IF(L75=0,0,Z75/L75)</f>
        <v/>
      </c>
      <c r="AO75" s="57">
        <f>IF(AN75&gt;=1,"🟢",IF(AN75&gt;=0.7,"🟡",IF(AN75&gt;=0.4,"🟠","🔴")))</f>
        <v/>
      </c>
      <c r="AP75" s="185">
        <f>L75-Z75</f>
        <v/>
      </c>
      <c r="AQ75" s="55">
        <f>RANK(Z75,$Z$4:$Z$503,0)</f>
        <v/>
      </c>
      <c r="AR75" s="39" t="inlineStr">
        <is>
          <t>.</t>
        </is>
      </c>
      <c r="AS75" s="27" t="n"/>
      <c r="AT75" s="27" t="n"/>
      <c r="AU75" s="27" t="n"/>
      <c r="AV75" s="27" t="n"/>
      <c r="AW75" s="27" t="n"/>
      <c r="AX75" s="27" t="n"/>
      <c r="AY75" s="204" t="n"/>
      <c r="AZ75" s="204" t="n"/>
      <c r="BA75" s="38" t="inlineStr">
        <is>
          <t>.</t>
        </is>
      </c>
      <c r="BB75" s="190">
        <f>SUM(BC75:BN75)</f>
        <v/>
      </c>
      <c r="BC75" s="191">
        <f>L75*0.0702730030</f>
        <v/>
      </c>
      <c r="BD75" s="191">
        <f>L75*0.0734327604</f>
        <v/>
      </c>
      <c r="BE75" s="191">
        <f>L75*0.0752022245</f>
        <v/>
      </c>
      <c r="BF75" s="191">
        <f>L75*0.0771612740</f>
        <v/>
      </c>
      <c r="BG75" s="191">
        <f>L75*0.0796890799</f>
        <v/>
      </c>
      <c r="BH75" s="191">
        <f>L75*0.0817745197</f>
        <v/>
      </c>
      <c r="BI75" s="191">
        <f>L75*0.0849342770</f>
        <v/>
      </c>
      <c r="BJ75" s="191">
        <f>L75*0.0870197169</f>
        <v/>
      </c>
      <c r="BK75" s="191">
        <f>L75*0.0889787664</f>
        <v/>
      </c>
      <c r="BL75" s="191">
        <f>L75*0.0911905966</f>
        <v/>
      </c>
      <c r="BM75" s="191">
        <f>L75*0.0935920121</f>
        <v/>
      </c>
      <c r="BN75" s="192">
        <f>L75*0.0967517695</f>
        <v/>
      </c>
      <c r="BO75" s="36" t="inlineStr">
        <is>
          <t>.</t>
        </is>
      </c>
      <c r="BP75" s="193">
        <f>SUM(BQ75:CB75)</f>
        <v/>
      </c>
      <c r="BQ75" s="191">
        <f>MAX(0,BC75-AA75)</f>
        <v/>
      </c>
      <c r="BR75" s="191">
        <f>MAX(0,BD75-AB75)</f>
        <v/>
      </c>
      <c r="BS75" s="191">
        <f>MAX(0,BE75-AC75)</f>
        <v/>
      </c>
      <c r="BT75" s="191">
        <f>MAX(0,BF75-AD75)</f>
        <v/>
      </c>
      <c r="BU75" s="191">
        <f>MAX(0,BG75-AE75)</f>
        <v/>
      </c>
      <c r="BV75" s="191">
        <f>MAX(0,BH75-AF75)</f>
        <v/>
      </c>
      <c r="BW75" s="191">
        <f>MAX(0,BI75-AG75)</f>
        <v/>
      </c>
      <c r="BX75" s="191">
        <f>MAX(0,BJ75-AH75)</f>
        <v/>
      </c>
      <c r="BY75" s="191">
        <f>MAX(0,BK75-AI75)</f>
        <v/>
      </c>
      <c r="BZ75" s="191">
        <f>MAX(0,BL75-AJ75)</f>
        <v/>
      </c>
      <c r="CA75" s="191">
        <f>MAX(0,BM75-AK75)</f>
        <v/>
      </c>
      <c r="CB75" s="192">
        <f>MAX(0,BN75-AL75)</f>
        <v/>
      </c>
    </row>
    <row r="76">
      <c r="A76" s="64" t="inlineStr">
        <is>
          <t>09185428000120</t>
        </is>
      </c>
      <c r="B76" s="57" t="inlineStr">
        <is>
          <t>NATURVIDA MERCADO SAUDAVEL LTDA - ME</t>
        </is>
      </c>
      <c r="C76" s="57" t="inlineStr">
        <is>
          <t>NATURVIDA</t>
        </is>
      </c>
      <c r="D76" s="61" t="inlineStr">
        <is>
          <t>HEMANUELE DITZEL (MANU)</t>
        </is>
      </c>
      <c r="E76" s="30" t="inlineStr">
        <is>
          <t>.</t>
        </is>
      </c>
      <c r="F76" s="63" t="n"/>
      <c r="G76" s="179" t="n"/>
      <c r="H76" s="57" t="n"/>
      <c r="I76" s="57" t="n"/>
      <c r="J76" s="61" t="n"/>
      <c r="K76" s="30" t="inlineStr">
        <is>
          <t>.</t>
        </is>
      </c>
      <c r="L76" s="180" t="n">
        <v>15208.07</v>
      </c>
      <c r="M76" s="181" t="n">
        <v>1068.72</v>
      </c>
      <c r="N76" s="181" t="n">
        <v>1116.77</v>
      </c>
      <c r="O76" s="181" t="n">
        <v>1143.68</v>
      </c>
      <c r="P76" s="181" t="n">
        <v>1173.47</v>
      </c>
      <c r="Q76" s="181" t="n">
        <v>1211.92</v>
      </c>
      <c r="R76" s="181" t="n">
        <v>1243.63</v>
      </c>
      <c r="S76" s="181" t="n">
        <v>1291.69</v>
      </c>
      <c r="T76" s="181" t="n">
        <v>1323.4</v>
      </c>
      <c r="U76" s="181" t="n">
        <v>1353.2</v>
      </c>
      <c r="V76" s="181" t="n">
        <v>1386.83</v>
      </c>
      <c r="W76" s="181" t="n">
        <v>1423.35</v>
      </c>
      <c r="X76" s="182" t="n">
        <v>1471.41</v>
      </c>
      <c r="Y76" s="183" t="inlineStr">
        <is>
          <t>.</t>
        </is>
      </c>
      <c r="Z76" s="184">
        <f>SUM(AA76:AL76)</f>
        <v/>
      </c>
      <c r="AA76" s="185" t="n">
        <v>0</v>
      </c>
      <c r="AB76" s="185" t="n">
        <v>0</v>
      </c>
      <c r="AC76" s="185" t="n">
        <v>0</v>
      </c>
      <c r="AD76" s="185" t="n">
        <v>0</v>
      </c>
      <c r="AE76" s="185" t="n">
        <v>0</v>
      </c>
      <c r="AF76" s="185" t="n">
        <v>1118.79</v>
      </c>
      <c r="AG76" s="185" t="n">
        <v>0</v>
      </c>
      <c r="AH76" s="185" t="n">
        <v>1895.04</v>
      </c>
      <c r="AI76" s="185" t="n">
        <v>997.55</v>
      </c>
      <c r="AJ76" s="185" t="n">
        <v>2434.87</v>
      </c>
      <c r="AK76" s="185" t="n">
        <v>0</v>
      </c>
      <c r="AL76" s="186" t="n">
        <v>646.6</v>
      </c>
      <c r="AM76" s="30" t="inlineStr">
        <is>
          <t>.</t>
        </is>
      </c>
      <c r="AN76" s="187">
        <f>IF(L76=0,0,Z76/L76)</f>
        <v/>
      </c>
      <c r="AO76" s="57">
        <f>IF(AN76&gt;=1,"🟢",IF(AN76&gt;=0.7,"🟡",IF(AN76&gt;=0.4,"🟠","🔴")))</f>
        <v/>
      </c>
      <c r="AP76" s="185">
        <f>L76-Z76</f>
        <v/>
      </c>
      <c r="AQ76" s="55">
        <f>RANK(Z76,$Z$4:$Z$503,0)</f>
        <v/>
      </c>
      <c r="AR76" s="39" t="inlineStr">
        <is>
          <t>.</t>
        </is>
      </c>
      <c r="AS76" s="27" t="n"/>
      <c r="AT76" s="27" t="n"/>
      <c r="AU76" s="27" t="n"/>
      <c r="AV76" s="27" t="n"/>
      <c r="AW76" s="27" t="n"/>
      <c r="AX76" s="27" t="n"/>
      <c r="AY76" s="204" t="n"/>
      <c r="AZ76" s="204" t="n"/>
      <c r="BA76" s="38" t="inlineStr">
        <is>
          <t>.</t>
        </is>
      </c>
      <c r="BB76" s="190">
        <f>SUM(BC76:BN76)</f>
        <v/>
      </c>
      <c r="BC76" s="191">
        <f>L76*0.0702730030</f>
        <v/>
      </c>
      <c r="BD76" s="191">
        <f>L76*0.0734327604</f>
        <v/>
      </c>
      <c r="BE76" s="191">
        <f>L76*0.0752022245</f>
        <v/>
      </c>
      <c r="BF76" s="191">
        <f>L76*0.0771612740</f>
        <v/>
      </c>
      <c r="BG76" s="191">
        <f>L76*0.0796890799</f>
        <v/>
      </c>
      <c r="BH76" s="191">
        <f>L76*0.0817745197</f>
        <v/>
      </c>
      <c r="BI76" s="191">
        <f>L76*0.0849342770</f>
        <v/>
      </c>
      <c r="BJ76" s="191">
        <f>L76*0.0870197169</f>
        <v/>
      </c>
      <c r="BK76" s="191">
        <f>L76*0.0889787664</f>
        <v/>
      </c>
      <c r="BL76" s="191">
        <f>L76*0.0911905966</f>
        <v/>
      </c>
      <c r="BM76" s="191">
        <f>L76*0.0935920121</f>
        <v/>
      </c>
      <c r="BN76" s="192">
        <f>L76*0.0967517695</f>
        <v/>
      </c>
      <c r="BO76" s="36" t="inlineStr">
        <is>
          <t>.</t>
        </is>
      </c>
      <c r="BP76" s="193">
        <f>SUM(BQ76:CB76)</f>
        <v/>
      </c>
      <c r="BQ76" s="191">
        <f>MAX(0,BC76-AA76)</f>
        <v/>
      </c>
      <c r="BR76" s="191">
        <f>MAX(0,BD76-AB76)</f>
        <v/>
      </c>
      <c r="BS76" s="191">
        <f>MAX(0,BE76-AC76)</f>
        <v/>
      </c>
      <c r="BT76" s="191">
        <f>MAX(0,BF76-AD76)</f>
        <v/>
      </c>
      <c r="BU76" s="191">
        <f>MAX(0,BG76-AE76)</f>
        <v/>
      </c>
      <c r="BV76" s="191">
        <f>MAX(0,BH76-AF76)</f>
        <v/>
      </c>
      <c r="BW76" s="191">
        <f>MAX(0,BI76-AG76)</f>
        <v/>
      </c>
      <c r="BX76" s="191">
        <f>MAX(0,BJ76-AH76)</f>
        <v/>
      </c>
      <c r="BY76" s="191">
        <f>MAX(0,BK76-AI76)</f>
        <v/>
      </c>
      <c r="BZ76" s="191">
        <f>MAX(0,BL76-AJ76)</f>
        <v/>
      </c>
      <c r="CA76" s="191">
        <f>MAX(0,BM76-AK76)</f>
        <v/>
      </c>
      <c r="CB76" s="192">
        <f>MAX(0,BN76-AL76)</f>
        <v/>
      </c>
    </row>
    <row r="77">
      <c r="A77" s="64" t="inlineStr">
        <is>
          <t>61327765000125</t>
        </is>
      </c>
      <c r="B77" s="57" t="inlineStr">
        <is>
          <t>CARLA P DA SILVA LTDA - ME</t>
        </is>
      </c>
      <c r="C77" s="57" t="inlineStr">
        <is>
          <t>VIDA LEVE</t>
        </is>
      </c>
      <c r="D77" s="61" t="inlineStr">
        <is>
          <t>DAIANE STAVICKI</t>
        </is>
      </c>
      <c r="E77" s="30" t="inlineStr">
        <is>
          <t>.</t>
        </is>
      </c>
      <c r="F77" s="63" t="n">
        <v>81</v>
      </c>
      <c r="G77" s="179" t="n">
        <v>0.08</v>
      </c>
      <c r="H77" s="57" t="inlineStr">
        <is>
          <t>🔴 VERMELHO</t>
        </is>
      </c>
      <c r="I77" s="57" t="inlineStr">
        <is>
          <t>ATIVAÇÃO</t>
        </is>
      </c>
      <c r="J77" s="61" t="inlineStr">
        <is>
          <t>Reativar inativos + Prospectar</t>
        </is>
      </c>
      <c r="K77" s="30" t="inlineStr">
        <is>
          <t>.</t>
        </is>
      </c>
      <c r="L77" s="180" t="n">
        <v>15194.72</v>
      </c>
      <c r="M77" s="181" t="n">
        <v>1067.78</v>
      </c>
      <c r="N77" s="181" t="n">
        <v>1115.79</v>
      </c>
      <c r="O77" s="181" t="n">
        <v>1142.68</v>
      </c>
      <c r="P77" s="181" t="n">
        <v>1172.44</v>
      </c>
      <c r="Q77" s="181" t="n">
        <v>1210.85</v>
      </c>
      <c r="R77" s="181" t="n">
        <v>1242.54</v>
      </c>
      <c r="S77" s="181" t="n">
        <v>1290.55</v>
      </c>
      <c r="T77" s="181" t="n">
        <v>1322.24</v>
      </c>
      <c r="U77" s="181" t="n">
        <v>1352.01</v>
      </c>
      <c r="V77" s="181" t="n">
        <v>1385.62</v>
      </c>
      <c r="W77" s="181" t="n">
        <v>1422.1</v>
      </c>
      <c r="X77" s="182" t="n">
        <v>1470.12</v>
      </c>
      <c r="Y77" s="183" t="inlineStr">
        <is>
          <t>.</t>
        </is>
      </c>
      <c r="Z77" s="184">
        <f>SUM(AA77:AL77)</f>
        <v/>
      </c>
      <c r="AA77" s="185" t="n">
        <v>0</v>
      </c>
      <c r="AB77" s="185" t="n">
        <v>0</v>
      </c>
      <c r="AC77" s="185" t="n">
        <v>0</v>
      </c>
      <c r="AD77" s="185" t="n">
        <v>0</v>
      </c>
      <c r="AE77" s="185" t="n">
        <v>0</v>
      </c>
      <c r="AF77" s="185" t="n">
        <v>0</v>
      </c>
      <c r="AG77" s="185" t="n">
        <v>0</v>
      </c>
      <c r="AH77" s="185" t="n">
        <v>0</v>
      </c>
      <c r="AI77" s="185" t="n">
        <v>4072.21</v>
      </c>
      <c r="AJ77" s="185" t="n">
        <v>2127.22</v>
      </c>
      <c r="AK77" s="185" t="n">
        <v>0</v>
      </c>
      <c r="AL77" s="186" t="n">
        <v>1286.68</v>
      </c>
      <c r="AM77" s="30" t="inlineStr">
        <is>
          <t>.</t>
        </is>
      </c>
      <c r="AN77" s="187">
        <f>IF(L77=0,0,Z77/L77)</f>
        <v/>
      </c>
      <c r="AO77" s="57">
        <f>IF(AN77&gt;=1,"🟢",IF(AN77&gt;=0.7,"🟡",IF(AN77&gt;=0.4,"🟠","🔴")))</f>
        <v/>
      </c>
      <c r="AP77" s="185">
        <f>L77-Z77</f>
        <v/>
      </c>
      <c r="AQ77" s="55">
        <f>RANK(Z77,$Z$4:$Z$503,0)</f>
        <v/>
      </c>
      <c r="AR77" s="39" t="inlineStr">
        <is>
          <t>.</t>
        </is>
      </c>
      <c r="AS77" s="27" t="n"/>
      <c r="AT77" s="27" t="n"/>
      <c r="AU77" s="27" t="n"/>
      <c r="AV77" s="27" t="n"/>
      <c r="AW77" s="27" t="n"/>
      <c r="AX77" s="27" t="n"/>
      <c r="AY77" s="204" t="n"/>
      <c r="AZ77" s="204" t="n"/>
      <c r="BA77" s="38" t="inlineStr">
        <is>
          <t>.</t>
        </is>
      </c>
      <c r="BB77" s="190">
        <f>SUM(BC77:BN77)</f>
        <v/>
      </c>
      <c r="BC77" s="191">
        <f>L77*0.0702730030</f>
        <v/>
      </c>
      <c r="BD77" s="191">
        <f>L77*0.0734327604</f>
        <v/>
      </c>
      <c r="BE77" s="191">
        <f>L77*0.0752022245</f>
        <v/>
      </c>
      <c r="BF77" s="191">
        <f>L77*0.0771612740</f>
        <v/>
      </c>
      <c r="BG77" s="191">
        <f>L77*0.0796890799</f>
        <v/>
      </c>
      <c r="BH77" s="191">
        <f>L77*0.0817745197</f>
        <v/>
      </c>
      <c r="BI77" s="191">
        <f>L77*0.0849342770</f>
        <v/>
      </c>
      <c r="BJ77" s="191">
        <f>L77*0.0870197169</f>
        <v/>
      </c>
      <c r="BK77" s="191">
        <f>L77*0.0889787664</f>
        <v/>
      </c>
      <c r="BL77" s="191">
        <f>L77*0.0911905966</f>
        <v/>
      </c>
      <c r="BM77" s="191">
        <f>L77*0.0935920121</f>
        <v/>
      </c>
      <c r="BN77" s="192">
        <f>L77*0.0967517695</f>
        <v/>
      </c>
      <c r="BO77" s="36" t="inlineStr">
        <is>
          <t>.</t>
        </is>
      </c>
      <c r="BP77" s="193">
        <f>SUM(BQ77:CB77)</f>
        <v/>
      </c>
      <c r="BQ77" s="191">
        <f>MAX(0,BC77-AA77)</f>
        <v/>
      </c>
      <c r="BR77" s="191">
        <f>MAX(0,BD77-AB77)</f>
        <v/>
      </c>
      <c r="BS77" s="191">
        <f>MAX(0,BE77-AC77)</f>
        <v/>
      </c>
      <c r="BT77" s="191">
        <f>MAX(0,BF77-AD77)</f>
        <v/>
      </c>
      <c r="BU77" s="191">
        <f>MAX(0,BG77-AE77)</f>
        <v/>
      </c>
      <c r="BV77" s="191">
        <f>MAX(0,BH77-AF77)</f>
        <v/>
      </c>
      <c r="BW77" s="191">
        <f>MAX(0,BI77-AG77)</f>
        <v/>
      </c>
      <c r="BX77" s="191">
        <f>MAX(0,BJ77-AH77)</f>
        <v/>
      </c>
      <c r="BY77" s="191">
        <f>MAX(0,BK77-AI77)</f>
        <v/>
      </c>
      <c r="BZ77" s="191">
        <f>MAX(0,BL77-AJ77)</f>
        <v/>
      </c>
      <c r="CA77" s="191">
        <f>MAX(0,BM77-AK77)</f>
        <v/>
      </c>
      <c r="CB77" s="192">
        <f>MAX(0,BN77-AL77)</f>
        <v/>
      </c>
    </row>
    <row r="78">
      <c r="A78" s="64" t="inlineStr">
        <is>
          <t>01385423000130</t>
        </is>
      </c>
      <c r="B78" s="57" t="inlineStr">
        <is>
          <t>REDE NOVO TEMPO DE COMUNICACAO</t>
        </is>
      </c>
      <c r="C78" s="57" t="inlineStr">
        <is>
          <t>SEM GRUPO</t>
        </is>
      </c>
      <c r="D78" s="61" t="inlineStr">
        <is>
          <t>LARISSA PADILHA</t>
        </is>
      </c>
      <c r="E78" s="30" t="inlineStr">
        <is>
          <t>.</t>
        </is>
      </c>
      <c r="F78" s="63" t="n"/>
      <c r="G78" s="179" t="n"/>
      <c r="H78" s="57" t="n"/>
      <c r="I78" s="57" t="n"/>
      <c r="J78" s="61" t="n"/>
      <c r="K78" s="30" t="inlineStr">
        <is>
          <t>.</t>
        </is>
      </c>
      <c r="L78" s="180" t="n">
        <v>15166.53</v>
      </c>
      <c r="M78" s="181" t="n">
        <v>1065.8</v>
      </c>
      <c r="N78" s="181" t="n">
        <v>1113.72</v>
      </c>
      <c r="O78" s="181" t="n">
        <v>1140.56</v>
      </c>
      <c r="P78" s="181" t="n">
        <v>1170.27</v>
      </c>
      <c r="Q78" s="181" t="n">
        <v>1208.61</v>
      </c>
      <c r="R78" s="181" t="n">
        <v>1240.23</v>
      </c>
      <c r="S78" s="181" t="n">
        <v>1288.16</v>
      </c>
      <c r="T78" s="181" t="n">
        <v>1319.79</v>
      </c>
      <c r="U78" s="181" t="n">
        <v>1349.5</v>
      </c>
      <c r="V78" s="181" t="n">
        <v>1383.04</v>
      </c>
      <c r="W78" s="181" t="n">
        <v>1419.46</v>
      </c>
      <c r="X78" s="182" t="n">
        <v>1467.39</v>
      </c>
      <c r="Y78" s="183" t="inlineStr">
        <is>
          <t>.</t>
        </is>
      </c>
      <c r="Z78" s="184">
        <f>SUM(AA78:AL78)</f>
        <v/>
      </c>
      <c r="AA78" s="185" t="n">
        <v>0</v>
      </c>
      <c r="AB78" s="185" t="n">
        <v>0</v>
      </c>
      <c r="AC78" s="185" t="n">
        <v>0</v>
      </c>
      <c r="AD78" s="185" t="n">
        <v>0</v>
      </c>
      <c r="AE78" s="185" t="n">
        <v>0</v>
      </c>
      <c r="AF78" s="185" t="n">
        <v>0</v>
      </c>
      <c r="AG78" s="185" t="n">
        <v>0</v>
      </c>
      <c r="AH78" s="185" t="n">
        <v>1406.2</v>
      </c>
      <c r="AI78" s="185" t="n">
        <v>2208.05</v>
      </c>
      <c r="AJ78" s="185" t="n">
        <v>0</v>
      </c>
      <c r="AK78" s="185" t="n">
        <v>3709.77</v>
      </c>
      <c r="AL78" s="186" t="n">
        <v>0</v>
      </c>
      <c r="AM78" s="30" t="inlineStr">
        <is>
          <t>.</t>
        </is>
      </c>
      <c r="AN78" s="187">
        <f>IF(L78=0,0,Z78/L78)</f>
        <v/>
      </c>
      <c r="AO78" s="57">
        <f>IF(AN78&gt;=1,"🟢",IF(AN78&gt;=0.7,"🟡",IF(AN78&gt;=0.4,"🟠","🔴")))</f>
        <v/>
      </c>
      <c r="AP78" s="185">
        <f>L78-Z78</f>
        <v/>
      </c>
      <c r="AQ78" s="55">
        <f>RANK(Z78,$Z$4:$Z$503,0)</f>
        <v/>
      </c>
      <c r="AR78" s="39" t="inlineStr">
        <is>
          <t>.</t>
        </is>
      </c>
      <c r="AS78" s="27" t="n"/>
      <c r="AT78" s="27" t="n"/>
      <c r="AU78" s="27" t="n"/>
      <c r="AV78" s="27" t="n"/>
      <c r="AW78" s="27" t="n"/>
      <c r="AX78" s="27" t="n"/>
      <c r="AY78" s="204" t="n"/>
      <c r="AZ78" s="204" t="n"/>
      <c r="BA78" s="38" t="inlineStr">
        <is>
          <t>.</t>
        </is>
      </c>
      <c r="BB78" s="190">
        <f>SUM(BC78:BN78)</f>
        <v/>
      </c>
      <c r="BC78" s="191">
        <f>L78*0.0702730030</f>
        <v/>
      </c>
      <c r="BD78" s="191">
        <f>L78*0.0734327604</f>
        <v/>
      </c>
      <c r="BE78" s="191">
        <f>L78*0.0752022245</f>
        <v/>
      </c>
      <c r="BF78" s="191">
        <f>L78*0.0771612740</f>
        <v/>
      </c>
      <c r="BG78" s="191">
        <f>L78*0.0796890799</f>
        <v/>
      </c>
      <c r="BH78" s="191">
        <f>L78*0.0817745197</f>
        <v/>
      </c>
      <c r="BI78" s="191">
        <f>L78*0.0849342770</f>
        <v/>
      </c>
      <c r="BJ78" s="191">
        <f>L78*0.0870197169</f>
        <v/>
      </c>
      <c r="BK78" s="191">
        <f>L78*0.0889787664</f>
        <v/>
      </c>
      <c r="BL78" s="191">
        <f>L78*0.0911905966</f>
        <v/>
      </c>
      <c r="BM78" s="191">
        <f>L78*0.0935920121</f>
        <v/>
      </c>
      <c r="BN78" s="192">
        <f>L78*0.0967517695</f>
        <v/>
      </c>
      <c r="BO78" s="36" t="inlineStr">
        <is>
          <t>.</t>
        </is>
      </c>
      <c r="BP78" s="193">
        <f>SUM(BQ78:CB78)</f>
        <v/>
      </c>
      <c r="BQ78" s="191">
        <f>MAX(0,BC78-AA78)</f>
        <v/>
      </c>
      <c r="BR78" s="191">
        <f>MAX(0,BD78-AB78)</f>
        <v/>
      </c>
      <c r="BS78" s="191">
        <f>MAX(0,BE78-AC78)</f>
        <v/>
      </c>
      <c r="BT78" s="191">
        <f>MAX(0,BF78-AD78)</f>
        <v/>
      </c>
      <c r="BU78" s="191">
        <f>MAX(0,BG78-AE78)</f>
        <v/>
      </c>
      <c r="BV78" s="191">
        <f>MAX(0,BH78-AF78)</f>
        <v/>
      </c>
      <c r="BW78" s="191">
        <f>MAX(0,BI78-AG78)</f>
        <v/>
      </c>
      <c r="BX78" s="191">
        <f>MAX(0,BJ78-AH78)</f>
        <v/>
      </c>
      <c r="BY78" s="191">
        <f>MAX(0,BK78-AI78)</f>
        <v/>
      </c>
      <c r="BZ78" s="191">
        <f>MAX(0,BL78-AJ78)</f>
        <v/>
      </c>
      <c r="CA78" s="191">
        <f>MAX(0,BM78-AK78)</f>
        <v/>
      </c>
      <c r="CB78" s="192">
        <f>MAX(0,BN78-AL78)</f>
        <v/>
      </c>
    </row>
    <row r="79">
      <c r="A79" s="64" t="inlineStr">
        <is>
          <t>46945954000178</t>
        </is>
      </c>
      <c r="B79" s="57" t="inlineStr">
        <is>
          <t>BIO SC COMERCIO DE ALIMENTOS LTDA - ME</t>
        </is>
      </c>
      <c r="C79" s="57" t="inlineStr">
        <is>
          <t>BIO MUNDO</t>
        </is>
      </c>
      <c r="D79" s="61" t="inlineStr">
        <is>
          <t>DAIANE STAVICKI</t>
        </is>
      </c>
      <c r="E79" s="30" t="inlineStr">
        <is>
          <t>.</t>
        </is>
      </c>
      <c r="F79" s="63" t="n">
        <v>167</v>
      </c>
      <c r="G79" s="179" t="n">
        <v>0.014</v>
      </c>
      <c r="H79" s="57" t="inlineStr">
        <is>
          <t>🔴 VERMELHO</t>
        </is>
      </c>
      <c r="I79" s="57" t="inlineStr">
        <is>
          <t>ATIVAÇÃO</t>
        </is>
      </c>
      <c r="J79" s="61" t="inlineStr">
        <is>
          <t>Reativar inativos + Prospectar</t>
        </is>
      </c>
      <c r="K79" s="30" t="inlineStr">
        <is>
          <t>.</t>
        </is>
      </c>
      <c r="L79" s="180" t="n">
        <v>14756.19</v>
      </c>
      <c r="M79" s="181" t="n">
        <v>1036.96</v>
      </c>
      <c r="N79" s="181" t="n">
        <v>1083.59</v>
      </c>
      <c r="O79" s="181" t="n">
        <v>1109.7</v>
      </c>
      <c r="P79" s="181" t="n">
        <v>1138.61</v>
      </c>
      <c r="Q79" s="181" t="n">
        <v>1175.91</v>
      </c>
      <c r="R79" s="181" t="n">
        <v>1206.68</v>
      </c>
      <c r="S79" s="181" t="n">
        <v>1253.3</v>
      </c>
      <c r="T79" s="181" t="n">
        <v>1284.08</v>
      </c>
      <c r="U79" s="181" t="n">
        <v>1312.99</v>
      </c>
      <c r="V79" s="181" t="n">
        <v>1345.62</v>
      </c>
      <c r="W79" s="181" t="n">
        <v>1381.06</v>
      </c>
      <c r="X79" s="182" t="n">
        <v>1427.69</v>
      </c>
      <c r="Y79" s="183" t="inlineStr">
        <is>
          <t>.</t>
        </is>
      </c>
      <c r="Z79" s="184">
        <f>SUM(AA79:AL79)</f>
        <v/>
      </c>
      <c r="AA79" s="185" t="n">
        <v>360.01</v>
      </c>
      <c r="AB79" s="185" t="n">
        <v>0</v>
      </c>
      <c r="AC79" s="185" t="n">
        <v>0</v>
      </c>
      <c r="AD79" s="185" t="n">
        <v>1317.87</v>
      </c>
      <c r="AE79" s="185" t="n">
        <v>0</v>
      </c>
      <c r="AF79" s="185" t="n">
        <v>1229.84</v>
      </c>
      <c r="AG79" s="185" t="n">
        <v>0</v>
      </c>
      <c r="AH79" s="185" t="n">
        <v>1395.66</v>
      </c>
      <c r="AI79" s="185" t="n">
        <v>0</v>
      </c>
      <c r="AJ79" s="185" t="n">
        <v>3651.22</v>
      </c>
      <c r="AK79" s="185" t="n">
        <v>0</v>
      </c>
      <c r="AL79" s="186" t="n">
        <v>0</v>
      </c>
      <c r="AM79" s="30" t="inlineStr">
        <is>
          <t>.</t>
        </is>
      </c>
      <c r="AN79" s="187">
        <f>IF(L79=0,0,Z79/L79)</f>
        <v/>
      </c>
      <c r="AO79" s="57">
        <f>IF(AN79&gt;=1,"🟢",IF(AN79&gt;=0.7,"🟡",IF(AN79&gt;=0.4,"🟠","🔴")))</f>
        <v/>
      </c>
      <c r="AP79" s="185">
        <f>L79-Z79</f>
        <v/>
      </c>
      <c r="AQ79" s="55">
        <f>RANK(Z79,$Z$4:$Z$503,0)</f>
        <v/>
      </c>
      <c r="AR79" s="39" t="inlineStr">
        <is>
          <t>.</t>
        </is>
      </c>
      <c r="AS79" s="27" t="n"/>
      <c r="AT79" s="27" t="n"/>
      <c r="AU79" s="27" t="n"/>
      <c r="AV79" s="27" t="n"/>
      <c r="AW79" s="27" t="n"/>
      <c r="AX79" s="27" t="n"/>
      <c r="AY79" s="204" t="n"/>
      <c r="AZ79" s="204" t="n"/>
      <c r="BA79" s="38" t="inlineStr">
        <is>
          <t>.</t>
        </is>
      </c>
      <c r="BB79" s="190">
        <f>SUM(BC79:BN79)</f>
        <v/>
      </c>
      <c r="BC79" s="191">
        <f>L79*0.0702730030</f>
        <v/>
      </c>
      <c r="BD79" s="191">
        <f>L79*0.0734327604</f>
        <v/>
      </c>
      <c r="BE79" s="191">
        <f>L79*0.0752022245</f>
        <v/>
      </c>
      <c r="BF79" s="191">
        <f>L79*0.0771612740</f>
        <v/>
      </c>
      <c r="BG79" s="191">
        <f>L79*0.0796890799</f>
        <v/>
      </c>
      <c r="BH79" s="191">
        <f>L79*0.0817745197</f>
        <v/>
      </c>
      <c r="BI79" s="191">
        <f>L79*0.0849342770</f>
        <v/>
      </c>
      <c r="BJ79" s="191">
        <f>L79*0.0870197169</f>
        <v/>
      </c>
      <c r="BK79" s="191">
        <f>L79*0.0889787664</f>
        <v/>
      </c>
      <c r="BL79" s="191">
        <f>L79*0.0911905966</f>
        <v/>
      </c>
      <c r="BM79" s="191">
        <f>L79*0.0935920121</f>
        <v/>
      </c>
      <c r="BN79" s="192">
        <f>L79*0.0967517695</f>
        <v/>
      </c>
      <c r="BO79" s="36" t="inlineStr">
        <is>
          <t>.</t>
        </is>
      </c>
      <c r="BP79" s="193">
        <f>SUM(BQ79:CB79)</f>
        <v/>
      </c>
      <c r="BQ79" s="191">
        <f>MAX(0,BC79-AA79)</f>
        <v/>
      </c>
      <c r="BR79" s="191">
        <f>MAX(0,BD79-AB79)</f>
        <v/>
      </c>
      <c r="BS79" s="191">
        <f>MAX(0,BE79-AC79)</f>
        <v/>
      </c>
      <c r="BT79" s="191">
        <f>MAX(0,BF79-AD79)</f>
        <v/>
      </c>
      <c r="BU79" s="191">
        <f>MAX(0,BG79-AE79)</f>
        <v/>
      </c>
      <c r="BV79" s="191">
        <f>MAX(0,BH79-AF79)</f>
        <v/>
      </c>
      <c r="BW79" s="191">
        <f>MAX(0,BI79-AG79)</f>
        <v/>
      </c>
      <c r="BX79" s="191">
        <f>MAX(0,BJ79-AH79)</f>
        <v/>
      </c>
      <c r="BY79" s="191">
        <f>MAX(0,BK79-AI79)</f>
        <v/>
      </c>
      <c r="BZ79" s="191">
        <f>MAX(0,BL79-AJ79)</f>
        <v/>
      </c>
      <c r="CA79" s="191">
        <f>MAX(0,BM79-AK79)</f>
        <v/>
      </c>
      <c r="CB79" s="192">
        <f>MAX(0,BN79-AL79)</f>
        <v/>
      </c>
    </row>
    <row r="80">
      <c r="A80" s="64" t="inlineStr">
        <is>
          <t>55717635000104</t>
        </is>
      </c>
      <c r="B80" s="57" t="inlineStr">
        <is>
          <t>EPERCAM PRODUTOS NATURAIS E SUPLEMENTOS</t>
        </is>
      </c>
      <c r="C80" s="57" t="inlineStr">
        <is>
          <t>FITLAND</t>
        </is>
      </c>
      <c r="D80" s="61" t="inlineStr">
        <is>
          <t>JULIO GADRET</t>
        </is>
      </c>
      <c r="E80" s="30" t="inlineStr">
        <is>
          <t>.</t>
        </is>
      </c>
      <c r="F80" s="63" t="n">
        <v>89</v>
      </c>
      <c r="G80" s="179" t="n">
        <v>0.298</v>
      </c>
      <c r="H80" s="57" t="inlineStr">
        <is>
          <t>🔴 VERMELHO</t>
        </is>
      </c>
      <c r="I80" s="57" t="inlineStr">
        <is>
          <t>POSITIVAÇÃO</t>
        </is>
      </c>
      <c r="J80" s="61" t="inlineStr">
        <is>
          <t>Aumentar frequência + Expandir base</t>
        </is>
      </c>
      <c r="K80" s="30" t="inlineStr">
        <is>
          <t>.</t>
        </is>
      </c>
      <c r="L80" s="180" t="n">
        <v>14106.57</v>
      </c>
      <c r="M80" s="181" t="n">
        <v>991.3099999999999</v>
      </c>
      <c r="N80" s="181" t="n">
        <v>1035.88</v>
      </c>
      <c r="O80" s="181" t="n">
        <v>1060.85</v>
      </c>
      <c r="P80" s="181" t="n">
        <v>1088.48</v>
      </c>
      <c r="Q80" s="181" t="n">
        <v>1124.14</v>
      </c>
      <c r="R80" s="181" t="n">
        <v>1153.56</v>
      </c>
      <c r="S80" s="181" t="n">
        <v>1198.13</v>
      </c>
      <c r="T80" s="181" t="n">
        <v>1227.55</v>
      </c>
      <c r="U80" s="181" t="n">
        <v>1255.18</v>
      </c>
      <c r="V80" s="181" t="n">
        <v>1286.39</v>
      </c>
      <c r="W80" s="181" t="n">
        <v>1320.26</v>
      </c>
      <c r="X80" s="182" t="n">
        <v>1364.84</v>
      </c>
      <c r="Y80" s="183" t="inlineStr">
        <is>
          <t>.</t>
        </is>
      </c>
      <c r="Z80" s="184">
        <f>SUM(AA80:AL80)</f>
        <v/>
      </c>
      <c r="AA80" s="185" t="n">
        <v>710.16</v>
      </c>
      <c r="AB80" s="185" t="n">
        <v>0</v>
      </c>
      <c r="AC80" s="185" t="n">
        <v>0</v>
      </c>
      <c r="AD80" s="185" t="n">
        <v>0</v>
      </c>
      <c r="AE80" s="185" t="n">
        <v>0</v>
      </c>
      <c r="AF80" s="185" t="n">
        <v>1697.17</v>
      </c>
      <c r="AG80" s="185" t="n">
        <v>0</v>
      </c>
      <c r="AH80" s="185" t="n">
        <v>2348.86</v>
      </c>
      <c r="AI80" s="185" t="n">
        <v>0</v>
      </c>
      <c r="AJ80" s="185" t="n">
        <v>0</v>
      </c>
      <c r="AK80" s="185" t="n">
        <v>0</v>
      </c>
      <c r="AL80" s="186" t="n">
        <v>1530.69</v>
      </c>
      <c r="AM80" s="30" t="inlineStr">
        <is>
          <t>.</t>
        </is>
      </c>
      <c r="AN80" s="187">
        <f>IF(L80=0,0,Z80/L80)</f>
        <v/>
      </c>
      <c r="AO80" s="57">
        <f>IF(AN80&gt;=1,"🟢",IF(AN80&gt;=0.7,"🟡",IF(AN80&gt;=0.4,"🟠","🔴")))</f>
        <v/>
      </c>
      <c r="AP80" s="185">
        <f>L80-Z80</f>
        <v/>
      </c>
      <c r="AQ80" s="55">
        <f>RANK(Z80,$Z$4:$Z$503,0)</f>
        <v/>
      </c>
      <c r="AR80" s="39" t="inlineStr">
        <is>
          <t>.</t>
        </is>
      </c>
      <c r="AS80" s="27" t="n"/>
      <c r="AT80" s="27" t="n"/>
      <c r="AU80" s="27" t="n"/>
      <c r="AV80" s="27" t="n"/>
      <c r="AW80" s="27" t="n"/>
      <c r="AX80" s="27" t="n"/>
      <c r="AY80" s="204" t="n"/>
      <c r="AZ80" s="204" t="n"/>
      <c r="BA80" s="38" t="inlineStr">
        <is>
          <t>.</t>
        </is>
      </c>
      <c r="BB80" s="190">
        <f>SUM(BC80:BN80)</f>
        <v/>
      </c>
      <c r="BC80" s="191">
        <f>L80*0.0702730030</f>
        <v/>
      </c>
      <c r="BD80" s="191">
        <f>L80*0.0734327604</f>
        <v/>
      </c>
      <c r="BE80" s="191">
        <f>L80*0.0752022245</f>
        <v/>
      </c>
      <c r="BF80" s="191">
        <f>L80*0.0771612740</f>
        <v/>
      </c>
      <c r="BG80" s="191">
        <f>L80*0.0796890799</f>
        <v/>
      </c>
      <c r="BH80" s="191">
        <f>L80*0.0817745197</f>
        <v/>
      </c>
      <c r="BI80" s="191">
        <f>L80*0.0849342770</f>
        <v/>
      </c>
      <c r="BJ80" s="191">
        <f>L80*0.0870197169</f>
        <v/>
      </c>
      <c r="BK80" s="191">
        <f>L80*0.0889787664</f>
        <v/>
      </c>
      <c r="BL80" s="191">
        <f>L80*0.0911905966</f>
        <v/>
      </c>
      <c r="BM80" s="191">
        <f>L80*0.0935920121</f>
        <v/>
      </c>
      <c r="BN80" s="192">
        <f>L80*0.0967517695</f>
        <v/>
      </c>
      <c r="BO80" s="36" t="inlineStr">
        <is>
          <t>.</t>
        </is>
      </c>
      <c r="BP80" s="193">
        <f>SUM(BQ80:CB80)</f>
        <v/>
      </c>
      <c r="BQ80" s="191">
        <f>MAX(0,BC80-AA80)</f>
        <v/>
      </c>
      <c r="BR80" s="191">
        <f>MAX(0,BD80-AB80)</f>
        <v/>
      </c>
      <c r="BS80" s="191">
        <f>MAX(0,BE80-AC80)</f>
        <v/>
      </c>
      <c r="BT80" s="191">
        <f>MAX(0,BF80-AD80)</f>
        <v/>
      </c>
      <c r="BU80" s="191">
        <f>MAX(0,BG80-AE80)</f>
        <v/>
      </c>
      <c r="BV80" s="191">
        <f>MAX(0,BH80-AF80)</f>
        <v/>
      </c>
      <c r="BW80" s="191">
        <f>MAX(0,BI80-AG80)</f>
        <v/>
      </c>
      <c r="BX80" s="191">
        <f>MAX(0,BJ80-AH80)</f>
        <v/>
      </c>
      <c r="BY80" s="191">
        <f>MAX(0,BK80-AI80)</f>
        <v/>
      </c>
      <c r="BZ80" s="191">
        <f>MAX(0,BL80-AJ80)</f>
        <v/>
      </c>
      <c r="CA80" s="191">
        <f>MAX(0,BM80-AK80)</f>
        <v/>
      </c>
      <c r="CB80" s="192">
        <f>MAX(0,BN80-AL80)</f>
        <v/>
      </c>
    </row>
    <row r="81">
      <c r="A81" s="64" t="inlineStr">
        <is>
          <t>03554611000331</t>
        </is>
      </c>
      <c r="B81" s="57" t="inlineStr">
        <is>
          <t>HOTEL CURITIBA CAPITAL S/A</t>
        </is>
      </c>
      <c r="C81" s="57" t="inlineStr">
        <is>
          <t>SEM GRUPO</t>
        </is>
      </c>
      <c r="D81" s="61" t="inlineStr">
        <is>
          <t>HEMANUELE DITZEL (MANU)</t>
        </is>
      </c>
      <c r="E81" s="30" t="inlineStr">
        <is>
          <t>.</t>
        </is>
      </c>
      <c r="F81" s="63" t="n"/>
      <c r="G81" s="179" t="n"/>
      <c r="H81" s="57" t="n"/>
      <c r="I81" s="57" t="n"/>
      <c r="J81" s="61" t="n"/>
      <c r="K81" s="30" t="inlineStr">
        <is>
          <t>.</t>
        </is>
      </c>
      <c r="L81" s="180" t="n">
        <v>14090.22</v>
      </c>
      <c r="M81" s="181" t="n">
        <v>990.16</v>
      </c>
      <c r="N81" s="181" t="n">
        <v>1034.68</v>
      </c>
      <c r="O81" s="181" t="n">
        <v>1059.62</v>
      </c>
      <c r="P81" s="181" t="n">
        <v>1087.22</v>
      </c>
      <c r="Q81" s="181" t="n">
        <v>1122.84</v>
      </c>
      <c r="R81" s="181" t="n">
        <v>1152.22</v>
      </c>
      <c r="S81" s="181" t="n">
        <v>1196.74</v>
      </c>
      <c r="T81" s="181" t="n">
        <v>1226.13</v>
      </c>
      <c r="U81" s="181" t="n">
        <v>1253.73</v>
      </c>
      <c r="V81" s="181" t="n">
        <v>1284.9</v>
      </c>
      <c r="W81" s="181" t="n">
        <v>1318.73</v>
      </c>
      <c r="X81" s="182" t="n">
        <v>1363.25</v>
      </c>
      <c r="Y81" s="183" t="inlineStr">
        <is>
          <t>.</t>
        </is>
      </c>
      <c r="Z81" s="184">
        <f>SUM(AA81:AL81)</f>
        <v/>
      </c>
      <c r="AA81" s="185" t="n">
        <v>887.54</v>
      </c>
      <c r="AB81" s="185" t="n">
        <v>0</v>
      </c>
      <c r="AC81" s="185" t="n">
        <v>0</v>
      </c>
      <c r="AD81" s="185" t="n">
        <v>847.75</v>
      </c>
      <c r="AE81" s="185" t="n">
        <v>0</v>
      </c>
      <c r="AF81" s="185" t="n">
        <v>727.96</v>
      </c>
      <c r="AG81" s="185" t="n">
        <v>1078.38</v>
      </c>
      <c r="AH81" s="185" t="n">
        <v>0</v>
      </c>
      <c r="AI81" s="185" t="n">
        <v>1101.58</v>
      </c>
      <c r="AJ81" s="185" t="n">
        <v>0</v>
      </c>
      <c r="AK81" s="185" t="n">
        <v>1199.75</v>
      </c>
      <c r="AL81" s="186" t="n">
        <v>831.15</v>
      </c>
      <c r="AM81" s="30" t="inlineStr">
        <is>
          <t>.</t>
        </is>
      </c>
      <c r="AN81" s="187">
        <f>IF(L81=0,0,Z81/L81)</f>
        <v/>
      </c>
      <c r="AO81" s="57">
        <f>IF(AN81&gt;=1,"🟢",IF(AN81&gt;=0.7,"🟡",IF(AN81&gt;=0.4,"🟠","🔴")))</f>
        <v/>
      </c>
      <c r="AP81" s="185">
        <f>L81-Z81</f>
        <v/>
      </c>
      <c r="AQ81" s="55">
        <f>RANK(Z81,$Z$4:$Z$503,0)</f>
        <v/>
      </c>
      <c r="AR81" s="39" t="inlineStr">
        <is>
          <t>.</t>
        </is>
      </c>
      <c r="AS81" s="27" t="n"/>
      <c r="AT81" s="27" t="n"/>
      <c r="AU81" s="27" t="n"/>
      <c r="AV81" s="27" t="n"/>
      <c r="AW81" s="27" t="n"/>
      <c r="AX81" s="27" t="n"/>
      <c r="AY81" s="204" t="n"/>
      <c r="AZ81" s="204" t="n"/>
      <c r="BA81" s="38" t="inlineStr">
        <is>
          <t>.</t>
        </is>
      </c>
      <c r="BB81" s="190">
        <f>SUM(BC81:BN81)</f>
        <v/>
      </c>
      <c r="BC81" s="191">
        <f>L81*0.0702730030</f>
        <v/>
      </c>
      <c r="BD81" s="191">
        <f>L81*0.0734327604</f>
        <v/>
      </c>
      <c r="BE81" s="191">
        <f>L81*0.0752022245</f>
        <v/>
      </c>
      <c r="BF81" s="191">
        <f>L81*0.0771612740</f>
        <v/>
      </c>
      <c r="BG81" s="191">
        <f>L81*0.0796890799</f>
        <v/>
      </c>
      <c r="BH81" s="191">
        <f>L81*0.0817745197</f>
        <v/>
      </c>
      <c r="BI81" s="191">
        <f>L81*0.0849342770</f>
        <v/>
      </c>
      <c r="BJ81" s="191">
        <f>L81*0.0870197169</f>
        <v/>
      </c>
      <c r="BK81" s="191">
        <f>L81*0.0889787664</f>
        <v/>
      </c>
      <c r="BL81" s="191">
        <f>L81*0.0911905966</f>
        <v/>
      </c>
      <c r="BM81" s="191">
        <f>L81*0.0935920121</f>
        <v/>
      </c>
      <c r="BN81" s="192">
        <f>L81*0.0967517695</f>
        <v/>
      </c>
      <c r="BO81" s="36" t="inlineStr">
        <is>
          <t>.</t>
        </is>
      </c>
      <c r="BP81" s="193">
        <f>SUM(BQ81:CB81)</f>
        <v/>
      </c>
      <c r="BQ81" s="191">
        <f>MAX(0,BC81-AA81)</f>
        <v/>
      </c>
      <c r="BR81" s="191">
        <f>MAX(0,BD81-AB81)</f>
        <v/>
      </c>
      <c r="BS81" s="191">
        <f>MAX(0,BE81-AC81)</f>
        <v/>
      </c>
      <c r="BT81" s="191">
        <f>MAX(0,BF81-AD81)</f>
        <v/>
      </c>
      <c r="BU81" s="191">
        <f>MAX(0,BG81-AE81)</f>
        <v/>
      </c>
      <c r="BV81" s="191">
        <f>MAX(0,BH81-AF81)</f>
        <v/>
      </c>
      <c r="BW81" s="191">
        <f>MAX(0,BI81-AG81)</f>
        <v/>
      </c>
      <c r="BX81" s="191">
        <f>MAX(0,BJ81-AH81)</f>
        <v/>
      </c>
      <c r="BY81" s="191">
        <f>MAX(0,BK81-AI81)</f>
        <v/>
      </c>
      <c r="BZ81" s="191">
        <f>MAX(0,BL81-AJ81)</f>
        <v/>
      </c>
      <c r="CA81" s="191">
        <f>MAX(0,BM81-AK81)</f>
        <v/>
      </c>
      <c r="CB81" s="192">
        <f>MAX(0,BN81-AL81)</f>
        <v/>
      </c>
    </row>
    <row r="82">
      <c r="A82" s="64" t="inlineStr">
        <is>
          <t>06982791000189</t>
        </is>
      </c>
      <c r="B82" s="57" t="inlineStr">
        <is>
          <t>OSANA PAULETTI LTDA - EPP</t>
        </is>
      </c>
      <c r="C82" s="57" t="inlineStr">
        <is>
          <t>SEM GRUPO</t>
        </is>
      </c>
      <c r="D82" s="61" t="inlineStr">
        <is>
          <t>HEMANUELE DITZEL (MANU)</t>
        </is>
      </c>
      <c r="E82" s="30" t="inlineStr">
        <is>
          <t>.</t>
        </is>
      </c>
      <c r="F82" s="63" t="n"/>
      <c r="G82" s="179" t="n"/>
      <c r="H82" s="57" t="n"/>
      <c r="I82" s="57" t="n"/>
      <c r="J82" s="61" t="n"/>
      <c r="K82" s="30" t="inlineStr">
        <is>
          <t>.</t>
        </is>
      </c>
      <c r="L82" s="180" t="n">
        <v>13859.97</v>
      </c>
      <c r="M82" s="181" t="n">
        <v>973.98</v>
      </c>
      <c r="N82" s="181" t="n">
        <v>1017.78</v>
      </c>
      <c r="O82" s="181" t="n">
        <v>1042.3</v>
      </c>
      <c r="P82" s="181" t="n">
        <v>1069.45</v>
      </c>
      <c r="Q82" s="181" t="n">
        <v>1104.49</v>
      </c>
      <c r="R82" s="181" t="n">
        <v>1133.39</v>
      </c>
      <c r="S82" s="181" t="n">
        <v>1177.19</v>
      </c>
      <c r="T82" s="181" t="n">
        <v>1206.09</v>
      </c>
      <c r="U82" s="181" t="n">
        <v>1233.24</v>
      </c>
      <c r="V82" s="181" t="n">
        <v>1263.9</v>
      </c>
      <c r="W82" s="181" t="n">
        <v>1297.18</v>
      </c>
      <c r="X82" s="182" t="n">
        <v>1340.98</v>
      </c>
      <c r="Y82" s="183" t="inlineStr">
        <is>
          <t>.</t>
        </is>
      </c>
      <c r="Z82" s="184">
        <f>SUM(AA82:AL82)</f>
        <v/>
      </c>
      <c r="AA82" s="185" t="n">
        <v>0</v>
      </c>
      <c r="AB82" s="185" t="n">
        <v>0</v>
      </c>
      <c r="AC82" s="185" t="n">
        <v>3931.38</v>
      </c>
      <c r="AD82" s="185" t="n">
        <v>0</v>
      </c>
      <c r="AE82" s="185" t="n">
        <v>1568.65</v>
      </c>
      <c r="AF82" s="185" t="n">
        <v>0</v>
      </c>
      <c r="AG82" s="185" t="n">
        <v>0</v>
      </c>
      <c r="AH82" s="185" t="n">
        <v>0</v>
      </c>
      <c r="AI82" s="185" t="n">
        <v>0</v>
      </c>
      <c r="AJ82" s="185" t="n">
        <v>0</v>
      </c>
      <c r="AK82" s="185" t="n">
        <v>0</v>
      </c>
      <c r="AL82" s="186" t="n">
        <v>0</v>
      </c>
      <c r="AM82" s="30" t="inlineStr">
        <is>
          <t>.</t>
        </is>
      </c>
      <c r="AN82" s="187">
        <f>IF(L82=0,0,Z82/L82)</f>
        <v/>
      </c>
      <c r="AO82" s="57">
        <f>IF(AN82&gt;=1,"🟢",IF(AN82&gt;=0.7,"🟡",IF(AN82&gt;=0.4,"🟠","🔴")))</f>
        <v/>
      </c>
      <c r="AP82" s="185">
        <f>L82-Z82</f>
        <v/>
      </c>
      <c r="AQ82" s="55">
        <f>RANK(Z82,$Z$4:$Z$503,0)</f>
        <v/>
      </c>
      <c r="AR82" s="39" t="inlineStr">
        <is>
          <t>.</t>
        </is>
      </c>
      <c r="AS82" s="27" t="n"/>
      <c r="AT82" s="27" t="n"/>
      <c r="AU82" s="27" t="n"/>
      <c r="AV82" s="27" t="n"/>
      <c r="AW82" s="27" t="n"/>
      <c r="AX82" s="27" t="n"/>
      <c r="AY82" s="204" t="n"/>
      <c r="AZ82" s="204" t="n"/>
      <c r="BA82" s="38" t="inlineStr">
        <is>
          <t>.</t>
        </is>
      </c>
      <c r="BB82" s="190">
        <f>SUM(BC82:BN82)</f>
        <v/>
      </c>
      <c r="BC82" s="191">
        <f>L82*0.0702730030</f>
        <v/>
      </c>
      <c r="BD82" s="191">
        <f>L82*0.0734327604</f>
        <v/>
      </c>
      <c r="BE82" s="191">
        <f>L82*0.0752022245</f>
        <v/>
      </c>
      <c r="BF82" s="191">
        <f>L82*0.0771612740</f>
        <v/>
      </c>
      <c r="BG82" s="191">
        <f>L82*0.0796890799</f>
        <v/>
      </c>
      <c r="BH82" s="191">
        <f>L82*0.0817745197</f>
        <v/>
      </c>
      <c r="BI82" s="191">
        <f>L82*0.0849342770</f>
        <v/>
      </c>
      <c r="BJ82" s="191">
        <f>L82*0.0870197169</f>
        <v/>
      </c>
      <c r="BK82" s="191">
        <f>L82*0.0889787664</f>
        <v/>
      </c>
      <c r="BL82" s="191">
        <f>L82*0.0911905966</f>
        <v/>
      </c>
      <c r="BM82" s="191">
        <f>L82*0.0935920121</f>
        <v/>
      </c>
      <c r="BN82" s="192">
        <f>L82*0.0967517695</f>
        <v/>
      </c>
      <c r="BO82" s="36" t="inlineStr">
        <is>
          <t>.</t>
        </is>
      </c>
      <c r="BP82" s="193">
        <f>SUM(BQ82:CB82)</f>
        <v/>
      </c>
      <c r="BQ82" s="191">
        <f>MAX(0,BC82-AA82)</f>
        <v/>
      </c>
      <c r="BR82" s="191">
        <f>MAX(0,BD82-AB82)</f>
        <v/>
      </c>
      <c r="BS82" s="191">
        <f>MAX(0,BE82-AC82)</f>
        <v/>
      </c>
      <c r="BT82" s="191">
        <f>MAX(0,BF82-AD82)</f>
        <v/>
      </c>
      <c r="BU82" s="191">
        <f>MAX(0,BG82-AE82)</f>
        <v/>
      </c>
      <c r="BV82" s="191">
        <f>MAX(0,BH82-AF82)</f>
        <v/>
      </c>
      <c r="BW82" s="191">
        <f>MAX(0,BI82-AG82)</f>
        <v/>
      </c>
      <c r="BX82" s="191">
        <f>MAX(0,BJ82-AH82)</f>
        <v/>
      </c>
      <c r="BY82" s="191">
        <f>MAX(0,BK82-AI82)</f>
        <v/>
      </c>
      <c r="BZ82" s="191">
        <f>MAX(0,BL82-AJ82)</f>
        <v/>
      </c>
      <c r="CA82" s="191">
        <f>MAX(0,BM82-AK82)</f>
        <v/>
      </c>
      <c r="CB82" s="192">
        <f>MAX(0,BN82-AL82)</f>
        <v/>
      </c>
    </row>
    <row r="83">
      <c r="A83" s="64" t="inlineStr">
        <is>
          <t>07192414001342</t>
        </is>
      </c>
      <c r="B83" s="57" t="inlineStr">
        <is>
          <t>COSTA OESTE SERVICOS LTDA</t>
        </is>
      </c>
      <c r="C83" s="57" t="inlineStr">
        <is>
          <t>SEM GRUPO</t>
        </is>
      </c>
      <c r="D83" s="61" t="inlineStr">
        <is>
          <t>HEMANUELE DITZEL (MANU)</t>
        </is>
      </c>
      <c r="E83" s="30" t="inlineStr">
        <is>
          <t>.</t>
        </is>
      </c>
      <c r="F83" s="63" t="n"/>
      <c r="G83" s="179" t="n"/>
      <c r="H83" s="57" t="n"/>
      <c r="I83" s="57" t="n"/>
      <c r="J83" s="61" t="n"/>
      <c r="K83" s="30" t="inlineStr">
        <is>
          <t>.</t>
        </is>
      </c>
      <c r="L83" s="180" t="n">
        <v>13815.81</v>
      </c>
      <c r="M83" s="181" t="n">
        <v>970.88</v>
      </c>
      <c r="N83" s="181" t="n">
        <v>1014.53</v>
      </c>
      <c r="O83" s="181" t="n">
        <v>1038.98</v>
      </c>
      <c r="P83" s="181" t="n">
        <v>1066.05</v>
      </c>
      <c r="Q83" s="181" t="n">
        <v>1100.97</v>
      </c>
      <c r="R83" s="181" t="n">
        <v>1129.78</v>
      </c>
      <c r="S83" s="181" t="n">
        <v>1173.44</v>
      </c>
      <c r="T83" s="181" t="n">
        <v>1202.25</v>
      </c>
      <c r="U83" s="181" t="n">
        <v>1229.31</v>
      </c>
      <c r="V83" s="181" t="n">
        <v>1259.87</v>
      </c>
      <c r="W83" s="181" t="n">
        <v>1293.05</v>
      </c>
      <c r="X83" s="182" t="n">
        <v>1336.7</v>
      </c>
      <c r="Y83" s="183" t="inlineStr">
        <is>
          <t>.</t>
        </is>
      </c>
      <c r="Z83" s="184">
        <f>SUM(AA83:AL83)</f>
        <v/>
      </c>
      <c r="AA83" s="185" t="n">
        <v>0</v>
      </c>
      <c r="AB83" s="185" t="n">
        <v>0</v>
      </c>
      <c r="AC83" s="185" t="n">
        <v>3920.98</v>
      </c>
      <c r="AD83" s="185" t="n">
        <v>0</v>
      </c>
      <c r="AE83" s="185" t="n">
        <v>0</v>
      </c>
      <c r="AF83" s="185" t="n">
        <v>0</v>
      </c>
      <c r="AG83" s="185" t="n">
        <v>0</v>
      </c>
      <c r="AH83" s="185" t="n">
        <v>1621.62</v>
      </c>
      <c r="AI83" s="185" t="n">
        <v>0</v>
      </c>
      <c r="AJ83" s="185" t="n">
        <v>0</v>
      </c>
      <c r="AK83" s="185" t="n">
        <v>0</v>
      </c>
      <c r="AL83" s="186" t="n">
        <v>0</v>
      </c>
      <c r="AM83" s="30" t="inlineStr">
        <is>
          <t>.</t>
        </is>
      </c>
      <c r="AN83" s="187">
        <f>IF(L83=0,0,Z83/L83)</f>
        <v/>
      </c>
      <c r="AO83" s="57">
        <f>IF(AN83&gt;=1,"🟢",IF(AN83&gt;=0.7,"🟡",IF(AN83&gt;=0.4,"🟠","🔴")))</f>
        <v/>
      </c>
      <c r="AP83" s="185">
        <f>L83-Z83</f>
        <v/>
      </c>
      <c r="AQ83" s="55">
        <f>RANK(Z83,$Z$4:$Z$503,0)</f>
        <v/>
      </c>
      <c r="AR83" s="39" t="inlineStr">
        <is>
          <t>.</t>
        </is>
      </c>
      <c r="AS83" s="27" t="n"/>
      <c r="AT83" s="27" t="n"/>
      <c r="AU83" s="27" t="n"/>
      <c r="AV83" s="27" t="n"/>
      <c r="AW83" s="27" t="n"/>
      <c r="AX83" s="27" t="n"/>
      <c r="AY83" s="204" t="n"/>
      <c r="AZ83" s="204" t="n"/>
      <c r="BA83" s="38" t="inlineStr">
        <is>
          <t>.</t>
        </is>
      </c>
      <c r="BB83" s="190">
        <f>SUM(BC83:BN83)</f>
        <v/>
      </c>
      <c r="BC83" s="191">
        <f>L83*0.0702730030</f>
        <v/>
      </c>
      <c r="BD83" s="191">
        <f>L83*0.0734327604</f>
        <v/>
      </c>
      <c r="BE83" s="191">
        <f>L83*0.0752022245</f>
        <v/>
      </c>
      <c r="BF83" s="191">
        <f>L83*0.0771612740</f>
        <v/>
      </c>
      <c r="BG83" s="191">
        <f>L83*0.0796890799</f>
        <v/>
      </c>
      <c r="BH83" s="191">
        <f>L83*0.0817745197</f>
        <v/>
      </c>
      <c r="BI83" s="191">
        <f>L83*0.0849342770</f>
        <v/>
      </c>
      <c r="BJ83" s="191">
        <f>L83*0.0870197169</f>
        <v/>
      </c>
      <c r="BK83" s="191">
        <f>L83*0.0889787664</f>
        <v/>
      </c>
      <c r="BL83" s="191">
        <f>L83*0.0911905966</f>
        <v/>
      </c>
      <c r="BM83" s="191">
        <f>L83*0.0935920121</f>
        <v/>
      </c>
      <c r="BN83" s="192">
        <f>L83*0.0967517695</f>
        <v/>
      </c>
      <c r="BO83" s="36" t="inlineStr">
        <is>
          <t>.</t>
        </is>
      </c>
      <c r="BP83" s="193">
        <f>SUM(BQ83:CB83)</f>
        <v/>
      </c>
      <c r="BQ83" s="191">
        <f>MAX(0,BC83-AA83)</f>
        <v/>
      </c>
      <c r="BR83" s="191">
        <f>MAX(0,BD83-AB83)</f>
        <v/>
      </c>
      <c r="BS83" s="191">
        <f>MAX(0,BE83-AC83)</f>
        <v/>
      </c>
      <c r="BT83" s="191">
        <f>MAX(0,BF83-AD83)</f>
        <v/>
      </c>
      <c r="BU83" s="191">
        <f>MAX(0,BG83-AE83)</f>
        <v/>
      </c>
      <c r="BV83" s="191">
        <f>MAX(0,BH83-AF83)</f>
        <v/>
      </c>
      <c r="BW83" s="191">
        <f>MAX(0,BI83-AG83)</f>
        <v/>
      </c>
      <c r="BX83" s="191">
        <f>MAX(0,BJ83-AH83)</f>
        <v/>
      </c>
      <c r="BY83" s="191">
        <f>MAX(0,BK83-AI83)</f>
        <v/>
      </c>
      <c r="BZ83" s="191">
        <f>MAX(0,BL83-AJ83)</f>
        <v/>
      </c>
      <c r="CA83" s="191">
        <f>MAX(0,BM83-AK83)</f>
        <v/>
      </c>
      <c r="CB83" s="192">
        <f>MAX(0,BN83-AL83)</f>
        <v/>
      </c>
    </row>
    <row r="84">
      <c r="A84" s="64" t="inlineStr">
        <is>
          <t>31727331000151</t>
        </is>
      </c>
      <c r="B84" s="57" t="inlineStr">
        <is>
          <t>PIQUINIQUE FRESH FOOD LTDA - ME</t>
        </is>
      </c>
      <c r="C84" s="57" t="inlineStr">
        <is>
          <t>SEM GRUPO</t>
        </is>
      </c>
      <c r="D84" s="61" t="inlineStr">
        <is>
          <t>HEMANUELE DITZEL (MANU)</t>
        </is>
      </c>
      <c r="E84" s="30" t="inlineStr">
        <is>
          <t>.</t>
        </is>
      </c>
      <c r="F84" s="63" t="n"/>
      <c r="G84" s="179" t="n"/>
      <c r="H84" s="57" t="n"/>
      <c r="I84" s="57" t="n"/>
      <c r="J84" s="61" t="n"/>
      <c r="K84" s="30" t="inlineStr">
        <is>
          <t>.</t>
        </is>
      </c>
      <c r="L84" s="180" t="n">
        <v>13720.22</v>
      </c>
      <c r="M84" s="181" t="n">
        <v>964.16</v>
      </c>
      <c r="N84" s="181" t="n">
        <v>1007.51</v>
      </c>
      <c r="O84" s="181" t="n">
        <v>1031.79</v>
      </c>
      <c r="P84" s="181" t="n">
        <v>1058.67</v>
      </c>
      <c r="Q84" s="181" t="n">
        <v>1093.35</v>
      </c>
      <c r="R84" s="181" t="n">
        <v>1121.96</v>
      </c>
      <c r="S84" s="181" t="n">
        <v>1165.32</v>
      </c>
      <c r="T84" s="181" t="n">
        <v>1193.93</v>
      </c>
      <c r="U84" s="181" t="n">
        <v>1220.81</v>
      </c>
      <c r="V84" s="181" t="n">
        <v>1251.16</v>
      </c>
      <c r="W84" s="181" t="n">
        <v>1284.1</v>
      </c>
      <c r="X84" s="182" t="n">
        <v>1327.46</v>
      </c>
      <c r="Y84" s="183" t="inlineStr">
        <is>
          <t>.</t>
        </is>
      </c>
      <c r="Z84" s="184">
        <f>SUM(AA84:AL84)</f>
        <v/>
      </c>
      <c r="AA84" s="185" t="n">
        <v>2041.35</v>
      </c>
      <c r="AB84" s="185" t="n">
        <v>0</v>
      </c>
      <c r="AC84" s="185" t="n">
        <v>0</v>
      </c>
      <c r="AD84" s="185" t="n">
        <v>888.74</v>
      </c>
      <c r="AE84" s="185" t="n">
        <v>0</v>
      </c>
      <c r="AF84" s="185" t="n">
        <v>0</v>
      </c>
      <c r="AG84" s="185" t="n">
        <v>1452.97</v>
      </c>
      <c r="AH84" s="185" t="n">
        <v>0</v>
      </c>
      <c r="AI84" s="185" t="n">
        <v>0</v>
      </c>
      <c r="AJ84" s="185" t="n">
        <v>0</v>
      </c>
      <c r="AK84" s="185" t="n">
        <v>1528.03</v>
      </c>
      <c r="AL84" s="186" t="n">
        <v>0</v>
      </c>
      <c r="AM84" s="30" t="inlineStr">
        <is>
          <t>.</t>
        </is>
      </c>
      <c r="AN84" s="187">
        <f>IF(L84=0,0,Z84/L84)</f>
        <v/>
      </c>
      <c r="AO84" s="57">
        <f>IF(AN84&gt;=1,"🟢",IF(AN84&gt;=0.7,"🟡",IF(AN84&gt;=0.4,"🟠","🔴")))</f>
        <v/>
      </c>
      <c r="AP84" s="185">
        <f>L84-Z84</f>
        <v/>
      </c>
      <c r="AQ84" s="55">
        <f>RANK(Z84,$Z$4:$Z$503,0)</f>
        <v/>
      </c>
      <c r="AR84" s="39" t="inlineStr">
        <is>
          <t>.</t>
        </is>
      </c>
      <c r="AS84" s="27" t="n"/>
      <c r="AT84" s="27" t="n"/>
      <c r="AU84" s="27" t="n"/>
      <c r="AV84" s="27" t="n"/>
      <c r="AW84" s="27" t="n"/>
      <c r="AX84" s="27" t="n"/>
      <c r="AY84" s="204" t="n"/>
      <c r="AZ84" s="204" t="n"/>
      <c r="BA84" s="38" t="inlineStr">
        <is>
          <t>.</t>
        </is>
      </c>
      <c r="BB84" s="190">
        <f>SUM(BC84:BN84)</f>
        <v/>
      </c>
      <c r="BC84" s="191">
        <f>L84*0.0702730030</f>
        <v/>
      </c>
      <c r="BD84" s="191">
        <f>L84*0.0734327604</f>
        <v/>
      </c>
      <c r="BE84" s="191">
        <f>L84*0.0752022245</f>
        <v/>
      </c>
      <c r="BF84" s="191">
        <f>L84*0.0771612740</f>
        <v/>
      </c>
      <c r="BG84" s="191">
        <f>L84*0.0796890799</f>
        <v/>
      </c>
      <c r="BH84" s="191">
        <f>L84*0.0817745197</f>
        <v/>
      </c>
      <c r="BI84" s="191">
        <f>L84*0.0849342770</f>
        <v/>
      </c>
      <c r="BJ84" s="191">
        <f>L84*0.0870197169</f>
        <v/>
      </c>
      <c r="BK84" s="191">
        <f>L84*0.0889787664</f>
        <v/>
      </c>
      <c r="BL84" s="191">
        <f>L84*0.0911905966</f>
        <v/>
      </c>
      <c r="BM84" s="191">
        <f>L84*0.0935920121</f>
        <v/>
      </c>
      <c r="BN84" s="192">
        <f>L84*0.0967517695</f>
        <v/>
      </c>
      <c r="BO84" s="36" t="inlineStr">
        <is>
          <t>.</t>
        </is>
      </c>
      <c r="BP84" s="193">
        <f>SUM(BQ84:CB84)</f>
        <v/>
      </c>
      <c r="BQ84" s="191">
        <f>MAX(0,BC84-AA84)</f>
        <v/>
      </c>
      <c r="BR84" s="191">
        <f>MAX(0,BD84-AB84)</f>
        <v/>
      </c>
      <c r="BS84" s="191">
        <f>MAX(0,BE84-AC84)</f>
        <v/>
      </c>
      <c r="BT84" s="191">
        <f>MAX(0,BF84-AD84)</f>
        <v/>
      </c>
      <c r="BU84" s="191">
        <f>MAX(0,BG84-AE84)</f>
        <v/>
      </c>
      <c r="BV84" s="191">
        <f>MAX(0,BH84-AF84)</f>
        <v/>
      </c>
      <c r="BW84" s="191">
        <f>MAX(0,BI84-AG84)</f>
        <v/>
      </c>
      <c r="BX84" s="191">
        <f>MAX(0,BJ84-AH84)</f>
        <v/>
      </c>
      <c r="BY84" s="191">
        <f>MAX(0,BK84-AI84)</f>
        <v/>
      </c>
      <c r="BZ84" s="191">
        <f>MAX(0,BL84-AJ84)</f>
        <v/>
      </c>
      <c r="CA84" s="191">
        <f>MAX(0,BM84-AK84)</f>
        <v/>
      </c>
      <c r="CB84" s="192">
        <f>MAX(0,BN84-AL84)</f>
        <v/>
      </c>
    </row>
    <row r="85">
      <c r="A85" s="64" t="inlineStr">
        <is>
          <t>35762961000118</t>
        </is>
      </c>
      <c r="B85" s="57" t="inlineStr">
        <is>
          <t>SOUSA COMERCIO LTDA - ME</t>
        </is>
      </c>
      <c r="C85" s="57" t="inlineStr">
        <is>
          <t>SEM GRUPO</t>
        </is>
      </c>
      <c r="D85" s="61" t="inlineStr">
        <is>
          <t>LARISSA PADILHA</t>
        </is>
      </c>
      <c r="E85" s="30" t="inlineStr">
        <is>
          <t>.</t>
        </is>
      </c>
      <c r="F85" s="63" t="n"/>
      <c r="G85" s="179" t="n"/>
      <c r="H85" s="57" t="n"/>
      <c r="I85" s="57" t="n"/>
      <c r="J85" s="61" t="n"/>
      <c r="K85" s="30" t="inlineStr">
        <is>
          <t>.</t>
        </is>
      </c>
      <c r="L85" s="180" t="n">
        <v>13498.25</v>
      </c>
      <c r="M85" s="181" t="n">
        <v>948.5599999999999</v>
      </c>
      <c r="N85" s="181" t="n">
        <v>991.21</v>
      </c>
      <c r="O85" s="181" t="n">
        <v>1015.1</v>
      </c>
      <c r="P85" s="181" t="n">
        <v>1041.54</v>
      </c>
      <c r="Q85" s="181" t="n">
        <v>1075.66</v>
      </c>
      <c r="R85" s="181" t="n">
        <v>1103.81</v>
      </c>
      <c r="S85" s="181" t="n">
        <v>1146.47</v>
      </c>
      <c r="T85" s="181" t="n">
        <v>1174.62</v>
      </c>
      <c r="U85" s="181" t="n">
        <v>1201.06</v>
      </c>
      <c r="V85" s="181" t="n">
        <v>1230.91</v>
      </c>
      <c r="W85" s="181" t="n">
        <v>1263.33</v>
      </c>
      <c r="X85" s="182" t="n">
        <v>1305.98</v>
      </c>
      <c r="Y85" s="183" t="inlineStr">
        <is>
          <t>.</t>
        </is>
      </c>
      <c r="Z85" s="184">
        <f>SUM(AA85:AL85)</f>
        <v/>
      </c>
      <c r="AA85" s="185" t="n">
        <v>0</v>
      </c>
      <c r="AB85" s="185" t="n">
        <v>0</v>
      </c>
      <c r="AC85" s="185" t="n">
        <v>0</v>
      </c>
      <c r="AD85" s="185" t="n">
        <v>0</v>
      </c>
      <c r="AE85" s="185" t="n">
        <v>0</v>
      </c>
      <c r="AF85" s="185" t="n">
        <v>5420.59</v>
      </c>
      <c r="AG85" s="185" t="n">
        <v>0</v>
      </c>
      <c r="AH85" s="185" t="n">
        <v>0</v>
      </c>
      <c r="AI85" s="185" t="n">
        <v>0</v>
      </c>
      <c r="AJ85" s="185" t="n">
        <v>0</v>
      </c>
      <c r="AK85" s="185" t="n">
        <v>0</v>
      </c>
      <c r="AL85" s="186" t="n">
        <v>0</v>
      </c>
      <c r="AM85" s="30" t="inlineStr">
        <is>
          <t>.</t>
        </is>
      </c>
      <c r="AN85" s="187">
        <f>IF(L85=0,0,Z85/L85)</f>
        <v/>
      </c>
      <c r="AO85" s="57">
        <f>IF(AN85&gt;=1,"🟢",IF(AN85&gt;=0.7,"🟡",IF(AN85&gt;=0.4,"🟠","🔴")))</f>
        <v/>
      </c>
      <c r="AP85" s="185">
        <f>L85-Z85</f>
        <v/>
      </c>
      <c r="AQ85" s="55">
        <f>RANK(Z85,$Z$4:$Z$503,0)</f>
        <v/>
      </c>
      <c r="AR85" s="39" t="inlineStr">
        <is>
          <t>.</t>
        </is>
      </c>
      <c r="AS85" s="27" t="n"/>
      <c r="AT85" s="27" t="n"/>
      <c r="AU85" s="27" t="n"/>
      <c r="AV85" s="27" t="n"/>
      <c r="AW85" s="27" t="n"/>
      <c r="AX85" s="27" t="n"/>
      <c r="AY85" s="204" t="n"/>
      <c r="AZ85" s="204" t="n"/>
      <c r="BA85" s="38" t="inlineStr">
        <is>
          <t>.</t>
        </is>
      </c>
      <c r="BB85" s="190">
        <f>SUM(BC85:BN85)</f>
        <v/>
      </c>
      <c r="BC85" s="191">
        <f>L85*0.0702730030</f>
        <v/>
      </c>
      <c r="BD85" s="191">
        <f>L85*0.0734327604</f>
        <v/>
      </c>
      <c r="BE85" s="191">
        <f>L85*0.0752022245</f>
        <v/>
      </c>
      <c r="BF85" s="191">
        <f>L85*0.0771612740</f>
        <v/>
      </c>
      <c r="BG85" s="191">
        <f>L85*0.0796890799</f>
        <v/>
      </c>
      <c r="BH85" s="191">
        <f>L85*0.0817745197</f>
        <v/>
      </c>
      <c r="BI85" s="191">
        <f>L85*0.0849342770</f>
        <v/>
      </c>
      <c r="BJ85" s="191">
        <f>L85*0.0870197169</f>
        <v/>
      </c>
      <c r="BK85" s="191">
        <f>L85*0.0889787664</f>
        <v/>
      </c>
      <c r="BL85" s="191">
        <f>L85*0.0911905966</f>
        <v/>
      </c>
      <c r="BM85" s="191">
        <f>L85*0.0935920121</f>
        <v/>
      </c>
      <c r="BN85" s="192">
        <f>L85*0.0967517695</f>
        <v/>
      </c>
      <c r="BO85" s="36" t="inlineStr">
        <is>
          <t>.</t>
        </is>
      </c>
      <c r="BP85" s="193">
        <f>SUM(BQ85:CB85)</f>
        <v/>
      </c>
      <c r="BQ85" s="191">
        <f>MAX(0,BC85-AA85)</f>
        <v/>
      </c>
      <c r="BR85" s="191">
        <f>MAX(0,BD85-AB85)</f>
        <v/>
      </c>
      <c r="BS85" s="191">
        <f>MAX(0,BE85-AC85)</f>
        <v/>
      </c>
      <c r="BT85" s="191">
        <f>MAX(0,BF85-AD85)</f>
        <v/>
      </c>
      <c r="BU85" s="191">
        <f>MAX(0,BG85-AE85)</f>
        <v/>
      </c>
      <c r="BV85" s="191">
        <f>MAX(0,BH85-AF85)</f>
        <v/>
      </c>
      <c r="BW85" s="191">
        <f>MAX(0,BI85-AG85)</f>
        <v/>
      </c>
      <c r="BX85" s="191">
        <f>MAX(0,BJ85-AH85)</f>
        <v/>
      </c>
      <c r="BY85" s="191">
        <f>MAX(0,BK85-AI85)</f>
        <v/>
      </c>
      <c r="BZ85" s="191">
        <f>MAX(0,BL85-AJ85)</f>
        <v/>
      </c>
      <c r="CA85" s="191">
        <f>MAX(0,BM85-AK85)</f>
        <v/>
      </c>
      <c r="CB85" s="192">
        <f>MAX(0,BN85-AL85)</f>
        <v/>
      </c>
    </row>
    <row r="86">
      <c r="A86" s="64" t="inlineStr">
        <is>
          <t>59794577000165</t>
        </is>
      </c>
      <c r="B86" s="57" t="inlineStr">
        <is>
          <t>MAIARA ISABEL PINTO LTDA - ME</t>
        </is>
      </c>
      <c r="C86" s="57" t="inlineStr">
        <is>
          <t>FITLAND</t>
        </is>
      </c>
      <c r="D86" s="61" t="inlineStr">
        <is>
          <t>JULIO GADRET</t>
        </is>
      </c>
      <c r="E86" s="30" t="inlineStr">
        <is>
          <t>.</t>
        </is>
      </c>
      <c r="F86" s="63" t="n">
        <v>89</v>
      </c>
      <c r="G86" s="179" t="n">
        <v>0.298</v>
      </c>
      <c r="H86" s="57" t="inlineStr">
        <is>
          <t>🔴 VERMELHO</t>
        </is>
      </c>
      <c r="I86" s="57" t="inlineStr">
        <is>
          <t>POSITIVAÇÃO</t>
        </is>
      </c>
      <c r="J86" s="61" t="inlineStr">
        <is>
          <t>Aumentar frequência + Expandir base</t>
        </is>
      </c>
      <c r="K86" s="30" t="inlineStr">
        <is>
          <t>.</t>
        </is>
      </c>
      <c r="L86" s="180" t="n">
        <v>13203.51</v>
      </c>
      <c r="M86" s="181" t="n">
        <v>927.85</v>
      </c>
      <c r="N86" s="181" t="n">
        <v>969.5700000000001</v>
      </c>
      <c r="O86" s="181" t="n">
        <v>992.9299999999999</v>
      </c>
      <c r="P86" s="181" t="n">
        <v>1018.8</v>
      </c>
      <c r="Q86" s="181" t="n">
        <v>1052.18</v>
      </c>
      <c r="R86" s="181" t="n">
        <v>1079.71</v>
      </c>
      <c r="S86" s="181" t="n">
        <v>1121.43</v>
      </c>
      <c r="T86" s="181" t="n">
        <v>1148.97</v>
      </c>
      <c r="U86" s="181" t="n">
        <v>1174.83</v>
      </c>
      <c r="V86" s="181" t="n">
        <v>1204.04</v>
      </c>
      <c r="W86" s="181" t="n">
        <v>1235.74</v>
      </c>
      <c r="X86" s="182" t="n">
        <v>1277.46</v>
      </c>
      <c r="Y86" s="183" t="inlineStr">
        <is>
          <t>.</t>
        </is>
      </c>
      <c r="Z86" s="184">
        <f>SUM(AA86:AL86)</f>
        <v/>
      </c>
      <c r="AA86" s="185" t="n">
        <v>0</v>
      </c>
      <c r="AB86" s="185" t="n">
        <v>0</v>
      </c>
      <c r="AC86" s="185" t="n">
        <v>0</v>
      </c>
      <c r="AD86" s="185" t="n">
        <v>0</v>
      </c>
      <c r="AE86" s="185" t="n">
        <v>0</v>
      </c>
      <c r="AF86" s="185" t="n">
        <v>1200.01</v>
      </c>
      <c r="AG86" s="185" t="n">
        <v>0</v>
      </c>
      <c r="AH86" s="185" t="n">
        <v>891.02</v>
      </c>
      <c r="AI86" s="185" t="n">
        <v>0</v>
      </c>
      <c r="AJ86" s="185" t="n">
        <v>3413.75</v>
      </c>
      <c r="AK86" s="185" t="n">
        <v>0</v>
      </c>
      <c r="AL86" s="186" t="n">
        <v>925.39</v>
      </c>
      <c r="AM86" s="30" t="inlineStr">
        <is>
          <t>.</t>
        </is>
      </c>
      <c r="AN86" s="187">
        <f>IF(L86=0,0,Z86/L86)</f>
        <v/>
      </c>
      <c r="AO86" s="57">
        <f>IF(AN86&gt;=1,"🟢",IF(AN86&gt;=0.7,"🟡",IF(AN86&gt;=0.4,"🟠","🔴")))</f>
        <v/>
      </c>
      <c r="AP86" s="185">
        <f>L86-Z86</f>
        <v/>
      </c>
      <c r="AQ86" s="55">
        <f>RANK(Z86,$Z$4:$Z$503,0)</f>
        <v/>
      </c>
      <c r="AR86" s="39" t="inlineStr">
        <is>
          <t>.</t>
        </is>
      </c>
      <c r="AS86" s="27" t="n"/>
      <c r="AT86" s="27" t="n"/>
      <c r="AU86" s="27" t="n"/>
      <c r="AV86" s="27" t="n"/>
      <c r="AW86" s="27" t="n"/>
      <c r="AX86" s="27" t="n"/>
      <c r="AY86" s="204" t="n"/>
      <c r="AZ86" s="204" t="n"/>
      <c r="BA86" s="38" t="inlineStr">
        <is>
          <t>.</t>
        </is>
      </c>
      <c r="BB86" s="190">
        <f>SUM(BC86:BN86)</f>
        <v/>
      </c>
      <c r="BC86" s="191">
        <f>L86*0.0702730030</f>
        <v/>
      </c>
      <c r="BD86" s="191">
        <f>L86*0.0734327604</f>
        <v/>
      </c>
      <c r="BE86" s="191">
        <f>L86*0.0752022245</f>
        <v/>
      </c>
      <c r="BF86" s="191">
        <f>L86*0.0771612740</f>
        <v/>
      </c>
      <c r="BG86" s="191">
        <f>L86*0.0796890799</f>
        <v/>
      </c>
      <c r="BH86" s="191">
        <f>L86*0.0817745197</f>
        <v/>
      </c>
      <c r="BI86" s="191">
        <f>L86*0.0849342770</f>
        <v/>
      </c>
      <c r="BJ86" s="191">
        <f>L86*0.0870197169</f>
        <v/>
      </c>
      <c r="BK86" s="191">
        <f>L86*0.0889787664</f>
        <v/>
      </c>
      <c r="BL86" s="191">
        <f>L86*0.0911905966</f>
        <v/>
      </c>
      <c r="BM86" s="191">
        <f>L86*0.0935920121</f>
        <v/>
      </c>
      <c r="BN86" s="192">
        <f>L86*0.0967517695</f>
        <v/>
      </c>
      <c r="BO86" s="36" t="inlineStr">
        <is>
          <t>.</t>
        </is>
      </c>
      <c r="BP86" s="193">
        <f>SUM(BQ86:CB86)</f>
        <v/>
      </c>
      <c r="BQ86" s="191">
        <f>MAX(0,BC86-AA86)</f>
        <v/>
      </c>
      <c r="BR86" s="191">
        <f>MAX(0,BD86-AB86)</f>
        <v/>
      </c>
      <c r="BS86" s="191">
        <f>MAX(0,BE86-AC86)</f>
        <v/>
      </c>
      <c r="BT86" s="191">
        <f>MAX(0,BF86-AD86)</f>
        <v/>
      </c>
      <c r="BU86" s="191">
        <f>MAX(0,BG86-AE86)</f>
        <v/>
      </c>
      <c r="BV86" s="191">
        <f>MAX(0,BH86-AF86)</f>
        <v/>
      </c>
      <c r="BW86" s="191">
        <f>MAX(0,BI86-AG86)</f>
        <v/>
      </c>
      <c r="BX86" s="191">
        <f>MAX(0,BJ86-AH86)</f>
        <v/>
      </c>
      <c r="BY86" s="191">
        <f>MAX(0,BK86-AI86)</f>
        <v/>
      </c>
      <c r="BZ86" s="191">
        <f>MAX(0,BL86-AJ86)</f>
        <v/>
      </c>
      <c r="CA86" s="191">
        <f>MAX(0,BM86-AK86)</f>
        <v/>
      </c>
      <c r="CB86" s="192">
        <f>MAX(0,BN86-AL86)</f>
        <v/>
      </c>
    </row>
    <row r="87">
      <c r="A87" s="64" t="inlineStr">
        <is>
          <t>39358176000155</t>
        </is>
      </c>
      <c r="B87" s="57" t="inlineStr">
        <is>
          <t>MQ SOLUCOES LTDA - ME</t>
        </is>
      </c>
      <c r="C87" s="57" t="inlineStr">
        <is>
          <t>SEM GRUPO</t>
        </is>
      </c>
      <c r="D87" s="61" t="inlineStr">
        <is>
          <t>HEMANUELE DITZEL (MANU)</t>
        </is>
      </c>
      <c r="E87" s="30" t="inlineStr">
        <is>
          <t>.</t>
        </is>
      </c>
      <c r="F87" s="63" t="n"/>
      <c r="G87" s="179" t="n"/>
      <c r="H87" s="57" t="n"/>
      <c r="I87" s="57" t="n"/>
      <c r="J87" s="61" t="n"/>
      <c r="K87" s="30" t="inlineStr">
        <is>
          <t>.</t>
        </is>
      </c>
      <c r="L87" s="180" t="n">
        <v>13194.69</v>
      </c>
      <c r="M87" s="181" t="n">
        <v>927.23</v>
      </c>
      <c r="N87" s="181" t="n">
        <v>968.92</v>
      </c>
      <c r="O87" s="181" t="n">
        <v>992.27</v>
      </c>
      <c r="P87" s="181" t="n">
        <v>1018.12</v>
      </c>
      <c r="Q87" s="181" t="n">
        <v>1051.47</v>
      </c>
      <c r="R87" s="181" t="n">
        <v>1078.99</v>
      </c>
      <c r="S87" s="181" t="n">
        <v>1120.68</v>
      </c>
      <c r="T87" s="181" t="n">
        <v>1148.2</v>
      </c>
      <c r="U87" s="181" t="n">
        <v>1174.05</v>
      </c>
      <c r="V87" s="181" t="n">
        <v>1203.23</v>
      </c>
      <c r="W87" s="181" t="n">
        <v>1234.92</v>
      </c>
      <c r="X87" s="182" t="n">
        <v>1276.61</v>
      </c>
      <c r="Y87" s="183" t="inlineStr">
        <is>
          <t>.</t>
        </is>
      </c>
      <c r="Z87" s="184">
        <f>SUM(AA87:AL87)</f>
        <v/>
      </c>
      <c r="AA87" s="185" t="n">
        <v>0</v>
      </c>
      <c r="AB87" s="185" t="n">
        <v>0</v>
      </c>
      <c r="AC87" s="185" t="n">
        <v>0</v>
      </c>
      <c r="AD87" s="185" t="n">
        <v>0</v>
      </c>
      <c r="AE87" s="185" t="n">
        <v>0</v>
      </c>
      <c r="AF87" s="185" t="n">
        <v>0</v>
      </c>
      <c r="AG87" s="185" t="n">
        <v>0</v>
      </c>
      <c r="AH87" s="185" t="n">
        <v>0</v>
      </c>
      <c r="AI87" s="185" t="n">
        <v>0</v>
      </c>
      <c r="AJ87" s="185" t="n">
        <v>7505.94</v>
      </c>
      <c r="AK87" s="185" t="n">
        <v>0</v>
      </c>
      <c r="AL87" s="186" t="n">
        <v>0</v>
      </c>
      <c r="AM87" s="30" t="inlineStr">
        <is>
          <t>.</t>
        </is>
      </c>
      <c r="AN87" s="187">
        <f>IF(L87=0,0,Z87/L87)</f>
        <v/>
      </c>
      <c r="AO87" s="57">
        <f>IF(AN87&gt;=1,"🟢",IF(AN87&gt;=0.7,"🟡",IF(AN87&gt;=0.4,"🟠","🔴")))</f>
        <v/>
      </c>
      <c r="AP87" s="185">
        <f>L87-Z87</f>
        <v/>
      </c>
      <c r="AQ87" s="55">
        <f>RANK(Z87,$Z$4:$Z$503,0)</f>
        <v/>
      </c>
      <c r="AR87" s="39" t="inlineStr">
        <is>
          <t>.</t>
        </is>
      </c>
      <c r="AS87" s="27" t="n"/>
      <c r="AT87" s="27" t="n"/>
      <c r="AU87" s="27" t="n"/>
      <c r="AV87" s="27" t="n"/>
      <c r="AW87" s="27" t="n"/>
      <c r="AX87" s="27" t="n"/>
      <c r="AY87" s="204" t="n"/>
      <c r="AZ87" s="204" t="n"/>
      <c r="BA87" s="38" t="inlineStr">
        <is>
          <t>.</t>
        </is>
      </c>
      <c r="BB87" s="190">
        <f>SUM(BC87:BN87)</f>
        <v/>
      </c>
      <c r="BC87" s="191">
        <f>L87*0.0702730030</f>
        <v/>
      </c>
      <c r="BD87" s="191">
        <f>L87*0.0734327604</f>
        <v/>
      </c>
      <c r="BE87" s="191">
        <f>L87*0.0752022245</f>
        <v/>
      </c>
      <c r="BF87" s="191">
        <f>L87*0.0771612740</f>
        <v/>
      </c>
      <c r="BG87" s="191">
        <f>L87*0.0796890799</f>
        <v/>
      </c>
      <c r="BH87" s="191">
        <f>L87*0.0817745197</f>
        <v/>
      </c>
      <c r="BI87" s="191">
        <f>L87*0.0849342770</f>
        <v/>
      </c>
      <c r="BJ87" s="191">
        <f>L87*0.0870197169</f>
        <v/>
      </c>
      <c r="BK87" s="191">
        <f>L87*0.0889787664</f>
        <v/>
      </c>
      <c r="BL87" s="191">
        <f>L87*0.0911905966</f>
        <v/>
      </c>
      <c r="BM87" s="191">
        <f>L87*0.0935920121</f>
        <v/>
      </c>
      <c r="BN87" s="192">
        <f>L87*0.0967517695</f>
        <v/>
      </c>
      <c r="BO87" s="36" t="inlineStr">
        <is>
          <t>.</t>
        </is>
      </c>
      <c r="BP87" s="193">
        <f>SUM(BQ87:CB87)</f>
        <v/>
      </c>
      <c r="BQ87" s="191">
        <f>MAX(0,BC87-AA87)</f>
        <v/>
      </c>
      <c r="BR87" s="191">
        <f>MAX(0,BD87-AB87)</f>
        <v/>
      </c>
      <c r="BS87" s="191">
        <f>MAX(0,BE87-AC87)</f>
        <v/>
      </c>
      <c r="BT87" s="191">
        <f>MAX(0,BF87-AD87)</f>
        <v/>
      </c>
      <c r="BU87" s="191">
        <f>MAX(0,BG87-AE87)</f>
        <v/>
      </c>
      <c r="BV87" s="191">
        <f>MAX(0,BH87-AF87)</f>
        <v/>
      </c>
      <c r="BW87" s="191">
        <f>MAX(0,BI87-AG87)</f>
        <v/>
      </c>
      <c r="BX87" s="191">
        <f>MAX(0,BJ87-AH87)</f>
        <v/>
      </c>
      <c r="BY87" s="191">
        <f>MAX(0,BK87-AI87)</f>
        <v/>
      </c>
      <c r="BZ87" s="191">
        <f>MAX(0,BL87-AJ87)</f>
        <v/>
      </c>
      <c r="CA87" s="191">
        <f>MAX(0,BM87-AK87)</f>
        <v/>
      </c>
      <c r="CB87" s="192">
        <f>MAX(0,BN87-AL87)</f>
        <v/>
      </c>
    </row>
    <row r="88">
      <c r="A88" s="64" t="inlineStr">
        <is>
          <t>12659548000127</t>
        </is>
      </c>
      <c r="B88" s="57" t="inlineStr">
        <is>
          <t>ISOLETE SCHUENKE GAEDKE - EPP</t>
        </is>
      </c>
      <c r="C88" s="57" t="inlineStr">
        <is>
          <t>SEM GRUPO</t>
        </is>
      </c>
      <c r="D88" s="61" t="inlineStr">
        <is>
          <t>HEMANUELE DITZEL (MANU)</t>
        </is>
      </c>
      <c r="E88" s="30" t="inlineStr">
        <is>
          <t>.</t>
        </is>
      </c>
      <c r="F88" s="63" t="n"/>
      <c r="G88" s="179" t="n"/>
      <c r="H88" s="57" t="n"/>
      <c r="I88" s="57" t="n"/>
      <c r="J88" s="61" t="n"/>
      <c r="K88" s="30" t="inlineStr">
        <is>
          <t>.</t>
        </is>
      </c>
      <c r="L88" s="180" t="n">
        <v>13136.73</v>
      </c>
      <c r="M88" s="181" t="n">
        <v>923.16</v>
      </c>
      <c r="N88" s="181" t="n">
        <v>964.67</v>
      </c>
      <c r="O88" s="181" t="n">
        <v>987.91</v>
      </c>
      <c r="P88" s="181" t="n">
        <v>1013.65</v>
      </c>
      <c r="Q88" s="181" t="n">
        <v>1046.85</v>
      </c>
      <c r="R88" s="181" t="n">
        <v>1074.25</v>
      </c>
      <c r="S88" s="181" t="n">
        <v>1115.76</v>
      </c>
      <c r="T88" s="181" t="n">
        <v>1143.15</v>
      </c>
      <c r="U88" s="181" t="n">
        <v>1168.89</v>
      </c>
      <c r="V88" s="181" t="n">
        <v>1197.95</v>
      </c>
      <c r="W88" s="181" t="n">
        <v>1229.49</v>
      </c>
      <c r="X88" s="182" t="n">
        <v>1271</v>
      </c>
      <c r="Y88" s="183" t="inlineStr">
        <is>
          <t>.</t>
        </is>
      </c>
      <c r="Z88" s="184">
        <f>SUM(AA88:AL88)</f>
        <v/>
      </c>
      <c r="AA88" s="185" t="n">
        <v>0</v>
      </c>
      <c r="AB88" s="185" t="n">
        <v>0</v>
      </c>
      <c r="AC88" s="185" t="n">
        <v>0</v>
      </c>
      <c r="AD88" s="185" t="n">
        <v>0</v>
      </c>
      <c r="AE88" s="185" t="n">
        <v>892.21</v>
      </c>
      <c r="AF88" s="185" t="n">
        <v>0</v>
      </c>
      <c r="AG88" s="185" t="n">
        <v>1038.32</v>
      </c>
      <c r="AH88" s="185" t="n">
        <v>1571.06</v>
      </c>
      <c r="AI88" s="185" t="n">
        <v>0</v>
      </c>
      <c r="AJ88" s="185" t="n">
        <v>1507</v>
      </c>
      <c r="AK88" s="185" t="n">
        <v>0</v>
      </c>
      <c r="AL88" s="186" t="n">
        <v>1180.83</v>
      </c>
      <c r="AM88" s="30" t="inlineStr">
        <is>
          <t>.</t>
        </is>
      </c>
      <c r="AN88" s="187">
        <f>IF(L88=0,0,Z88/L88)</f>
        <v/>
      </c>
      <c r="AO88" s="57">
        <f>IF(AN88&gt;=1,"🟢",IF(AN88&gt;=0.7,"🟡",IF(AN88&gt;=0.4,"🟠","🔴")))</f>
        <v/>
      </c>
      <c r="AP88" s="185">
        <f>L88-Z88</f>
        <v/>
      </c>
      <c r="AQ88" s="55">
        <f>RANK(Z88,$Z$4:$Z$503,0)</f>
        <v/>
      </c>
      <c r="AR88" s="39" t="inlineStr">
        <is>
          <t>.</t>
        </is>
      </c>
      <c r="AS88" s="27" t="n"/>
      <c r="AT88" s="27" t="n"/>
      <c r="AU88" s="27" t="n"/>
      <c r="AV88" s="27" t="n"/>
      <c r="AW88" s="27" t="n"/>
      <c r="AX88" s="27" t="n"/>
      <c r="AY88" s="204" t="n"/>
      <c r="AZ88" s="204" t="n"/>
      <c r="BA88" s="38" t="inlineStr">
        <is>
          <t>.</t>
        </is>
      </c>
      <c r="BB88" s="190">
        <f>SUM(BC88:BN88)</f>
        <v/>
      </c>
      <c r="BC88" s="191">
        <f>L88*0.0702730030</f>
        <v/>
      </c>
      <c r="BD88" s="191">
        <f>L88*0.0734327604</f>
        <v/>
      </c>
      <c r="BE88" s="191">
        <f>L88*0.0752022245</f>
        <v/>
      </c>
      <c r="BF88" s="191">
        <f>L88*0.0771612740</f>
        <v/>
      </c>
      <c r="BG88" s="191">
        <f>L88*0.0796890799</f>
        <v/>
      </c>
      <c r="BH88" s="191">
        <f>L88*0.0817745197</f>
        <v/>
      </c>
      <c r="BI88" s="191">
        <f>L88*0.0849342770</f>
        <v/>
      </c>
      <c r="BJ88" s="191">
        <f>L88*0.0870197169</f>
        <v/>
      </c>
      <c r="BK88" s="191">
        <f>L88*0.0889787664</f>
        <v/>
      </c>
      <c r="BL88" s="191">
        <f>L88*0.0911905966</f>
        <v/>
      </c>
      <c r="BM88" s="191">
        <f>L88*0.0935920121</f>
        <v/>
      </c>
      <c r="BN88" s="192">
        <f>L88*0.0967517695</f>
        <v/>
      </c>
      <c r="BO88" s="36" t="inlineStr">
        <is>
          <t>.</t>
        </is>
      </c>
      <c r="BP88" s="193">
        <f>SUM(BQ88:CB88)</f>
        <v/>
      </c>
      <c r="BQ88" s="191">
        <f>MAX(0,BC88-AA88)</f>
        <v/>
      </c>
      <c r="BR88" s="191">
        <f>MAX(0,BD88-AB88)</f>
        <v/>
      </c>
      <c r="BS88" s="191">
        <f>MAX(0,BE88-AC88)</f>
        <v/>
      </c>
      <c r="BT88" s="191">
        <f>MAX(0,BF88-AD88)</f>
        <v/>
      </c>
      <c r="BU88" s="191">
        <f>MAX(0,BG88-AE88)</f>
        <v/>
      </c>
      <c r="BV88" s="191">
        <f>MAX(0,BH88-AF88)</f>
        <v/>
      </c>
      <c r="BW88" s="191">
        <f>MAX(0,BI88-AG88)</f>
        <v/>
      </c>
      <c r="BX88" s="191">
        <f>MAX(0,BJ88-AH88)</f>
        <v/>
      </c>
      <c r="BY88" s="191">
        <f>MAX(0,BK88-AI88)</f>
        <v/>
      </c>
      <c r="BZ88" s="191">
        <f>MAX(0,BL88-AJ88)</f>
        <v/>
      </c>
      <c r="CA88" s="191">
        <f>MAX(0,BM88-AK88)</f>
        <v/>
      </c>
      <c r="CB88" s="192">
        <f>MAX(0,BN88-AL88)</f>
        <v/>
      </c>
    </row>
    <row r="89">
      <c r="A89" s="64" t="inlineStr">
        <is>
          <t>43732530000137</t>
        </is>
      </c>
      <c r="B89" s="57" t="inlineStr">
        <is>
          <t>FIT SJB COMERCIO DE SUPLEMENTOS E PRODUT</t>
        </is>
      </c>
      <c r="C89" s="57" t="inlineStr">
        <is>
          <t>FITLAND</t>
        </is>
      </c>
      <c r="D89" s="61" t="inlineStr">
        <is>
          <t>JULIO GADRET</t>
        </is>
      </c>
      <c r="E89" s="30" t="inlineStr">
        <is>
          <t>.</t>
        </is>
      </c>
      <c r="F89" s="63" t="n">
        <v>89</v>
      </c>
      <c r="G89" s="179" t="n">
        <v>0.298</v>
      </c>
      <c r="H89" s="57" t="inlineStr">
        <is>
          <t>🔴 VERMELHO</t>
        </is>
      </c>
      <c r="I89" s="57" t="inlineStr">
        <is>
          <t>POSITIVAÇÃO</t>
        </is>
      </c>
      <c r="J89" s="61" t="inlineStr">
        <is>
          <t>Aumentar frequência + Expandir base</t>
        </is>
      </c>
      <c r="K89" s="30" t="inlineStr">
        <is>
          <t>.</t>
        </is>
      </c>
      <c r="L89" s="180" t="n">
        <v>12987.64</v>
      </c>
      <c r="M89" s="181" t="n">
        <v>912.6799999999999</v>
      </c>
      <c r="N89" s="181" t="n">
        <v>953.72</v>
      </c>
      <c r="O89" s="181" t="n">
        <v>976.7</v>
      </c>
      <c r="P89" s="181" t="n">
        <v>1002.14</v>
      </c>
      <c r="Q89" s="181" t="n">
        <v>1034.97</v>
      </c>
      <c r="R89" s="181" t="n">
        <v>1062.06</v>
      </c>
      <c r="S89" s="181" t="n">
        <v>1103.1</v>
      </c>
      <c r="T89" s="181" t="n">
        <v>1130.18</v>
      </c>
      <c r="U89" s="181" t="n">
        <v>1155.62</v>
      </c>
      <c r="V89" s="181" t="n">
        <v>1184.35</v>
      </c>
      <c r="W89" s="181" t="n">
        <v>1215.54</v>
      </c>
      <c r="X89" s="182" t="n">
        <v>1256.58</v>
      </c>
      <c r="Y89" s="183" t="inlineStr">
        <is>
          <t>.</t>
        </is>
      </c>
      <c r="Z89" s="184">
        <f>SUM(AA89:AL89)</f>
        <v/>
      </c>
      <c r="AA89" s="185" t="n">
        <v>0</v>
      </c>
      <c r="AB89" s="185" t="n">
        <v>0</v>
      </c>
      <c r="AC89" s="185" t="n">
        <v>749.37</v>
      </c>
      <c r="AD89" s="185" t="n">
        <v>0</v>
      </c>
      <c r="AE89" s="185" t="n">
        <v>707.15</v>
      </c>
      <c r="AF89" s="185" t="n">
        <v>2227.75</v>
      </c>
      <c r="AG89" s="185" t="n">
        <v>0</v>
      </c>
      <c r="AH89" s="185" t="n">
        <v>1598.53</v>
      </c>
      <c r="AI89" s="185" t="n">
        <v>0</v>
      </c>
      <c r="AJ89" s="185" t="n">
        <v>0.08</v>
      </c>
      <c r="AK89" s="185" t="n">
        <v>0</v>
      </c>
      <c r="AL89" s="186" t="n">
        <v>0</v>
      </c>
      <c r="AM89" s="30" t="inlineStr">
        <is>
          <t>.</t>
        </is>
      </c>
      <c r="AN89" s="187">
        <f>IF(L89=0,0,Z89/L89)</f>
        <v/>
      </c>
      <c r="AO89" s="57">
        <f>IF(AN89&gt;=1,"🟢",IF(AN89&gt;=0.7,"🟡",IF(AN89&gt;=0.4,"🟠","🔴")))</f>
        <v/>
      </c>
      <c r="AP89" s="185">
        <f>L89-Z89</f>
        <v/>
      </c>
      <c r="AQ89" s="55">
        <f>RANK(Z89,$Z$4:$Z$503,0)</f>
        <v/>
      </c>
      <c r="AR89" s="39" t="inlineStr">
        <is>
          <t>.</t>
        </is>
      </c>
      <c r="AS89" s="27" t="n"/>
      <c r="AT89" s="27" t="n"/>
      <c r="AU89" s="27" t="n"/>
      <c r="AV89" s="27" t="n"/>
      <c r="AW89" s="27" t="n"/>
      <c r="AX89" s="27" t="n"/>
      <c r="AY89" s="204" t="n"/>
      <c r="AZ89" s="204" t="n"/>
      <c r="BA89" s="38" t="inlineStr">
        <is>
          <t>.</t>
        </is>
      </c>
      <c r="BB89" s="190">
        <f>SUM(BC89:BN89)</f>
        <v/>
      </c>
      <c r="BC89" s="191">
        <f>L89*0.0702730030</f>
        <v/>
      </c>
      <c r="BD89" s="191">
        <f>L89*0.0734327604</f>
        <v/>
      </c>
      <c r="BE89" s="191">
        <f>L89*0.0752022245</f>
        <v/>
      </c>
      <c r="BF89" s="191">
        <f>L89*0.0771612740</f>
        <v/>
      </c>
      <c r="BG89" s="191">
        <f>L89*0.0796890799</f>
        <v/>
      </c>
      <c r="BH89" s="191">
        <f>L89*0.0817745197</f>
        <v/>
      </c>
      <c r="BI89" s="191">
        <f>L89*0.0849342770</f>
        <v/>
      </c>
      <c r="BJ89" s="191">
        <f>L89*0.0870197169</f>
        <v/>
      </c>
      <c r="BK89" s="191">
        <f>L89*0.0889787664</f>
        <v/>
      </c>
      <c r="BL89" s="191">
        <f>L89*0.0911905966</f>
        <v/>
      </c>
      <c r="BM89" s="191">
        <f>L89*0.0935920121</f>
        <v/>
      </c>
      <c r="BN89" s="192">
        <f>L89*0.0967517695</f>
        <v/>
      </c>
      <c r="BO89" s="36" t="inlineStr">
        <is>
          <t>.</t>
        </is>
      </c>
      <c r="BP89" s="193">
        <f>SUM(BQ89:CB89)</f>
        <v/>
      </c>
      <c r="BQ89" s="191">
        <f>MAX(0,BC89-AA89)</f>
        <v/>
      </c>
      <c r="BR89" s="191">
        <f>MAX(0,BD89-AB89)</f>
        <v/>
      </c>
      <c r="BS89" s="191">
        <f>MAX(0,BE89-AC89)</f>
        <v/>
      </c>
      <c r="BT89" s="191">
        <f>MAX(0,BF89-AD89)</f>
        <v/>
      </c>
      <c r="BU89" s="191">
        <f>MAX(0,BG89-AE89)</f>
        <v/>
      </c>
      <c r="BV89" s="191">
        <f>MAX(0,BH89-AF89)</f>
        <v/>
      </c>
      <c r="BW89" s="191">
        <f>MAX(0,BI89-AG89)</f>
        <v/>
      </c>
      <c r="BX89" s="191">
        <f>MAX(0,BJ89-AH89)</f>
        <v/>
      </c>
      <c r="BY89" s="191">
        <f>MAX(0,BK89-AI89)</f>
        <v/>
      </c>
      <c r="BZ89" s="191">
        <f>MAX(0,BL89-AJ89)</f>
        <v/>
      </c>
      <c r="CA89" s="191">
        <f>MAX(0,BM89-AK89)</f>
        <v/>
      </c>
      <c r="CB89" s="192">
        <f>MAX(0,BN89-AL89)</f>
        <v/>
      </c>
    </row>
    <row r="90">
      <c r="A90" s="64" t="inlineStr">
        <is>
          <t>07869626000340</t>
        </is>
      </c>
      <c r="B90" s="57" t="inlineStr">
        <is>
          <t>E. B. ALMEIDA COMERCIO E TRANSPORTE LTDA</t>
        </is>
      </c>
      <c r="C90" s="57" t="inlineStr">
        <is>
          <t>SEM GRUPO</t>
        </is>
      </c>
      <c r="D90" s="61" t="inlineStr">
        <is>
          <t>LARISSA PADILHA</t>
        </is>
      </c>
      <c r="E90" s="30" t="inlineStr">
        <is>
          <t>.</t>
        </is>
      </c>
      <c r="F90" s="63" t="n"/>
      <c r="G90" s="179" t="n"/>
      <c r="H90" s="57" t="n"/>
      <c r="I90" s="57" t="n"/>
      <c r="J90" s="61" t="n"/>
      <c r="K90" s="30" t="inlineStr">
        <is>
          <t>.</t>
        </is>
      </c>
      <c r="L90" s="180" t="n">
        <v>12948.22</v>
      </c>
      <c r="M90" s="181" t="n">
        <v>909.91</v>
      </c>
      <c r="N90" s="181" t="n">
        <v>950.8200000000001</v>
      </c>
      <c r="O90" s="181" t="n">
        <v>973.74</v>
      </c>
      <c r="P90" s="181" t="n">
        <v>999.1</v>
      </c>
      <c r="Q90" s="181" t="n">
        <v>1031.83</v>
      </c>
      <c r="R90" s="181" t="n">
        <v>1058.83</v>
      </c>
      <c r="S90" s="181" t="n">
        <v>1099.75</v>
      </c>
      <c r="T90" s="181" t="n">
        <v>1126.75</v>
      </c>
      <c r="U90" s="181" t="n">
        <v>1152.12</v>
      </c>
      <c r="V90" s="181" t="n">
        <v>1180.76</v>
      </c>
      <c r="W90" s="181" t="n">
        <v>1211.85</v>
      </c>
      <c r="X90" s="182" t="n">
        <v>1252.76</v>
      </c>
      <c r="Y90" s="183" t="inlineStr">
        <is>
          <t>.</t>
        </is>
      </c>
      <c r="Z90" s="184">
        <f>SUM(AA90:AL90)</f>
        <v/>
      </c>
      <c r="AA90" s="185" t="n">
        <v>0</v>
      </c>
      <c r="AB90" s="185" t="n">
        <v>0</v>
      </c>
      <c r="AC90" s="185" t="n">
        <v>0</v>
      </c>
      <c r="AD90" s="185" t="n">
        <v>0</v>
      </c>
      <c r="AE90" s="185" t="n">
        <v>0</v>
      </c>
      <c r="AF90" s="185" t="n">
        <v>0</v>
      </c>
      <c r="AG90" s="185" t="n">
        <v>0</v>
      </c>
      <c r="AH90" s="185" t="n">
        <v>0</v>
      </c>
      <c r="AI90" s="185" t="n">
        <v>0</v>
      </c>
      <c r="AJ90" s="185" t="n">
        <v>0</v>
      </c>
      <c r="AK90" s="185" t="n">
        <v>6906.85</v>
      </c>
      <c r="AL90" s="186" t="n">
        <v>0</v>
      </c>
      <c r="AM90" s="30" t="inlineStr">
        <is>
          <t>.</t>
        </is>
      </c>
      <c r="AN90" s="187">
        <f>IF(L90=0,0,Z90/L90)</f>
        <v/>
      </c>
      <c r="AO90" s="57">
        <f>IF(AN90&gt;=1,"🟢",IF(AN90&gt;=0.7,"🟡",IF(AN90&gt;=0.4,"🟠","🔴")))</f>
        <v/>
      </c>
      <c r="AP90" s="185">
        <f>L90-Z90</f>
        <v/>
      </c>
      <c r="AQ90" s="55">
        <f>RANK(Z90,$Z$4:$Z$503,0)</f>
        <v/>
      </c>
      <c r="AR90" s="39" t="inlineStr">
        <is>
          <t>.</t>
        </is>
      </c>
      <c r="AS90" s="27" t="n"/>
      <c r="AT90" s="27" t="n"/>
      <c r="AU90" s="27" t="n"/>
      <c r="AV90" s="27" t="n"/>
      <c r="AW90" s="27" t="n"/>
      <c r="AX90" s="27" t="n"/>
      <c r="AY90" s="204" t="n"/>
      <c r="AZ90" s="204" t="n"/>
      <c r="BA90" s="38" t="inlineStr">
        <is>
          <t>.</t>
        </is>
      </c>
      <c r="BB90" s="190">
        <f>SUM(BC90:BN90)</f>
        <v/>
      </c>
      <c r="BC90" s="191">
        <f>L90*0.0702730030</f>
        <v/>
      </c>
      <c r="BD90" s="191">
        <f>L90*0.0734327604</f>
        <v/>
      </c>
      <c r="BE90" s="191">
        <f>L90*0.0752022245</f>
        <v/>
      </c>
      <c r="BF90" s="191">
        <f>L90*0.0771612740</f>
        <v/>
      </c>
      <c r="BG90" s="191">
        <f>L90*0.0796890799</f>
        <v/>
      </c>
      <c r="BH90" s="191">
        <f>L90*0.0817745197</f>
        <v/>
      </c>
      <c r="BI90" s="191">
        <f>L90*0.0849342770</f>
        <v/>
      </c>
      <c r="BJ90" s="191">
        <f>L90*0.0870197169</f>
        <v/>
      </c>
      <c r="BK90" s="191">
        <f>L90*0.0889787664</f>
        <v/>
      </c>
      <c r="BL90" s="191">
        <f>L90*0.0911905966</f>
        <v/>
      </c>
      <c r="BM90" s="191">
        <f>L90*0.0935920121</f>
        <v/>
      </c>
      <c r="BN90" s="192">
        <f>L90*0.0967517695</f>
        <v/>
      </c>
      <c r="BO90" s="36" t="inlineStr">
        <is>
          <t>.</t>
        </is>
      </c>
      <c r="BP90" s="193">
        <f>SUM(BQ90:CB90)</f>
        <v/>
      </c>
      <c r="BQ90" s="191">
        <f>MAX(0,BC90-AA90)</f>
        <v/>
      </c>
      <c r="BR90" s="191">
        <f>MAX(0,BD90-AB90)</f>
        <v/>
      </c>
      <c r="BS90" s="191">
        <f>MAX(0,BE90-AC90)</f>
        <v/>
      </c>
      <c r="BT90" s="191">
        <f>MAX(0,BF90-AD90)</f>
        <v/>
      </c>
      <c r="BU90" s="191">
        <f>MAX(0,BG90-AE90)</f>
        <v/>
      </c>
      <c r="BV90" s="191">
        <f>MAX(0,BH90-AF90)</f>
        <v/>
      </c>
      <c r="BW90" s="191">
        <f>MAX(0,BI90-AG90)</f>
        <v/>
      </c>
      <c r="BX90" s="191">
        <f>MAX(0,BJ90-AH90)</f>
        <v/>
      </c>
      <c r="BY90" s="191">
        <f>MAX(0,BK90-AI90)</f>
        <v/>
      </c>
      <c r="BZ90" s="191">
        <f>MAX(0,BL90-AJ90)</f>
        <v/>
      </c>
      <c r="CA90" s="191">
        <f>MAX(0,BM90-AK90)</f>
        <v/>
      </c>
      <c r="CB90" s="192">
        <f>MAX(0,BN90-AL90)</f>
        <v/>
      </c>
    </row>
    <row r="91">
      <c r="A91" s="64" t="inlineStr">
        <is>
          <t>52261228000210</t>
        </is>
      </c>
      <c r="B91" s="57" t="inlineStr">
        <is>
          <t>L &amp; M NUTRICAO LTDA - ME</t>
        </is>
      </c>
      <c r="C91" s="57" t="inlineStr">
        <is>
          <t>FITLAND</t>
        </is>
      </c>
      <c r="D91" s="61" t="inlineStr">
        <is>
          <t>JULIO GADRET</t>
        </is>
      </c>
      <c r="E91" s="30" t="inlineStr">
        <is>
          <t>.</t>
        </is>
      </c>
      <c r="F91" s="63" t="n">
        <v>89</v>
      </c>
      <c r="G91" s="179" t="n">
        <v>0.298</v>
      </c>
      <c r="H91" s="57" t="inlineStr">
        <is>
          <t>🔴 VERMELHO</t>
        </is>
      </c>
      <c r="I91" s="57" t="inlineStr">
        <is>
          <t>POSITIVAÇÃO</t>
        </is>
      </c>
      <c r="J91" s="61" t="inlineStr">
        <is>
          <t>Aumentar frequência + Expandir base</t>
        </is>
      </c>
      <c r="K91" s="30" t="inlineStr">
        <is>
          <t>.</t>
        </is>
      </c>
      <c r="L91" s="180" t="n">
        <v>12625.61</v>
      </c>
      <c r="M91" s="181" t="n">
        <v>887.24</v>
      </c>
      <c r="N91" s="181" t="n">
        <v>927.13</v>
      </c>
      <c r="O91" s="181" t="n">
        <v>949.47</v>
      </c>
      <c r="P91" s="181" t="n">
        <v>974.21</v>
      </c>
      <c r="Q91" s="181" t="n">
        <v>1006.12</v>
      </c>
      <c r="R91" s="181" t="n">
        <v>1032.45</v>
      </c>
      <c r="S91" s="181" t="n">
        <v>1072.35</v>
      </c>
      <c r="T91" s="181" t="n">
        <v>1098.68</v>
      </c>
      <c r="U91" s="181" t="n">
        <v>1123.41</v>
      </c>
      <c r="V91" s="181" t="n">
        <v>1151.34</v>
      </c>
      <c r="W91" s="181" t="n">
        <v>1181.66</v>
      </c>
      <c r="X91" s="182" t="n">
        <v>1221.55</v>
      </c>
      <c r="Y91" s="183" t="inlineStr">
        <is>
          <t>.</t>
        </is>
      </c>
      <c r="Z91" s="184">
        <f>SUM(AA91:AL91)</f>
        <v/>
      </c>
      <c r="AA91" s="185" t="n">
        <v>713.84</v>
      </c>
      <c r="AB91" s="185" t="n">
        <v>0</v>
      </c>
      <c r="AC91" s="185" t="n">
        <v>624.61</v>
      </c>
      <c r="AD91" s="185" t="n">
        <v>337.7</v>
      </c>
      <c r="AE91" s="185" t="n">
        <v>0</v>
      </c>
      <c r="AF91" s="185" t="n">
        <v>2491.5</v>
      </c>
      <c r="AG91" s="185" t="n">
        <v>0</v>
      </c>
      <c r="AH91" s="185" t="n">
        <v>0</v>
      </c>
      <c r="AI91" s="185" t="n">
        <v>0</v>
      </c>
      <c r="AJ91" s="185" t="n">
        <v>1661.72</v>
      </c>
      <c r="AK91" s="185" t="n">
        <v>0</v>
      </c>
      <c r="AL91" s="186" t="n">
        <v>0</v>
      </c>
      <c r="AM91" s="30" t="inlineStr">
        <is>
          <t>.</t>
        </is>
      </c>
      <c r="AN91" s="187">
        <f>IF(L91=0,0,Z91/L91)</f>
        <v/>
      </c>
      <c r="AO91" s="57">
        <f>IF(AN91&gt;=1,"🟢",IF(AN91&gt;=0.7,"🟡",IF(AN91&gt;=0.4,"🟠","🔴")))</f>
        <v/>
      </c>
      <c r="AP91" s="185">
        <f>L91-Z91</f>
        <v/>
      </c>
      <c r="AQ91" s="55">
        <f>RANK(Z91,$Z$4:$Z$503,0)</f>
        <v/>
      </c>
      <c r="AR91" s="39" t="inlineStr">
        <is>
          <t>.</t>
        </is>
      </c>
      <c r="AS91" s="27" t="n"/>
      <c r="AT91" s="27" t="n"/>
      <c r="AU91" s="27" t="n"/>
      <c r="AV91" s="27" t="n"/>
      <c r="AW91" s="27" t="n"/>
      <c r="AX91" s="27" t="n"/>
      <c r="AY91" s="204" t="n"/>
      <c r="AZ91" s="204" t="n"/>
      <c r="BA91" s="38" t="inlineStr">
        <is>
          <t>.</t>
        </is>
      </c>
      <c r="BB91" s="190">
        <f>SUM(BC91:BN91)</f>
        <v/>
      </c>
      <c r="BC91" s="191">
        <f>L91*0.0702730030</f>
        <v/>
      </c>
      <c r="BD91" s="191">
        <f>L91*0.0734327604</f>
        <v/>
      </c>
      <c r="BE91" s="191">
        <f>L91*0.0752022245</f>
        <v/>
      </c>
      <c r="BF91" s="191">
        <f>L91*0.0771612740</f>
        <v/>
      </c>
      <c r="BG91" s="191">
        <f>L91*0.0796890799</f>
        <v/>
      </c>
      <c r="BH91" s="191">
        <f>L91*0.0817745197</f>
        <v/>
      </c>
      <c r="BI91" s="191">
        <f>L91*0.0849342770</f>
        <v/>
      </c>
      <c r="BJ91" s="191">
        <f>L91*0.0870197169</f>
        <v/>
      </c>
      <c r="BK91" s="191">
        <f>L91*0.0889787664</f>
        <v/>
      </c>
      <c r="BL91" s="191">
        <f>L91*0.0911905966</f>
        <v/>
      </c>
      <c r="BM91" s="191">
        <f>L91*0.0935920121</f>
        <v/>
      </c>
      <c r="BN91" s="192">
        <f>L91*0.0967517695</f>
        <v/>
      </c>
      <c r="BO91" s="36" t="inlineStr">
        <is>
          <t>.</t>
        </is>
      </c>
      <c r="BP91" s="193">
        <f>SUM(BQ91:CB91)</f>
        <v/>
      </c>
      <c r="BQ91" s="191">
        <f>MAX(0,BC91-AA91)</f>
        <v/>
      </c>
      <c r="BR91" s="191">
        <f>MAX(0,BD91-AB91)</f>
        <v/>
      </c>
      <c r="BS91" s="191">
        <f>MAX(0,BE91-AC91)</f>
        <v/>
      </c>
      <c r="BT91" s="191">
        <f>MAX(0,BF91-AD91)</f>
        <v/>
      </c>
      <c r="BU91" s="191">
        <f>MAX(0,BG91-AE91)</f>
        <v/>
      </c>
      <c r="BV91" s="191">
        <f>MAX(0,BH91-AF91)</f>
        <v/>
      </c>
      <c r="BW91" s="191">
        <f>MAX(0,BI91-AG91)</f>
        <v/>
      </c>
      <c r="BX91" s="191">
        <f>MAX(0,BJ91-AH91)</f>
        <v/>
      </c>
      <c r="BY91" s="191">
        <f>MAX(0,BK91-AI91)</f>
        <v/>
      </c>
      <c r="BZ91" s="191">
        <f>MAX(0,BL91-AJ91)</f>
        <v/>
      </c>
      <c r="CA91" s="191">
        <f>MAX(0,BM91-AK91)</f>
        <v/>
      </c>
      <c r="CB91" s="192">
        <f>MAX(0,BN91-AL91)</f>
        <v/>
      </c>
    </row>
    <row r="92">
      <c r="A92" s="64" t="inlineStr">
        <is>
          <t>43590125000121</t>
        </is>
      </c>
      <c r="B92" s="57" t="inlineStr">
        <is>
          <t>GRAO E VIDA PRODUTOS NATURAIS ITURAMA LT</t>
        </is>
      </c>
      <c r="C92" s="57" t="inlineStr">
        <is>
          <t>SEM GRUPO</t>
        </is>
      </c>
      <c r="D92" s="61" t="inlineStr">
        <is>
          <t>LARISSA PADILHA</t>
        </is>
      </c>
      <c r="E92" s="30" t="inlineStr">
        <is>
          <t>.</t>
        </is>
      </c>
      <c r="F92" s="63" t="n"/>
      <c r="G92" s="179" t="n"/>
      <c r="H92" s="57" t="n"/>
      <c r="I92" s="57" t="n"/>
      <c r="J92" s="61" t="n"/>
      <c r="K92" s="30" t="inlineStr">
        <is>
          <t>.</t>
        </is>
      </c>
      <c r="L92" s="180" t="n">
        <v>12505.1</v>
      </c>
      <c r="M92" s="181" t="n">
        <v>878.77</v>
      </c>
      <c r="N92" s="181" t="n">
        <v>918.28</v>
      </c>
      <c r="O92" s="181" t="n">
        <v>940.41</v>
      </c>
      <c r="P92" s="181" t="n">
        <v>964.91</v>
      </c>
      <c r="Q92" s="181" t="n">
        <v>996.52</v>
      </c>
      <c r="R92" s="181" t="n">
        <v>1022.6</v>
      </c>
      <c r="S92" s="181" t="n">
        <v>1062.11</v>
      </c>
      <c r="T92" s="181" t="n">
        <v>1088.19</v>
      </c>
      <c r="U92" s="181" t="n">
        <v>1112.69</v>
      </c>
      <c r="V92" s="181" t="n">
        <v>1140.35</v>
      </c>
      <c r="W92" s="181" t="n">
        <v>1170.38</v>
      </c>
      <c r="X92" s="182" t="n">
        <v>1209.89</v>
      </c>
      <c r="Y92" s="183" t="inlineStr">
        <is>
          <t>.</t>
        </is>
      </c>
      <c r="Z92" s="184">
        <f>SUM(AA92:AL92)</f>
        <v/>
      </c>
      <c r="AA92" s="185" t="n">
        <v>0</v>
      </c>
      <c r="AB92" s="185" t="n">
        <v>0</v>
      </c>
      <c r="AC92" s="185" t="n">
        <v>0</v>
      </c>
      <c r="AD92" s="185" t="n">
        <v>0</v>
      </c>
      <c r="AE92" s="185" t="n">
        <v>0</v>
      </c>
      <c r="AF92" s="185" t="n">
        <v>0</v>
      </c>
      <c r="AG92" s="185" t="n">
        <v>0</v>
      </c>
      <c r="AH92" s="185" t="n">
        <v>0</v>
      </c>
      <c r="AI92" s="185" t="n">
        <v>0</v>
      </c>
      <c r="AJ92" s="185" t="n">
        <v>3978.76</v>
      </c>
      <c r="AK92" s="185" t="n">
        <v>0</v>
      </c>
      <c r="AL92" s="186" t="n">
        <v>2428.79</v>
      </c>
      <c r="AM92" s="30" t="inlineStr">
        <is>
          <t>.</t>
        </is>
      </c>
      <c r="AN92" s="187">
        <f>IF(L92=0,0,Z92/L92)</f>
        <v/>
      </c>
      <c r="AO92" s="57">
        <f>IF(AN92&gt;=1,"🟢",IF(AN92&gt;=0.7,"🟡",IF(AN92&gt;=0.4,"🟠","🔴")))</f>
        <v/>
      </c>
      <c r="AP92" s="185">
        <f>L92-Z92</f>
        <v/>
      </c>
      <c r="AQ92" s="55">
        <f>RANK(Z92,$Z$4:$Z$503,0)</f>
        <v/>
      </c>
      <c r="AR92" s="39" t="inlineStr">
        <is>
          <t>.</t>
        </is>
      </c>
      <c r="AS92" s="27" t="n"/>
      <c r="AT92" s="27" t="n"/>
      <c r="AU92" s="27" t="n"/>
      <c r="AV92" s="27" t="n"/>
      <c r="AW92" s="27" t="n"/>
      <c r="AX92" s="27" t="n"/>
      <c r="AY92" s="204" t="n"/>
      <c r="AZ92" s="204" t="n"/>
      <c r="BA92" s="38" t="inlineStr">
        <is>
          <t>.</t>
        </is>
      </c>
      <c r="BB92" s="190">
        <f>SUM(BC92:BN92)</f>
        <v/>
      </c>
      <c r="BC92" s="191">
        <f>L92*0.0702730030</f>
        <v/>
      </c>
      <c r="BD92" s="191">
        <f>L92*0.0734327604</f>
        <v/>
      </c>
      <c r="BE92" s="191">
        <f>L92*0.0752022245</f>
        <v/>
      </c>
      <c r="BF92" s="191">
        <f>L92*0.0771612740</f>
        <v/>
      </c>
      <c r="BG92" s="191">
        <f>L92*0.0796890799</f>
        <v/>
      </c>
      <c r="BH92" s="191">
        <f>L92*0.0817745197</f>
        <v/>
      </c>
      <c r="BI92" s="191">
        <f>L92*0.0849342770</f>
        <v/>
      </c>
      <c r="BJ92" s="191">
        <f>L92*0.0870197169</f>
        <v/>
      </c>
      <c r="BK92" s="191">
        <f>L92*0.0889787664</f>
        <v/>
      </c>
      <c r="BL92" s="191">
        <f>L92*0.0911905966</f>
        <v/>
      </c>
      <c r="BM92" s="191">
        <f>L92*0.0935920121</f>
        <v/>
      </c>
      <c r="BN92" s="192">
        <f>L92*0.0967517695</f>
        <v/>
      </c>
      <c r="BO92" s="36" t="inlineStr">
        <is>
          <t>.</t>
        </is>
      </c>
      <c r="BP92" s="193">
        <f>SUM(BQ92:CB92)</f>
        <v/>
      </c>
      <c r="BQ92" s="191">
        <f>MAX(0,BC92-AA92)</f>
        <v/>
      </c>
      <c r="BR92" s="191">
        <f>MAX(0,BD92-AB92)</f>
        <v/>
      </c>
      <c r="BS92" s="191">
        <f>MAX(0,BE92-AC92)</f>
        <v/>
      </c>
      <c r="BT92" s="191">
        <f>MAX(0,BF92-AD92)</f>
        <v/>
      </c>
      <c r="BU92" s="191">
        <f>MAX(0,BG92-AE92)</f>
        <v/>
      </c>
      <c r="BV92" s="191">
        <f>MAX(0,BH92-AF92)</f>
        <v/>
      </c>
      <c r="BW92" s="191">
        <f>MAX(0,BI92-AG92)</f>
        <v/>
      </c>
      <c r="BX92" s="191">
        <f>MAX(0,BJ92-AH92)</f>
        <v/>
      </c>
      <c r="BY92" s="191">
        <f>MAX(0,BK92-AI92)</f>
        <v/>
      </c>
      <c r="BZ92" s="191">
        <f>MAX(0,BL92-AJ92)</f>
        <v/>
      </c>
      <c r="CA92" s="191">
        <f>MAX(0,BM92-AK92)</f>
        <v/>
      </c>
      <c r="CB92" s="192">
        <f>MAX(0,BN92-AL92)</f>
        <v/>
      </c>
    </row>
    <row r="93">
      <c r="A93" s="64" t="inlineStr">
        <is>
          <t>31983992000148</t>
        </is>
      </c>
      <c r="B93" s="57" t="inlineStr">
        <is>
          <t>PRO ABELHA COMERCIO E IND PROD ALIMENTCI</t>
        </is>
      </c>
      <c r="C93" s="57" t="inlineStr">
        <is>
          <t>SEM GRUPO</t>
        </is>
      </c>
      <c r="D93" s="61" t="inlineStr">
        <is>
          <t>LARISSA PADILHA</t>
        </is>
      </c>
      <c r="E93" s="30" t="inlineStr">
        <is>
          <t>.</t>
        </is>
      </c>
      <c r="F93" s="63" t="n"/>
      <c r="G93" s="179" t="n"/>
      <c r="H93" s="57" t="n"/>
      <c r="I93" s="57" t="n"/>
      <c r="J93" s="61" t="n"/>
      <c r="K93" s="30" t="inlineStr">
        <is>
          <t>.</t>
        </is>
      </c>
      <c r="L93" s="180" t="n">
        <v>12501.86</v>
      </c>
      <c r="M93" s="181" t="n">
        <v>878.54</v>
      </c>
      <c r="N93" s="181" t="n">
        <v>918.05</v>
      </c>
      <c r="O93" s="181" t="n">
        <v>940.17</v>
      </c>
      <c r="P93" s="181" t="n">
        <v>964.66</v>
      </c>
      <c r="Q93" s="181" t="n">
        <v>996.26</v>
      </c>
      <c r="R93" s="181" t="n">
        <v>1022.33</v>
      </c>
      <c r="S93" s="181" t="n">
        <v>1061.84</v>
      </c>
      <c r="T93" s="181" t="n">
        <v>1087.91</v>
      </c>
      <c r="U93" s="181" t="n">
        <v>1112.4</v>
      </c>
      <c r="V93" s="181" t="n">
        <v>1140.05</v>
      </c>
      <c r="W93" s="181" t="n">
        <v>1170.07</v>
      </c>
      <c r="X93" s="182" t="n">
        <v>1209.58</v>
      </c>
      <c r="Y93" s="183" t="inlineStr">
        <is>
          <t>.</t>
        </is>
      </c>
      <c r="Z93" s="184">
        <f>SUM(AA93:AL93)</f>
        <v/>
      </c>
      <c r="AA93" s="185" t="n">
        <v>0</v>
      </c>
      <c r="AB93" s="185" t="n">
        <v>0</v>
      </c>
      <c r="AC93" s="185" t="n">
        <v>0</v>
      </c>
      <c r="AD93" s="185" t="n">
        <v>0</v>
      </c>
      <c r="AE93" s="185" t="n">
        <v>0</v>
      </c>
      <c r="AF93" s="185" t="n">
        <v>0</v>
      </c>
      <c r="AG93" s="185" t="n">
        <v>0</v>
      </c>
      <c r="AH93" s="185" t="n">
        <v>0</v>
      </c>
      <c r="AI93" s="185" t="n">
        <v>5756.13</v>
      </c>
      <c r="AJ93" s="185" t="n">
        <v>0</v>
      </c>
      <c r="AK93" s="185" t="n">
        <v>0</v>
      </c>
      <c r="AL93" s="186" t="n">
        <v>0</v>
      </c>
      <c r="AM93" s="30" t="inlineStr">
        <is>
          <t>.</t>
        </is>
      </c>
      <c r="AN93" s="187">
        <f>IF(L93=0,0,Z93/L93)</f>
        <v/>
      </c>
      <c r="AO93" s="57">
        <f>IF(AN93&gt;=1,"🟢",IF(AN93&gt;=0.7,"🟡",IF(AN93&gt;=0.4,"🟠","🔴")))</f>
        <v/>
      </c>
      <c r="AP93" s="185">
        <f>L93-Z93</f>
        <v/>
      </c>
      <c r="AQ93" s="55">
        <f>RANK(Z93,$Z$4:$Z$503,0)</f>
        <v/>
      </c>
      <c r="AR93" s="39" t="inlineStr">
        <is>
          <t>.</t>
        </is>
      </c>
      <c r="AS93" s="27" t="n"/>
      <c r="AT93" s="27" t="n"/>
      <c r="AU93" s="27" t="n"/>
      <c r="AV93" s="27" t="n"/>
      <c r="AW93" s="27" t="n"/>
      <c r="AX93" s="27" t="n"/>
      <c r="AY93" s="204" t="n"/>
      <c r="AZ93" s="204" t="n"/>
      <c r="BA93" s="38" t="inlineStr">
        <is>
          <t>.</t>
        </is>
      </c>
      <c r="BB93" s="190">
        <f>SUM(BC93:BN93)</f>
        <v/>
      </c>
      <c r="BC93" s="191">
        <f>L93*0.0702730030</f>
        <v/>
      </c>
      <c r="BD93" s="191">
        <f>L93*0.0734327604</f>
        <v/>
      </c>
      <c r="BE93" s="191">
        <f>L93*0.0752022245</f>
        <v/>
      </c>
      <c r="BF93" s="191">
        <f>L93*0.0771612740</f>
        <v/>
      </c>
      <c r="BG93" s="191">
        <f>L93*0.0796890799</f>
        <v/>
      </c>
      <c r="BH93" s="191">
        <f>L93*0.0817745197</f>
        <v/>
      </c>
      <c r="BI93" s="191">
        <f>L93*0.0849342770</f>
        <v/>
      </c>
      <c r="BJ93" s="191">
        <f>L93*0.0870197169</f>
        <v/>
      </c>
      <c r="BK93" s="191">
        <f>L93*0.0889787664</f>
        <v/>
      </c>
      <c r="BL93" s="191">
        <f>L93*0.0911905966</f>
        <v/>
      </c>
      <c r="BM93" s="191">
        <f>L93*0.0935920121</f>
        <v/>
      </c>
      <c r="BN93" s="192">
        <f>L93*0.0967517695</f>
        <v/>
      </c>
      <c r="BO93" s="36" t="inlineStr">
        <is>
          <t>.</t>
        </is>
      </c>
      <c r="BP93" s="193">
        <f>SUM(BQ93:CB93)</f>
        <v/>
      </c>
      <c r="BQ93" s="191">
        <f>MAX(0,BC93-AA93)</f>
        <v/>
      </c>
      <c r="BR93" s="191">
        <f>MAX(0,BD93-AB93)</f>
        <v/>
      </c>
      <c r="BS93" s="191">
        <f>MAX(0,BE93-AC93)</f>
        <v/>
      </c>
      <c r="BT93" s="191">
        <f>MAX(0,BF93-AD93)</f>
        <v/>
      </c>
      <c r="BU93" s="191">
        <f>MAX(0,BG93-AE93)</f>
        <v/>
      </c>
      <c r="BV93" s="191">
        <f>MAX(0,BH93-AF93)</f>
        <v/>
      </c>
      <c r="BW93" s="191">
        <f>MAX(0,BI93-AG93)</f>
        <v/>
      </c>
      <c r="BX93" s="191">
        <f>MAX(0,BJ93-AH93)</f>
        <v/>
      </c>
      <c r="BY93" s="191">
        <f>MAX(0,BK93-AI93)</f>
        <v/>
      </c>
      <c r="BZ93" s="191">
        <f>MAX(0,BL93-AJ93)</f>
        <v/>
      </c>
      <c r="CA93" s="191">
        <f>MAX(0,BM93-AK93)</f>
        <v/>
      </c>
      <c r="CB93" s="192">
        <f>MAX(0,BN93-AL93)</f>
        <v/>
      </c>
    </row>
    <row r="94">
      <c r="A94" s="64" t="inlineStr">
        <is>
          <t>48506346000192</t>
        </is>
      </c>
      <c r="B94" s="57" t="inlineStr">
        <is>
          <t>REDE HIPER GRAOS RODOVIARIA RJ COMERCIOL</t>
        </is>
      </c>
      <c r="C94" s="57" t="inlineStr">
        <is>
          <t>SEM GRUPO</t>
        </is>
      </c>
      <c r="D94" s="61" t="inlineStr">
        <is>
          <t>LARISSA PADILHA</t>
        </is>
      </c>
      <c r="E94" s="30" t="inlineStr">
        <is>
          <t>.</t>
        </is>
      </c>
      <c r="F94" s="63" t="n"/>
      <c r="G94" s="179" t="n"/>
      <c r="H94" s="57" t="n"/>
      <c r="I94" s="57" t="n"/>
      <c r="J94" s="61" t="n"/>
      <c r="K94" s="30" t="inlineStr">
        <is>
          <t>.</t>
        </is>
      </c>
      <c r="L94" s="180" t="n">
        <v>12497.17</v>
      </c>
      <c r="M94" s="181" t="n">
        <v>878.21</v>
      </c>
      <c r="N94" s="181" t="n">
        <v>917.7</v>
      </c>
      <c r="O94" s="181" t="n">
        <v>939.8200000000001</v>
      </c>
      <c r="P94" s="181" t="n">
        <v>964.3</v>
      </c>
      <c r="Q94" s="181" t="n">
        <v>995.89</v>
      </c>
      <c r="R94" s="181" t="n">
        <v>1021.95</v>
      </c>
      <c r="S94" s="181" t="n">
        <v>1061.44</v>
      </c>
      <c r="T94" s="181" t="n">
        <v>1087.5</v>
      </c>
      <c r="U94" s="181" t="n">
        <v>1111.98</v>
      </c>
      <c r="V94" s="181" t="n">
        <v>1139.62</v>
      </c>
      <c r="W94" s="181" t="n">
        <v>1169.64</v>
      </c>
      <c r="X94" s="182" t="n">
        <v>1209.12</v>
      </c>
      <c r="Y94" s="183" t="inlineStr">
        <is>
          <t>.</t>
        </is>
      </c>
      <c r="Z94" s="184">
        <f>SUM(AA94:AL94)</f>
        <v/>
      </c>
      <c r="AA94" s="185" t="n">
        <v>0</v>
      </c>
      <c r="AB94" s="185" t="n">
        <v>0</v>
      </c>
      <c r="AC94" s="185" t="n">
        <v>0</v>
      </c>
      <c r="AD94" s="185" t="n">
        <v>0</v>
      </c>
      <c r="AE94" s="185" t="n">
        <v>1360.01</v>
      </c>
      <c r="AF94" s="185" t="n">
        <v>0</v>
      </c>
      <c r="AG94" s="185" t="n">
        <v>0</v>
      </c>
      <c r="AH94" s="185" t="n">
        <v>1740.33</v>
      </c>
      <c r="AI94" s="185" t="n">
        <v>0</v>
      </c>
      <c r="AJ94" s="185" t="n">
        <v>3091.59</v>
      </c>
      <c r="AK94" s="185" t="n">
        <v>0</v>
      </c>
      <c r="AL94" s="186" t="n">
        <v>0</v>
      </c>
      <c r="AM94" s="30" t="inlineStr">
        <is>
          <t>.</t>
        </is>
      </c>
      <c r="AN94" s="187">
        <f>IF(L94=0,0,Z94/L94)</f>
        <v/>
      </c>
      <c r="AO94" s="57">
        <f>IF(AN94&gt;=1,"🟢",IF(AN94&gt;=0.7,"🟡",IF(AN94&gt;=0.4,"🟠","🔴")))</f>
        <v/>
      </c>
      <c r="AP94" s="185">
        <f>L94-Z94</f>
        <v/>
      </c>
      <c r="AQ94" s="55">
        <f>RANK(Z94,$Z$4:$Z$503,0)</f>
        <v/>
      </c>
      <c r="AR94" s="39" t="inlineStr">
        <is>
          <t>.</t>
        </is>
      </c>
      <c r="AS94" s="27" t="n"/>
      <c r="AT94" s="27" t="n"/>
      <c r="AU94" s="27" t="n"/>
      <c r="AV94" s="27" t="n"/>
      <c r="AW94" s="27" t="n"/>
      <c r="AX94" s="27" t="n"/>
      <c r="AY94" s="204" t="n"/>
      <c r="AZ94" s="204" t="n"/>
      <c r="BA94" s="38" t="inlineStr">
        <is>
          <t>.</t>
        </is>
      </c>
      <c r="BB94" s="190">
        <f>SUM(BC94:BN94)</f>
        <v/>
      </c>
      <c r="BC94" s="191">
        <f>L94*0.0702730030</f>
        <v/>
      </c>
      <c r="BD94" s="191">
        <f>L94*0.0734327604</f>
        <v/>
      </c>
      <c r="BE94" s="191">
        <f>L94*0.0752022245</f>
        <v/>
      </c>
      <c r="BF94" s="191">
        <f>L94*0.0771612740</f>
        <v/>
      </c>
      <c r="BG94" s="191">
        <f>L94*0.0796890799</f>
        <v/>
      </c>
      <c r="BH94" s="191">
        <f>L94*0.0817745197</f>
        <v/>
      </c>
      <c r="BI94" s="191">
        <f>L94*0.0849342770</f>
        <v/>
      </c>
      <c r="BJ94" s="191">
        <f>L94*0.0870197169</f>
        <v/>
      </c>
      <c r="BK94" s="191">
        <f>L94*0.0889787664</f>
        <v/>
      </c>
      <c r="BL94" s="191">
        <f>L94*0.0911905966</f>
        <v/>
      </c>
      <c r="BM94" s="191">
        <f>L94*0.0935920121</f>
        <v/>
      </c>
      <c r="BN94" s="192">
        <f>L94*0.0967517695</f>
        <v/>
      </c>
      <c r="BO94" s="36" t="inlineStr">
        <is>
          <t>.</t>
        </is>
      </c>
      <c r="BP94" s="193">
        <f>SUM(BQ94:CB94)</f>
        <v/>
      </c>
      <c r="BQ94" s="191">
        <f>MAX(0,BC94-AA94)</f>
        <v/>
      </c>
      <c r="BR94" s="191">
        <f>MAX(0,BD94-AB94)</f>
        <v/>
      </c>
      <c r="BS94" s="191">
        <f>MAX(0,BE94-AC94)</f>
        <v/>
      </c>
      <c r="BT94" s="191">
        <f>MAX(0,BF94-AD94)</f>
        <v/>
      </c>
      <c r="BU94" s="191">
        <f>MAX(0,BG94-AE94)</f>
        <v/>
      </c>
      <c r="BV94" s="191">
        <f>MAX(0,BH94-AF94)</f>
        <v/>
      </c>
      <c r="BW94" s="191">
        <f>MAX(0,BI94-AG94)</f>
        <v/>
      </c>
      <c r="BX94" s="191">
        <f>MAX(0,BJ94-AH94)</f>
        <v/>
      </c>
      <c r="BY94" s="191">
        <f>MAX(0,BK94-AI94)</f>
        <v/>
      </c>
      <c r="BZ94" s="191">
        <f>MAX(0,BL94-AJ94)</f>
        <v/>
      </c>
      <c r="CA94" s="191">
        <f>MAX(0,BM94-AK94)</f>
        <v/>
      </c>
      <c r="CB94" s="192">
        <f>MAX(0,BN94-AL94)</f>
        <v/>
      </c>
    </row>
    <row r="95">
      <c r="A95" s="64" t="inlineStr">
        <is>
          <t>49336255000119</t>
        </is>
      </c>
      <c r="B95" s="57" t="inlineStr">
        <is>
          <t>EVORA GASTRONOMIA COMERCIO ALIMENTACAO L</t>
        </is>
      </c>
      <c r="C95" s="57" t="inlineStr">
        <is>
          <t>SEM GRUPO</t>
        </is>
      </c>
      <c r="D95" s="61" t="inlineStr">
        <is>
          <t>LARISSA PADILHA</t>
        </is>
      </c>
      <c r="E95" s="30" t="inlineStr">
        <is>
          <t>.</t>
        </is>
      </c>
      <c r="F95" s="63" t="n"/>
      <c r="G95" s="179" t="n"/>
      <c r="H95" s="57" t="n"/>
      <c r="I95" s="57" t="n"/>
      <c r="J95" s="61" t="n"/>
      <c r="K95" s="30" t="inlineStr">
        <is>
          <t>.</t>
        </is>
      </c>
      <c r="L95" s="180" t="n">
        <v>12234.5</v>
      </c>
      <c r="M95" s="181" t="n">
        <v>859.76</v>
      </c>
      <c r="N95" s="181" t="n">
        <v>898.41</v>
      </c>
      <c r="O95" s="181" t="n">
        <v>920.0599999999999</v>
      </c>
      <c r="P95" s="181" t="n">
        <v>944.03</v>
      </c>
      <c r="Q95" s="181" t="n">
        <v>974.96</v>
      </c>
      <c r="R95" s="181" t="n">
        <v>1000.47</v>
      </c>
      <c r="S95" s="181" t="n">
        <v>1039.13</v>
      </c>
      <c r="T95" s="181" t="n">
        <v>1064.64</v>
      </c>
      <c r="U95" s="181" t="n">
        <v>1088.61</v>
      </c>
      <c r="V95" s="181" t="n">
        <v>1115.67</v>
      </c>
      <c r="W95" s="181" t="n">
        <v>1145.05</v>
      </c>
      <c r="X95" s="182" t="n">
        <v>1183.71</v>
      </c>
      <c r="Y95" s="183" t="inlineStr">
        <is>
          <t>.</t>
        </is>
      </c>
      <c r="Z95" s="184">
        <f>SUM(AA95:AL95)</f>
        <v/>
      </c>
      <c r="AA95" s="185" t="n">
        <v>0</v>
      </c>
      <c r="AB95" s="185" t="n">
        <v>0</v>
      </c>
      <c r="AC95" s="185" t="n">
        <v>0</v>
      </c>
      <c r="AD95" s="185" t="n">
        <v>0</v>
      </c>
      <c r="AE95" s="185" t="n">
        <v>0</v>
      </c>
      <c r="AF95" s="185" t="n">
        <v>0</v>
      </c>
      <c r="AG95" s="185" t="n">
        <v>0</v>
      </c>
      <c r="AH95" s="185" t="n">
        <v>0</v>
      </c>
      <c r="AI95" s="185" t="n">
        <v>0</v>
      </c>
      <c r="AJ95" s="185" t="n">
        <v>0</v>
      </c>
      <c r="AK95" s="185" t="n">
        <v>0</v>
      </c>
      <c r="AL95" s="186" t="n">
        <v>5392.11</v>
      </c>
      <c r="AM95" s="30" t="inlineStr">
        <is>
          <t>.</t>
        </is>
      </c>
      <c r="AN95" s="187">
        <f>IF(L95=0,0,Z95/L95)</f>
        <v/>
      </c>
      <c r="AO95" s="57">
        <f>IF(AN95&gt;=1,"🟢",IF(AN95&gt;=0.7,"🟡",IF(AN95&gt;=0.4,"🟠","🔴")))</f>
        <v/>
      </c>
      <c r="AP95" s="185">
        <f>L95-Z95</f>
        <v/>
      </c>
      <c r="AQ95" s="55">
        <f>RANK(Z95,$Z$4:$Z$503,0)</f>
        <v/>
      </c>
      <c r="AR95" s="39" t="inlineStr">
        <is>
          <t>.</t>
        </is>
      </c>
      <c r="AS95" s="27" t="n"/>
      <c r="AT95" s="27" t="n"/>
      <c r="AU95" s="27" t="n"/>
      <c r="AV95" s="27" t="n"/>
      <c r="AW95" s="27" t="n"/>
      <c r="AX95" s="27" t="n"/>
      <c r="AY95" s="204" t="n"/>
      <c r="AZ95" s="204" t="n"/>
      <c r="BA95" s="38" t="inlineStr">
        <is>
          <t>.</t>
        </is>
      </c>
      <c r="BB95" s="190">
        <f>SUM(BC95:BN95)</f>
        <v/>
      </c>
      <c r="BC95" s="191">
        <f>L95*0.0702730030</f>
        <v/>
      </c>
      <c r="BD95" s="191">
        <f>L95*0.0734327604</f>
        <v/>
      </c>
      <c r="BE95" s="191">
        <f>L95*0.0752022245</f>
        <v/>
      </c>
      <c r="BF95" s="191">
        <f>L95*0.0771612740</f>
        <v/>
      </c>
      <c r="BG95" s="191">
        <f>L95*0.0796890799</f>
        <v/>
      </c>
      <c r="BH95" s="191">
        <f>L95*0.0817745197</f>
        <v/>
      </c>
      <c r="BI95" s="191">
        <f>L95*0.0849342770</f>
        <v/>
      </c>
      <c r="BJ95" s="191">
        <f>L95*0.0870197169</f>
        <v/>
      </c>
      <c r="BK95" s="191">
        <f>L95*0.0889787664</f>
        <v/>
      </c>
      <c r="BL95" s="191">
        <f>L95*0.0911905966</f>
        <v/>
      </c>
      <c r="BM95" s="191">
        <f>L95*0.0935920121</f>
        <v/>
      </c>
      <c r="BN95" s="192">
        <f>L95*0.0967517695</f>
        <v/>
      </c>
      <c r="BO95" s="36" t="inlineStr">
        <is>
          <t>.</t>
        </is>
      </c>
      <c r="BP95" s="193">
        <f>SUM(BQ95:CB95)</f>
        <v/>
      </c>
      <c r="BQ95" s="191">
        <f>MAX(0,BC95-AA95)</f>
        <v/>
      </c>
      <c r="BR95" s="191">
        <f>MAX(0,BD95-AB95)</f>
        <v/>
      </c>
      <c r="BS95" s="191">
        <f>MAX(0,BE95-AC95)</f>
        <v/>
      </c>
      <c r="BT95" s="191">
        <f>MAX(0,BF95-AD95)</f>
        <v/>
      </c>
      <c r="BU95" s="191">
        <f>MAX(0,BG95-AE95)</f>
        <v/>
      </c>
      <c r="BV95" s="191">
        <f>MAX(0,BH95-AF95)</f>
        <v/>
      </c>
      <c r="BW95" s="191">
        <f>MAX(0,BI95-AG95)</f>
        <v/>
      </c>
      <c r="BX95" s="191">
        <f>MAX(0,BJ95-AH95)</f>
        <v/>
      </c>
      <c r="BY95" s="191">
        <f>MAX(0,BK95-AI95)</f>
        <v/>
      </c>
      <c r="BZ95" s="191">
        <f>MAX(0,BL95-AJ95)</f>
        <v/>
      </c>
      <c r="CA95" s="191">
        <f>MAX(0,BM95-AK95)</f>
        <v/>
      </c>
      <c r="CB95" s="192">
        <f>MAX(0,BN95-AL95)</f>
        <v/>
      </c>
    </row>
    <row r="96">
      <c r="A96" s="64" t="inlineStr">
        <is>
          <t>58249963000103</t>
        </is>
      </c>
      <c r="B96" s="57" t="inlineStr">
        <is>
          <t>'+VERDE PRODUTOS NATURAIS E SUPLEMENTOS L</t>
        </is>
      </c>
      <c r="C96" s="57" t="inlineStr">
        <is>
          <t>SEM GRUPO</t>
        </is>
      </c>
      <c r="D96" s="61" t="inlineStr">
        <is>
          <t>LARISSA PADILHA</t>
        </is>
      </c>
      <c r="E96" s="30" t="inlineStr">
        <is>
          <t>.</t>
        </is>
      </c>
      <c r="F96" s="63" t="n"/>
      <c r="G96" s="179" t="n"/>
      <c r="H96" s="57" t="n"/>
      <c r="I96" s="57" t="n"/>
      <c r="J96" s="61" t="n"/>
      <c r="K96" s="30" t="inlineStr">
        <is>
          <t>.</t>
        </is>
      </c>
      <c r="L96" s="180" t="n">
        <v>12164.62</v>
      </c>
      <c r="M96" s="181" t="n">
        <v>854.84</v>
      </c>
      <c r="N96" s="181" t="n">
        <v>893.28</v>
      </c>
      <c r="O96" s="181" t="n">
        <v>914.8099999999999</v>
      </c>
      <c r="P96" s="181" t="n">
        <v>938.64</v>
      </c>
      <c r="Q96" s="181" t="n">
        <v>969.39</v>
      </c>
      <c r="R96" s="181" t="n">
        <v>994.76</v>
      </c>
      <c r="S96" s="181" t="n">
        <v>1033.19</v>
      </c>
      <c r="T96" s="181" t="n">
        <v>1058.56</v>
      </c>
      <c r="U96" s="181" t="n">
        <v>1082.39</v>
      </c>
      <c r="V96" s="181" t="n">
        <v>1109.3</v>
      </c>
      <c r="W96" s="181" t="n">
        <v>1138.51</v>
      </c>
      <c r="X96" s="182" t="n">
        <v>1176.95</v>
      </c>
      <c r="Y96" s="183" t="inlineStr">
        <is>
          <t>.</t>
        </is>
      </c>
      <c r="Z96" s="184">
        <f>SUM(AA96:AL96)</f>
        <v/>
      </c>
      <c r="AA96" s="185" t="n">
        <v>0</v>
      </c>
      <c r="AB96" s="185" t="n">
        <v>0</v>
      </c>
      <c r="AC96" s="185" t="n">
        <v>3599.45</v>
      </c>
      <c r="AD96" s="185" t="n">
        <v>515.1799999999999</v>
      </c>
      <c r="AE96" s="185" t="n">
        <v>633.61</v>
      </c>
      <c r="AF96" s="185" t="n">
        <v>0</v>
      </c>
      <c r="AG96" s="185" t="n">
        <v>0</v>
      </c>
      <c r="AH96" s="185" t="n">
        <v>0</v>
      </c>
      <c r="AI96" s="185" t="n">
        <v>0</v>
      </c>
      <c r="AJ96" s="185" t="n">
        <v>0</v>
      </c>
      <c r="AK96" s="185" t="n">
        <v>0</v>
      </c>
      <c r="AL96" s="186" t="n">
        <v>0</v>
      </c>
      <c r="AM96" s="30" t="inlineStr">
        <is>
          <t>.</t>
        </is>
      </c>
      <c r="AN96" s="187">
        <f>IF(L96=0,0,Z96/L96)</f>
        <v/>
      </c>
      <c r="AO96" s="57">
        <f>IF(AN96&gt;=1,"🟢",IF(AN96&gt;=0.7,"🟡",IF(AN96&gt;=0.4,"🟠","🔴")))</f>
        <v/>
      </c>
      <c r="AP96" s="185">
        <f>L96-Z96</f>
        <v/>
      </c>
      <c r="AQ96" s="55">
        <f>RANK(Z96,$Z$4:$Z$503,0)</f>
        <v/>
      </c>
      <c r="AR96" s="39" t="inlineStr">
        <is>
          <t>.</t>
        </is>
      </c>
      <c r="AS96" s="27" t="n"/>
      <c r="AT96" s="27" t="n"/>
      <c r="AU96" s="27" t="n"/>
      <c r="AV96" s="27" t="n"/>
      <c r="AW96" s="27" t="n"/>
      <c r="AX96" s="27" t="n"/>
      <c r="AY96" s="204" t="n"/>
      <c r="AZ96" s="204" t="n"/>
      <c r="BA96" s="38" t="inlineStr">
        <is>
          <t>.</t>
        </is>
      </c>
      <c r="BB96" s="190">
        <f>SUM(BC96:BN96)</f>
        <v/>
      </c>
      <c r="BC96" s="191">
        <f>L96*0.0702730030</f>
        <v/>
      </c>
      <c r="BD96" s="191">
        <f>L96*0.0734327604</f>
        <v/>
      </c>
      <c r="BE96" s="191">
        <f>L96*0.0752022245</f>
        <v/>
      </c>
      <c r="BF96" s="191">
        <f>L96*0.0771612740</f>
        <v/>
      </c>
      <c r="BG96" s="191">
        <f>L96*0.0796890799</f>
        <v/>
      </c>
      <c r="BH96" s="191">
        <f>L96*0.0817745197</f>
        <v/>
      </c>
      <c r="BI96" s="191">
        <f>L96*0.0849342770</f>
        <v/>
      </c>
      <c r="BJ96" s="191">
        <f>L96*0.0870197169</f>
        <v/>
      </c>
      <c r="BK96" s="191">
        <f>L96*0.0889787664</f>
        <v/>
      </c>
      <c r="BL96" s="191">
        <f>L96*0.0911905966</f>
        <v/>
      </c>
      <c r="BM96" s="191">
        <f>L96*0.0935920121</f>
        <v/>
      </c>
      <c r="BN96" s="192">
        <f>L96*0.0967517695</f>
        <v/>
      </c>
      <c r="BO96" s="36" t="inlineStr">
        <is>
          <t>.</t>
        </is>
      </c>
      <c r="BP96" s="193">
        <f>SUM(BQ96:CB96)</f>
        <v/>
      </c>
      <c r="BQ96" s="191">
        <f>MAX(0,BC96-AA96)</f>
        <v/>
      </c>
      <c r="BR96" s="191">
        <f>MAX(0,BD96-AB96)</f>
        <v/>
      </c>
      <c r="BS96" s="191">
        <f>MAX(0,BE96-AC96)</f>
        <v/>
      </c>
      <c r="BT96" s="191">
        <f>MAX(0,BF96-AD96)</f>
        <v/>
      </c>
      <c r="BU96" s="191">
        <f>MAX(0,BG96-AE96)</f>
        <v/>
      </c>
      <c r="BV96" s="191">
        <f>MAX(0,BH96-AF96)</f>
        <v/>
      </c>
      <c r="BW96" s="191">
        <f>MAX(0,BI96-AG96)</f>
        <v/>
      </c>
      <c r="BX96" s="191">
        <f>MAX(0,BJ96-AH96)</f>
        <v/>
      </c>
      <c r="BY96" s="191">
        <f>MAX(0,BK96-AI96)</f>
        <v/>
      </c>
      <c r="BZ96" s="191">
        <f>MAX(0,BL96-AJ96)</f>
        <v/>
      </c>
      <c r="CA96" s="191">
        <f>MAX(0,BM96-AK96)</f>
        <v/>
      </c>
      <c r="CB96" s="192">
        <f>MAX(0,BN96-AL96)</f>
        <v/>
      </c>
    </row>
    <row r="97">
      <c r="A97" s="64" t="inlineStr">
        <is>
          <t>18078522000171</t>
        </is>
      </c>
      <c r="B97" s="57" t="inlineStr">
        <is>
          <t>MBD CURTY REIS - PRODUTOS NATURAIS - EPP</t>
        </is>
      </c>
      <c r="C97" s="57" t="inlineStr">
        <is>
          <t>MUNDO VERDE</t>
        </is>
      </c>
      <c r="D97" s="61" t="inlineStr">
        <is>
          <t>DAIANE STAVICKI</t>
        </is>
      </c>
      <c r="E97" s="30" t="inlineStr">
        <is>
          <t>.</t>
        </is>
      </c>
      <c r="F97" s="63" t="n">
        <v>199</v>
      </c>
      <c r="G97" s="179" t="n">
        <v>0.014</v>
      </c>
      <c r="H97" s="57" t="inlineStr">
        <is>
          <t>🔴 VERMELHO</t>
        </is>
      </c>
      <c r="I97" s="57" t="inlineStr">
        <is>
          <t>ATIVAÇÃO</t>
        </is>
      </c>
      <c r="J97" s="61" t="inlineStr">
        <is>
          <t>Reativar inativos + Prospectar</t>
        </is>
      </c>
      <c r="K97" s="30" t="inlineStr">
        <is>
          <t>.</t>
        </is>
      </c>
      <c r="L97" s="180" t="n">
        <v>11964.98</v>
      </c>
      <c r="M97" s="181" t="n">
        <v>840.8200000000001</v>
      </c>
      <c r="N97" s="181" t="n">
        <v>878.62</v>
      </c>
      <c r="O97" s="181" t="n">
        <v>899.79</v>
      </c>
      <c r="P97" s="181" t="n">
        <v>923.23</v>
      </c>
      <c r="Q97" s="181" t="n">
        <v>953.48</v>
      </c>
      <c r="R97" s="181" t="n">
        <v>978.4299999999999</v>
      </c>
      <c r="S97" s="181" t="n">
        <v>1016.24</v>
      </c>
      <c r="T97" s="181" t="n">
        <v>1041.19</v>
      </c>
      <c r="U97" s="181" t="n">
        <v>1064.63</v>
      </c>
      <c r="V97" s="181" t="n">
        <v>1091.09</v>
      </c>
      <c r="W97" s="181" t="n">
        <v>1119.83</v>
      </c>
      <c r="X97" s="182" t="n">
        <v>1157.63</v>
      </c>
      <c r="Y97" s="183" t="inlineStr">
        <is>
          <t>.</t>
        </is>
      </c>
      <c r="Z97" s="184">
        <f>SUM(AA97:AL97)</f>
        <v/>
      </c>
      <c r="AA97" s="185" t="n">
        <v>0</v>
      </c>
      <c r="AB97" s="185" t="n">
        <v>0</v>
      </c>
      <c r="AC97" s="185" t="n">
        <v>0</v>
      </c>
      <c r="AD97" s="185" t="n">
        <v>0</v>
      </c>
      <c r="AE97" s="185" t="n">
        <v>0</v>
      </c>
      <c r="AF97" s="185" t="n">
        <v>1907.96</v>
      </c>
      <c r="AG97" s="185" t="n">
        <v>0</v>
      </c>
      <c r="AH97" s="185" t="n">
        <v>1467.64</v>
      </c>
      <c r="AI97" s="185" t="n">
        <v>0</v>
      </c>
      <c r="AJ97" s="185" t="n">
        <v>0</v>
      </c>
      <c r="AK97" s="185" t="n">
        <v>1990.08</v>
      </c>
      <c r="AL97" s="186" t="n">
        <v>0</v>
      </c>
      <c r="AM97" s="30" t="inlineStr">
        <is>
          <t>.</t>
        </is>
      </c>
      <c r="AN97" s="187">
        <f>IF(L97=0,0,Z97/L97)</f>
        <v/>
      </c>
      <c r="AO97" s="57">
        <f>IF(AN97&gt;=1,"🟢",IF(AN97&gt;=0.7,"🟡",IF(AN97&gt;=0.4,"🟠","🔴")))</f>
        <v/>
      </c>
      <c r="AP97" s="185">
        <f>L97-Z97</f>
        <v/>
      </c>
      <c r="AQ97" s="55">
        <f>RANK(Z97,$Z$4:$Z$503,0)</f>
        <v/>
      </c>
      <c r="AR97" s="39" t="inlineStr">
        <is>
          <t>.</t>
        </is>
      </c>
      <c r="AS97" s="27" t="n"/>
      <c r="AT97" s="27" t="n"/>
      <c r="AU97" s="27" t="n"/>
      <c r="AV97" s="27" t="n"/>
      <c r="AW97" s="27" t="n"/>
      <c r="AX97" s="27" t="n"/>
      <c r="AY97" s="204" t="n"/>
      <c r="AZ97" s="204" t="n"/>
      <c r="BA97" s="38" t="inlineStr">
        <is>
          <t>.</t>
        </is>
      </c>
      <c r="BB97" s="190">
        <f>SUM(BC97:BN97)</f>
        <v/>
      </c>
      <c r="BC97" s="191">
        <f>L97*0.0702730030</f>
        <v/>
      </c>
      <c r="BD97" s="191">
        <f>L97*0.0734327604</f>
        <v/>
      </c>
      <c r="BE97" s="191">
        <f>L97*0.0752022245</f>
        <v/>
      </c>
      <c r="BF97" s="191">
        <f>L97*0.0771612740</f>
        <v/>
      </c>
      <c r="BG97" s="191">
        <f>L97*0.0796890799</f>
        <v/>
      </c>
      <c r="BH97" s="191">
        <f>L97*0.0817745197</f>
        <v/>
      </c>
      <c r="BI97" s="191">
        <f>L97*0.0849342770</f>
        <v/>
      </c>
      <c r="BJ97" s="191">
        <f>L97*0.0870197169</f>
        <v/>
      </c>
      <c r="BK97" s="191">
        <f>L97*0.0889787664</f>
        <v/>
      </c>
      <c r="BL97" s="191">
        <f>L97*0.0911905966</f>
        <v/>
      </c>
      <c r="BM97" s="191">
        <f>L97*0.0935920121</f>
        <v/>
      </c>
      <c r="BN97" s="192">
        <f>L97*0.0967517695</f>
        <v/>
      </c>
      <c r="BO97" s="36" t="inlineStr">
        <is>
          <t>.</t>
        </is>
      </c>
      <c r="BP97" s="193">
        <f>SUM(BQ97:CB97)</f>
        <v/>
      </c>
      <c r="BQ97" s="191">
        <f>MAX(0,BC97-AA97)</f>
        <v/>
      </c>
      <c r="BR97" s="191">
        <f>MAX(0,BD97-AB97)</f>
        <v/>
      </c>
      <c r="BS97" s="191">
        <f>MAX(0,BE97-AC97)</f>
        <v/>
      </c>
      <c r="BT97" s="191">
        <f>MAX(0,BF97-AD97)</f>
        <v/>
      </c>
      <c r="BU97" s="191">
        <f>MAX(0,BG97-AE97)</f>
        <v/>
      </c>
      <c r="BV97" s="191">
        <f>MAX(0,BH97-AF97)</f>
        <v/>
      </c>
      <c r="BW97" s="191">
        <f>MAX(0,BI97-AG97)</f>
        <v/>
      </c>
      <c r="BX97" s="191">
        <f>MAX(0,BJ97-AH97)</f>
        <v/>
      </c>
      <c r="BY97" s="191">
        <f>MAX(0,BK97-AI97)</f>
        <v/>
      </c>
      <c r="BZ97" s="191">
        <f>MAX(0,BL97-AJ97)</f>
        <v/>
      </c>
      <c r="CA97" s="191">
        <f>MAX(0,BM97-AK97)</f>
        <v/>
      </c>
      <c r="CB97" s="192">
        <f>MAX(0,BN97-AL97)</f>
        <v/>
      </c>
    </row>
    <row r="98">
      <c r="A98" s="64" t="inlineStr">
        <is>
          <t>39251980000130</t>
        </is>
      </c>
      <c r="B98" s="57" t="inlineStr">
        <is>
          <t>LARISSA AYUMI KAKIHATA 08094869976 - ME</t>
        </is>
      </c>
      <c r="C98" s="57" t="inlineStr">
        <is>
          <t>SEM GRUPO</t>
        </is>
      </c>
      <c r="D98" s="61" t="inlineStr">
        <is>
          <t>HEMANUELE DITZEL (MANU)</t>
        </is>
      </c>
      <c r="E98" s="30" t="inlineStr">
        <is>
          <t>.</t>
        </is>
      </c>
      <c r="F98" s="63" t="n"/>
      <c r="G98" s="179" t="n"/>
      <c r="H98" s="57" t="n"/>
      <c r="I98" s="57" t="n"/>
      <c r="J98" s="61" t="n"/>
      <c r="K98" s="30" t="inlineStr">
        <is>
          <t>.</t>
        </is>
      </c>
      <c r="L98" s="180" t="n">
        <v>11828</v>
      </c>
      <c r="M98" s="181" t="n">
        <v>831.1900000000001</v>
      </c>
      <c r="N98" s="181" t="n">
        <v>868.5599999999999</v>
      </c>
      <c r="O98" s="181" t="n">
        <v>889.49</v>
      </c>
      <c r="P98" s="181" t="n">
        <v>912.67</v>
      </c>
      <c r="Q98" s="181" t="n">
        <v>942.5599999999999</v>
      </c>
      <c r="R98" s="181" t="n">
        <v>967.23</v>
      </c>
      <c r="S98" s="181" t="n">
        <v>1004.6</v>
      </c>
      <c r="T98" s="181" t="n">
        <v>1029.27</v>
      </c>
      <c r="U98" s="181" t="n">
        <v>1052.44</v>
      </c>
      <c r="V98" s="181" t="n">
        <v>1078.6</v>
      </c>
      <c r="W98" s="181" t="n">
        <v>1107.01</v>
      </c>
      <c r="X98" s="182" t="n">
        <v>1144.38</v>
      </c>
      <c r="Y98" s="183" t="inlineStr">
        <is>
          <t>.</t>
        </is>
      </c>
      <c r="Z98" s="184">
        <f>SUM(AA98:AL98)</f>
        <v/>
      </c>
      <c r="AA98" s="185" t="n">
        <v>0</v>
      </c>
      <c r="AB98" s="185" t="n">
        <v>0</v>
      </c>
      <c r="AC98" s="185" t="n">
        <v>0</v>
      </c>
      <c r="AD98" s="185" t="n">
        <v>0</v>
      </c>
      <c r="AE98" s="185" t="n">
        <v>0</v>
      </c>
      <c r="AF98" s="185" t="n">
        <v>0</v>
      </c>
      <c r="AG98" s="185" t="n">
        <v>2576.97</v>
      </c>
      <c r="AH98" s="185" t="n">
        <v>0</v>
      </c>
      <c r="AI98" s="185" t="n">
        <v>0</v>
      </c>
      <c r="AJ98" s="185" t="n">
        <v>2595.94</v>
      </c>
      <c r="AK98" s="185" t="n">
        <v>0</v>
      </c>
      <c r="AL98" s="186" t="n">
        <v>962.5599999999999</v>
      </c>
      <c r="AM98" s="30" t="inlineStr">
        <is>
          <t>.</t>
        </is>
      </c>
      <c r="AN98" s="187">
        <f>IF(L98=0,0,Z98/L98)</f>
        <v/>
      </c>
      <c r="AO98" s="57">
        <f>IF(AN98&gt;=1,"🟢",IF(AN98&gt;=0.7,"🟡",IF(AN98&gt;=0.4,"🟠","🔴")))</f>
        <v/>
      </c>
      <c r="AP98" s="185">
        <f>L98-Z98</f>
        <v/>
      </c>
      <c r="AQ98" s="55">
        <f>RANK(Z98,$Z$4:$Z$503,0)</f>
        <v/>
      </c>
      <c r="AR98" s="39" t="inlineStr">
        <is>
          <t>.</t>
        </is>
      </c>
      <c r="AS98" s="27" t="n"/>
      <c r="AT98" s="27" t="n"/>
      <c r="AU98" s="27" t="n"/>
      <c r="AV98" s="27" t="n"/>
      <c r="AW98" s="27" t="n"/>
      <c r="AX98" s="27" t="n"/>
      <c r="AY98" s="204" t="n"/>
      <c r="AZ98" s="204" t="n"/>
      <c r="BA98" s="38" t="inlineStr">
        <is>
          <t>.</t>
        </is>
      </c>
      <c r="BB98" s="190">
        <f>SUM(BC98:BN98)</f>
        <v/>
      </c>
      <c r="BC98" s="191">
        <f>L98*0.0702730030</f>
        <v/>
      </c>
      <c r="BD98" s="191">
        <f>L98*0.0734327604</f>
        <v/>
      </c>
      <c r="BE98" s="191">
        <f>L98*0.0752022245</f>
        <v/>
      </c>
      <c r="BF98" s="191">
        <f>L98*0.0771612740</f>
        <v/>
      </c>
      <c r="BG98" s="191">
        <f>L98*0.0796890799</f>
        <v/>
      </c>
      <c r="BH98" s="191">
        <f>L98*0.0817745197</f>
        <v/>
      </c>
      <c r="BI98" s="191">
        <f>L98*0.0849342770</f>
        <v/>
      </c>
      <c r="BJ98" s="191">
        <f>L98*0.0870197169</f>
        <v/>
      </c>
      <c r="BK98" s="191">
        <f>L98*0.0889787664</f>
        <v/>
      </c>
      <c r="BL98" s="191">
        <f>L98*0.0911905966</f>
        <v/>
      </c>
      <c r="BM98" s="191">
        <f>L98*0.0935920121</f>
        <v/>
      </c>
      <c r="BN98" s="192">
        <f>L98*0.0967517695</f>
        <v/>
      </c>
      <c r="BO98" s="36" t="inlineStr">
        <is>
          <t>.</t>
        </is>
      </c>
      <c r="BP98" s="193">
        <f>SUM(BQ98:CB98)</f>
        <v/>
      </c>
      <c r="BQ98" s="191">
        <f>MAX(0,BC98-AA98)</f>
        <v/>
      </c>
      <c r="BR98" s="191">
        <f>MAX(0,BD98-AB98)</f>
        <v/>
      </c>
      <c r="BS98" s="191">
        <f>MAX(0,BE98-AC98)</f>
        <v/>
      </c>
      <c r="BT98" s="191">
        <f>MAX(0,BF98-AD98)</f>
        <v/>
      </c>
      <c r="BU98" s="191">
        <f>MAX(0,BG98-AE98)</f>
        <v/>
      </c>
      <c r="BV98" s="191">
        <f>MAX(0,BH98-AF98)</f>
        <v/>
      </c>
      <c r="BW98" s="191">
        <f>MAX(0,BI98-AG98)</f>
        <v/>
      </c>
      <c r="BX98" s="191">
        <f>MAX(0,BJ98-AH98)</f>
        <v/>
      </c>
      <c r="BY98" s="191">
        <f>MAX(0,BK98-AI98)</f>
        <v/>
      </c>
      <c r="BZ98" s="191">
        <f>MAX(0,BL98-AJ98)</f>
        <v/>
      </c>
      <c r="CA98" s="191">
        <f>MAX(0,BM98-AK98)</f>
        <v/>
      </c>
      <c r="CB98" s="192">
        <f>MAX(0,BN98-AL98)</f>
        <v/>
      </c>
    </row>
    <row r="99">
      <c r="A99" s="64" t="inlineStr">
        <is>
          <t>38614942000132</t>
        </is>
      </c>
      <c r="B99" s="57" t="inlineStr">
        <is>
          <t>ARMAZEM ESTIVA LTDA - ME</t>
        </is>
      </c>
      <c r="C99" s="57" t="inlineStr">
        <is>
          <t>SEM GRUPO</t>
        </is>
      </c>
      <c r="D99" s="61" t="inlineStr">
        <is>
          <t>LARISSA PADILHA</t>
        </is>
      </c>
      <c r="E99" s="30" t="inlineStr">
        <is>
          <t>.</t>
        </is>
      </c>
      <c r="F99" s="63" t="n"/>
      <c r="G99" s="179" t="n"/>
      <c r="H99" s="57" t="n"/>
      <c r="I99" s="57" t="n"/>
      <c r="J99" s="61" t="n"/>
      <c r="K99" s="30" t="inlineStr">
        <is>
          <t>.</t>
        </is>
      </c>
      <c r="L99" s="180" t="n">
        <v>11618.23</v>
      </c>
      <c r="M99" s="181" t="n">
        <v>816.45</v>
      </c>
      <c r="N99" s="181" t="n">
        <v>853.16</v>
      </c>
      <c r="O99" s="181" t="n">
        <v>873.72</v>
      </c>
      <c r="P99" s="181" t="n">
        <v>896.48</v>
      </c>
      <c r="Q99" s="181" t="n">
        <v>925.85</v>
      </c>
      <c r="R99" s="181" t="n">
        <v>950.0700000000001</v>
      </c>
      <c r="S99" s="181" t="n">
        <v>986.79</v>
      </c>
      <c r="T99" s="181" t="n">
        <v>1011.01</v>
      </c>
      <c r="U99" s="181" t="n">
        <v>1033.78</v>
      </c>
      <c r="V99" s="181" t="n">
        <v>1059.47</v>
      </c>
      <c r="W99" s="181" t="n">
        <v>1087.37</v>
      </c>
      <c r="X99" s="182" t="n">
        <v>1124.08</v>
      </c>
      <c r="Y99" s="183" t="inlineStr">
        <is>
          <t>.</t>
        </is>
      </c>
      <c r="Z99" s="184">
        <f>SUM(AA99:AL99)</f>
        <v/>
      </c>
      <c r="AA99" s="185" t="n">
        <v>0</v>
      </c>
      <c r="AB99" s="185" t="n">
        <v>0</v>
      </c>
      <c r="AC99" s="185" t="n">
        <v>0</v>
      </c>
      <c r="AD99" s="185" t="n">
        <v>0</v>
      </c>
      <c r="AE99" s="185" t="n">
        <v>0</v>
      </c>
      <c r="AF99" s="185" t="n">
        <v>1917.8</v>
      </c>
      <c r="AG99" s="185" t="n">
        <v>0</v>
      </c>
      <c r="AH99" s="185" t="n">
        <v>0</v>
      </c>
      <c r="AI99" s="185" t="n">
        <v>3099.45</v>
      </c>
      <c r="AJ99" s="185" t="n">
        <v>0</v>
      </c>
      <c r="AK99" s="185" t="n">
        <v>0</v>
      </c>
      <c r="AL99" s="186" t="n">
        <v>0</v>
      </c>
      <c r="AM99" s="30" t="inlineStr">
        <is>
          <t>.</t>
        </is>
      </c>
      <c r="AN99" s="187">
        <f>IF(L99=0,0,Z99/L99)</f>
        <v/>
      </c>
      <c r="AO99" s="57">
        <f>IF(AN99&gt;=1,"🟢",IF(AN99&gt;=0.7,"🟡",IF(AN99&gt;=0.4,"🟠","🔴")))</f>
        <v/>
      </c>
      <c r="AP99" s="185">
        <f>L99-Z99</f>
        <v/>
      </c>
      <c r="AQ99" s="55">
        <f>RANK(Z99,$Z$4:$Z$503,0)</f>
        <v/>
      </c>
      <c r="AR99" s="39" t="inlineStr">
        <is>
          <t>.</t>
        </is>
      </c>
      <c r="AS99" s="27" t="n"/>
      <c r="AT99" s="27" t="n"/>
      <c r="AU99" s="27" t="n"/>
      <c r="AV99" s="27" t="n"/>
      <c r="AW99" s="27" t="n"/>
      <c r="AX99" s="27" t="n"/>
      <c r="AY99" s="204" t="n"/>
      <c r="AZ99" s="204" t="n"/>
      <c r="BA99" s="38" t="inlineStr">
        <is>
          <t>.</t>
        </is>
      </c>
      <c r="BB99" s="190">
        <f>SUM(BC99:BN99)</f>
        <v/>
      </c>
      <c r="BC99" s="191">
        <f>L99*0.0702730030</f>
        <v/>
      </c>
      <c r="BD99" s="191">
        <f>L99*0.0734327604</f>
        <v/>
      </c>
      <c r="BE99" s="191">
        <f>L99*0.0752022245</f>
        <v/>
      </c>
      <c r="BF99" s="191">
        <f>L99*0.0771612740</f>
        <v/>
      </c>
      <c r="BG99" s="191">
        <f>L99*0.0796890799</f>
        <v/>
      </c>
      <c r="BH99" s="191">
        <f>L99*0.0817745197</f>
        <v/>
      </c>
      <c r="BI99" s="191">
        <f>L99*0.0849342770</f>
        <v/>
      </c>
      <c r="BJ99" s="191">
        <f>L99*0.0870197169</f>
        <v/>
      </c>
      <c r="BK99" s="191">
        <f>L99*0.0889787664</f>
        <v/>
      </c>
      <c r="BL99" s="191">
        <f>L99*0.0911905966</f>
        <v/>
      </c>
      <c r="BM99" s="191">
        <f>L99*0.0935920121</f>
        <v/>
      </c>
      <c r="BN99" s="192">
        <f>L99*0.0967517695</f>
        <v/>
      </c>
      <c r="BO99" s="36" t="inlineStr">
        <is>
          <t>.</t>
        </is>
      </c>
      <c r="BP99" s="193">
        <f>SUM(BQ99:CB99)</f>
        <v/>
      </c>
      <c r="BQ99" s="191">
        <f>MAX(0,BC99-AA99)</f>
        <v/>
      </c>
      <c r="BR99" s="191">
        <f>MAX(0,BD99-AB99)</f>
        <v/>
      </c>
      <c r="BS99" s="191">
        <f>MAX(0,BE99-AC99)</f>
        <v/>
      </c>
      <c r="BT99" s="191">
        <f>MAX(0,BF99-AD99)</f>
        <v/>
      </c>
      <c r="BU99" s="191">
        <f>MAX(0,BG99-AE99)</f>
        <v/>
      </c>
      <c r="BV99" s="191">
        <f>MAX(0,BH99-AF99)</f>
        <v/>
      </c>
      <c r="BW99" s="191">
        <f>MAX(0,BI99-AG99)</f>
        <v/>
      </c>
      <c r="BX99" s="191">
        <f>MAX(0,BJ99-AH99)</f>
        <v/>
      </c>
      <c r="BY99" s="191">
        <f>MAX(0,BK99-AI99)</f>
        <v/>
      </c>
      <c r="BZ99" s="191">
        <f>MAX(0,BL99-AJ99)</f>
        <v/>
      </c>
      <c r="CA99" s="191">
        <f>MAX(0,BM99-AK99)</f>
        <v/>
      </c>
      <c r="CB99" s="192">
        <f>MAX(0,BN99-AL99)</f>
        <v/>
      </c>
    </row>
    <row r="100">
      <c r="A100" s="64" t="inlineStr">
        <is>
          <t>14419497000191</t>
        </is>
      </c>
      <c r="B100" s="57" t="inlineStr">
        <is>
          <t>J.C. DA S. SANTOS - EPP</t>
        </is>
      </c>
      <c r="C100" s="57" t="inlineStr">
        <is>
          <t>SEM GRUPO</t>
        </is>
      </c>
      <c r="D100" s="61" t="inlineStr">
        <is>
          <t>HEMANUELE DITZEL (MANU)</t>
        </is>
      </c>
      <c r="E100" s="30" t="inlineStr">
        <is>
          <t>.</t>
        </is>
      </c>
      <c r="F100" s="63" t="n"/>
      <c r="G100" s="179" t="n"/>
      <c r="H100" s="57" t="n"/>
      <c r="I100" s="57" t="n"/>
      <c r="J100" s="61" t="n"/>
      <c r="K100" s="30" t="inlineStr">
        <is>
          <t>.</t>
        </is>
      </c>
      <c r="L100" s="180" t="n">
        <v>11538.74</v>
      </c>
      <c r="M100" s="181" t="n">
        <v>810.86</v>
      </c>
      <c r="N100" s="181" t="n">
        <v>847.3200000000001</v>
      </c>
      <c r="O100" s="181" t="n">
        <v>867.74</v>
      </c>
      <c r="P100" s="181" t="n">
        <v>890.34</v>
      </c>
      <c r="Q100" s="181" t="n">
        <v>919.51</v>
      </c>
      <c r="R100" s="181" t="n">
        <v>943.58</v>
      </c>
      <c r="S100" s="181" t="n">
        <v>980.04</v>
      </c>
      <c r="T100" s="181" t="n">
        <v>1004.1</v>
      </c>
      <c r="U100" s="181" t="n">
        <v>1026.7</v>
      </c>
      <c r="V100" s="181" t="n">
        <v>1052.23</v>
      </c>
      <c r="W100" s="181" t="n">
        <v>1079.93</v>
      </c>
      <c r="X100" s="182" t="n">
        <v>1116.39</v>
      </c>
      <c r="Y100" s="183" t="inlineStr">
        <is>
          <t>.</t>
        </is>
      </c>
      <c r="Z100" s="184">
        <f>SUM(AA100:AL100)</f>
        <v/>
      </c>
      <c r="AA100" s="185" t="n">
        <v>0</v>
      </c>
      <c r="AB100" s="185" t="n">
        <v>0</v>
      </c>
      <c r="AC100" s="185" t="n">
        <v>0</v>
      </c>
      <c r="AD100" s="185" t="n">
        <v>0</v>
      </c>
      <c r="AE100" s="185" t="n">
        <v>0</v>
      </c>
      <c r="AF100" s="185" t="n">
        <v>0</v>
      </c>
      <c r="AG100" s="185" t="n">
        <v>2741.43</v>
      </c>
      <c r="AH100" s="185" t="n">
        <v>0</v>
      </c>
      <c r="AI100" s="185" t="n">
        <v>1423.27</v>
      </c>
      <c r="AJ100" s="185" t="n">
        <v>0</v>
      </c>
      <c r="AK100" s="185" t="n">
        <v>1595.88</v>
      </c>
      <c r="AL100" s="186" t="n">
        <v>0</v>
      </c>
      <c r="AM100" s="30" t="inlineStr">
        <is>
          <t>.</t>
        </is>
      </c>
      <c r="AN100" s="187">
        <f>IF(L100=0,0,Z100/L100)</f>
        <v/>
      </c>
      <c r="AO100" s="57">
        <f>IF(AN100&gt;=1,"🟢",IF(AN100&gt;=0.7,"🟡",IF(AN100&gt;=0.4,"🟠","🔴")))</f>
        <v/>
      </c>
      <c r="AP100" s="185">
        <f>L100-Z100</f>
        <v/>
      </c>
      <c r="AQ100" s="55">
        <f>RANK(Z100,$Z$4:$Z$503,0)</f>
        <v/>
      </c>
      <c r="AR100" s="39" t="inlineStr">
        <is>
          <t>.</t>
        </is>
      </c>
      <c r="AS100" s="27" t="n"/>
      <c r="AT100" s="27" t="n"/>
      <c r="AU100" s="27" t="n"/>
      <c r="AV100" s="27" t="n"/>
      <c r="AW100" s="27" t="n"/>
      <c r="AX100" s="27" t="n"/>
      <c r="AY100" s="204" t="n"/>
      <c r="AZ100" s="204" t="n"/>
      <c r="BA100" s="38" t="inlineStr">
        <is>
          <t>.</t>
        </is>
      </c>
      <c r="BB100" s="190">
        <f>SUM(BC100:BN100)</f>
        <v/>
      </c>
      <c r="BC100" s="191">
        <f>L100*0.0702730030</f>
        <v/>
      </c>
      <c r="BD100" s="191">
        <f>L100*0.0734327604</f>
        <v/>
      </c>
      <c r="BE100" s="191">
        <f>L100*0.0752022245</f>
        <v/>
      </c>
      <c r="BF100" s="191">
        <f>L100*0.0771612740</f>
        <v/>
      </c>
      <c r="BG100" s="191">
        <f>L100*0.0796890799</f>
        <v/>
      </c>
      <c r="BH100" s="191">
        <f>L100*0.0817745197</f>
        <v/>
      </c>
      <c r="BI100" s="191">
        <f>L100*0.0849342770</f>
        <v/>
      </c>
      <c r="BJ100" s="191">
        <f>L100*0.0870197169</f>
        <v/>
      </c>
      <c r="BK100" s="191">
        <f>L100*0.0889787664</f>
        <v/>
      </c>
      <c r="BL100" s="191">
        <f>L100*0.0911905966</f>
        <v/>
      </c>
      <c r="BM100" s="191">
        <f>L100*0.0935920121</f>
        <v/>
      </c>
      <c r="BN100" s="192">
        <f>L100*0.0967517695</f>
        <v/>
      </c>
      <c r="BO100" s="36" t="inlineStr">
        <is>
          <t>.</t>
        </is>
      </c>
      <c r="BP100" s="193">
        <f>SUM(BQ100:CB100)</f>
        <v/>
      </c>
      <c r="BQ100" s="191">
        <f>MAX(0,BC100-AA100)</f>
        <v/>
      </c>
      <c r="BR100" s="191">
        <f>MAX(0,BD100-AB100)</f>
        <v/>
      </c>
      <c r="BS100" s="191">
        <f>MAX(0,BE100-AC100)</f>
        <v/>
      </c>
      <c r="BT100" s="191">
        <f>MAX(0,BF100-AD100)</f>
        <v/>
      </c>
      <c r="BU100" s="191">
        <f>MAX(0,BG100-AE100)</f>
        <v/>
      </c>
      <c r="BV100" s="191">
        <f>MAX(0,BH100-AF100)</f>
        <v/>
      </c>
      <c r="BW100" s="191">
        <f>MAX(0,BI100-AG100)</f>
        <v/>
      </c>
      <c r="BX100" s="191">
        <f>MAX(0,BJ100-AH100)</f>
        <v/>
      </c>
      <c r="BY100" s="191">
        <f>MAX(0,BK100-AI100)</f>
        <v/>
      </c>
      <c r="BZ100" s="191">
        <f>MAX(0,BL100-AJ100)</f>
        <v/>
      </c>
      <c r="CA100" s="191">
        <f>MAX(0,BM100-AK100)</f>
        <v/>
      </c>
      <c r="CB100" s="192">
        <f>MAX(0,BN100-AL100)</f>
        <v/>
      </c>
    </row>
    <row r="101">
      <c r="A101" s="64" t="inlineStr">
        <is>
          <t>80204332000127</t>
        </is>
      </c>
      <c r="B101" s="57" t="inlineStr">
        <is>
          <t>TRIP COMESTIVEIS E SERVICOS LTDA - EPP</t>
        </is>
      </c>
      <c r="C101" s="57" t="inlineStr">
        <is>
          <t>TRIP</t>
        </is>
      </c>
      <c r="D101" s="61" t="inlineStr">
        <is>
          <t>HEMANUELE DITZEL (MANU)</t>
        </is>
      </c>
      <c r="E101" s="30" t="inlineStr">
        <is>
          <t>.</t>
        </is>
      </c>
      <c r="F101" s="63" t="n"/>
      <c r="G101" s="179" t="n"/>
      <c r="H101" s="57" t="n"/>
      <c r="I101" s="57" t="n"/>
      <c r="J101" s="61" t="n"/>
      <c r="K101" s="30" t="inlineStr">
        <is>
          <t>.</t>
        </is>
      </c>
      <c r="L101" s="180" t="n">
        <v>11469.17</v>
      </c>
      <c r="M101" s="181" t="n">
        <v>805.97</v>
      </c>
      <c r="N101" s="181" t="n">
        <v>842.21</v>
      </c>
      <c r="O101" s="181" t="n">
        <v>862.51</v>
      </c>
      <c r="P101" s="181" t="n">
        <v>884.98</v>
      </c>
      <c r="Q101" s="181" t="n">
        <v>913.97</v>
      </c>
      <c r="R101" s="181" t="n">
        <v>937.89</v>
      </c>
      <c r="S101" s="181" t="n">
        <v>974.13</v>
      </c>
      <c r="T101" s="181" t="n">
        <v>998.04</v>
      </c>
      <c r="U101" s="181" t="n">
        <v>1020.51</v>
      </c>
      <c r="V101" s="181" t="n">
        <v>1045.88</v>
      </c>
      <c r="W101" s="181" t="n">
        <v>1073.42</v>
      </c>
      <c r="X101" s="182" t="n">
        <v>1109.66</v>
      </c>
      <c r="Y101" s="183" t="inlineStr">
        <is>
          <t>.</t>
        </is>
      </c>
      <c r="Z101" s="184">
        <f>SUM(AA101:AL101)</f>
        <v/>
      </c>
      <c r="AA101" s="185" t="n">
        <v>0</v>
      </c>
      <c r="AB101" s="185" t="n">
        <v>0</v>
      </c>
      <c r="AC101" s="185" t="n">
        <v>0</v>
      </c>
      <c r="AD101" s="185" t="n">
        <v>0</v>
      </c>
      <c r="AE101" s="185" t="n">
        <v>6432.13</v>
      </c>
      <c r="AF101" s="185" t="n">
        <v>0</v>
      </c>
      <c r="AG101" s="185" t="n">
        <v>0</v>
      </c>
      <c r="AH101" s="185" t="n">
        <v>0</v>
      </c>
      <c r="AI101" s="185" t="n">
        <v>0</v>
      </c>
      <c r="AJ101" s="185" t="n">
        <v>0</v>
      </c>
      <c r="AK101" s="185" t="n">
        <v>0</v>
      </c>
      <c r="AL101" s="186" t="n">
        <v>0</v>
      </c>
      <c r="AM101" s="30" t="inlineStr">
        <is>
          <t>.</t>
        </is>
      </c>
      <c r="AN101" s="187">
        <f>IF(L101=0,0,Z101/L101)</f>
        <v/>
      </c>
      <c r="AO101" s="57">
        <f>IF(AN101&gt;=1,"🟢",IF(AN101&gt;=0.7,"🟡",IF(AN101&gt;=0.4,"🟠","🔴")))</f>
        <v/>
      </c>
      <c r="AP101" s="185">
        <f>L101-Z101</f>
        <v/>
      </c>
      <c r="AQ101" s="55">
        <f>RANK(Z101,$Z$4:$Z$503,0)</f>
        <v/>
      </c>
      <c r="AR101" s="39" t="inlineStr">
        <is>
          <t>.</t>
        </is>
      </c>
      <c r="AS101" s="27" t="n"/>
      <c r="AT101" s="27" t="n"/>
      <c r="AU101" s="27" t="n"/>
      <c r="AV101" s="27" t="n"/>
      <c r="AW101" s="27" t="n"/>
      <c r="AX101" s="27" t="n"/>
      <c r="AY101" s="204" t="n"/>
      <c r="AZ101" s="204" t="n"/>
      <c r="BA101" s="38" t="inlineStr">
        <is>
          <t>.</t>
        </is>
      </c>
      <c r="BB101" s="190">
        <f>SUM(BC101:BN101)</f>
        <v/>
      </c>
      <c r="BC101" s="191">
        <f>L101*0.0702730030</f>
        <v/>
      </c>
      <c r="BD101" s="191">
        <f>L101*0.0734327604</f>
        <v/>
      </c>
      <c r="BE101" s="191">
        <f>L101*0.0752022245</f>
        <v/>
      </c>
      <c r="BF101" s="191">
        <f>L101*0.0771612740</f>
        <v/>
      </c>
      <c r="BG101" s="191">
        <f>L101*0.0796890799</f>
        <v/>
      </c>
      <c r="BH101" s="191">
        <f>L101*0.0817745197</f>
        <v/>
      </c>
      <c r="BI101" s="191">
        <f>L101*0.0849342770</f>
        <v/>
      </c>
      <c r="BJ101" s="191">
        <f>L101*0.0870197169</f>
        <v/>
      </c>
      <c r="BK101" s="191">
        <f>L101*0.0889787664</f>
        <v/>
      </c>
      <c r="BL101" s="191">
        <f>L101*0.0911905966</f>
        <v/>
      </c>
      <c r="BM101" s="191">
        <f>L101*0.0935920121</f>
        <v/>
      </c>
      <c r="BN101" s="192">
        <f>L101*0.0967517695</f>
        <v/>
      </c>
      <c r="BO101" s="36" t="inlineStr">
        <is>
          <t>.</t>
        </is>
      </c>
      <c r="BP101" s="193">
        <f>SUM(BQ101:CB101)</f>
        <v/>
      </c>
      <c r="BQ101" s="191">
        <f>MAX(0,BC101-AA101)</f>
        <v/>
      </c>
      <c r="BR101" s="191">
        <f>MAX(0,BD101-AB101)</f>
        <v/>
      </c>
      <c r="BS101" s="191">
        <f>MAX(0,BE101-AC101)</f>
        <v/>
      </c>
      <c r="BT101" s="191">
        <f>MAX(0,BF101-AD101)</f>
        <v/>
      </c>
      <c r="BU101" s="191">
        <f>MAX(0,BG101-AE101)</f>
        <v/>
      </c>
      <c r="BV101" s="191">
        <f>MAX(0,BH101-AF101)</f>
        <v/>
      </c>
      <c r="BW101" s="191">
        <f>MAX(0,BI101-AG101)</f>
        <v/>
      </c>
      <c r="BX101" s="191">
        <f>MAX(0,BJ101-AH101)</f>
        <v/>
      </c>
      <c r="BY101" s="191">
        <f>MAX(0,BK101-AI101)</f>
        <v/>
      </c>
      <c r="BZ101" s="191">
        <f>MAX(0,BL101-AJ101)</f>
        <v/>
      </c>
      <c r="CA101" s="191">
        <f>MAX(0,BM101-AK101)</f>
        <v/>
      </c>
      <c r="CB101" s="192">
        <f>MAX(0,BN101-AL101)</f>
        <v/>
      </c>
    </row>
    <row r="102">
      <c r="A102" s="64" t="inlineStr">
        <is>
          <t>60475933000167</t>
        </is>
      </c>
      <c r="B102" s="57" t="inlineStr">
        <is>
          <t>BV ALIMENTOS LTDA - ME</t>
        </is>
      </c>
      <c r="C102" s="57" t="inlineStr">
        <is>
          <t>SEM GRUPO</t>
        </is>
      </c>
      <c r="D102" s="61" t="inlineStr">
        <is>
          <t>LARISSA PADILHA</t>
        </is>
      </c>
      <c r="E102" s="30" t="inlineStr">
        <is>
          <t>.</t>
        </is>
      </c>
      <c r="F102" s="63" t="n"/>
      <c r="G102" s="179" t="n"/>
      <c r="H102" s="57" t="n"/>
      <c r="I102" s="57" t="n"/>
      <c r="J102" s="61" t="n"/>
      <c r="K102" s="30" t="inlineStr">
        <is>
          <t>.</t>
        </is>
      </c>
      <c r="L102" s="180" t="n">
        <v>11456.86</v>
      </c>
      <c r="M102" s="181" t="n">
        <v>805.11</v>
      </c>
      <c r="N102" s="181" t="n">
        <v>841.3099999999999</v>
      </c>
      <c r="O102" s="181" t="n">
        <v>861.58</v>
      </c>
      <c r="P102" s="181" t="n">
        <v>884.02</v>
      </c>
      <c r="Q102" s="181" t="n">
        <v>912.99</v>
      </c>
      <c r="R102" s="181" t="n">
        <v>936.88</v>
      </c>
      <c r="S102" s="181" t="n">
        <v>973.08</v>
      </c>
      <c r="T102" s="181" t="n">
        <v>996.97</v>
      </c>
      <c r="U102" s="181" t="n">
        <v>1019.42</v>
      </c>
      <c r="V102" s="181" t="n">
        <v>1044.76</v>
      </c>
      <c r="W102" s="181" t="n">
        <v>1072.27</v>
      </c>
      <c r="X102" s="182" t="n">
        <v>1108.47</v>
      </c>
      <c r="Y102" s="183" t="inlineStr">
        <is>
          <t>.</t>
        </is>
      </c>
      <c r="Z102" s="184">
        <f>SUM(AA102:AL102)</f>
        <v/>
      </c>
      <c r="AA102" s="185" t="n">
        <v>0</v>
      </c>
      <c r="AB102" s="185" t="n">
        <v>0</v>
      </c>
      <c r="AC102" s="185" t="n">
        <v>0</v>
      </c>
      <c r="AD102" s="185" t="n">
        <v>0</v>
      </c>
      <c r="AE102" s="185" t="n">
        <v>0</v>
      </c>
      <c r="AF102" s="185" t="n">
        <v>0</v>
      </c>
      <c r="AG102" s="185" t="n">
        <v>0</v>
      </c>
      <c r="AH102" s="185" t="n">
        <v>2201.5</v>
      </c>
      <c r="AI102" s="185" t="n">
        <v>0</v>
      </c>
      <c r="AJ102" s="185" t="n">
        <v>0</v>
      </c>
      <c r="AK102" s="185" t="n">
        <v>3324.4</v>
      </c>
      <c r="AL102" s="186" t="n">
        <v>0</v>
      </c>
      <c r="AM102" s="30" t="inlineStr">
        <is>
          <t>.</t>
        </is>
      </c>
      <c r="AN102" s="187">
        <f>IF(L102=0,0,Z102/L102)</f>
        <v/>
      </c>
      <c r="AO102" s="57">
        <f>IF(AN102&gt;=1,"🟢",IF(AN102&gt;=0.7,"🟡",IF(AN102&gt;=0.4,"🟠","🔴")))</f>
        <v/>
      </c>
      <c r="AP102" s="185">
        <f>L102-Z102</f>
        <v/>
      </c>
      <c r="AQ102" s="55">
        <f>RANK(Z102,$Z$4:$Z$503,0)</f>
        <v/>
      </c>
      <c r="AR102" s="39" t="inlineStr">
        <is>
          <t>.</t>
        </is>
      </c>
      <c r="AS102" s="27" t="n"/>
      <c r="AT102" s="27" t="n"/>
      <c r="AU102" s="27" t="n"/>
      <c r="AV102" s="27" t="n"/>
      <c r="AW102" s="27" t="n"/>
      <c r="AX102" s="27" t="n"/>
      <c r="AY102" s="204" t="n"/>
      <c r="AZ102" s="204" t="n"/>
      <c r="BA102" s="38" t="inlineStr">
        <is>
          <t>.</t>
        </is>
      </c>
      <c r="BB102" s="190">
        <f>SUM(BC102:BN102)</f>
        <v/>
      </c>
      <c r="BC102" s="191">
        <f>L102*0.0702730030</f>
        <v/>
      </c>
      <c r="BD102" s="191">
        <f>L102*0.0734327604</f>
        <v/>
      </c>
      <c r="BE102" s="191">
        <f>L102*0.0752022245</f>
        <v/>
      </c>
      <c r="BF102" s="191">
        <f>L102*0.0771612740</f>
        <v/>
      </c>
      <c r="BG102" s="191">
        <f>L102*0.0796890799</f>
        <v/>
      </c>
      <c r="BH102" s="191">
        <f>L102*0.0817745197</f>
        <v/>
      </c>
      <c r="BI102" s="191">
        <f>L102*0.0849342770</f>
        <v/>
      </c>
      <c r="BJ102" s="191">
        <f>L102*0.0870197169</f>
        <v/>
      </c>
      <c r="BK102" s="191">
        <f>L102*0.0889787664</f>
        <v/>
      </c>
      <c r="BL102" s="191">
        <f>L102*0.0911905966</f>
        <v/>
      </c>
      <c r="BM102" s="191">
        <f>L102*0.0935920121</f>
        <v/>
      </c>
      <c r="BN102" s="192">
        <f>L102*0.0967517695</f>
        <v/>
      </c>
      <c r="BO102" s="36" t="inlineStr">
        <is>
          <t>.</t>
        </is>
      </c>
      <c r="BP102" s="193">
        <f>SUM(BQ102:CB102)</f>
        <v/>
      </c>
      <c r="BQ102" s="191">
        <f>MAX(0,BC102-AA102)</f>
        <v/>
      </c>
      <c r="BR102" s="191">
        <f>MAX(0,BD102-AB102)</f>
        <v/>
      </c>
      <c r="BS102" s="191">
        <f>MAX(0,BE102-AC102)</f>
        <v/>
      </c>
      <c r="BT102" s="191">
        <f>MAX(0,BF102-AD102)</f>
        <v/>
      </c>
      <c r="BU102" s="191">
        <f>MAX(0,BG102-AE102)</f>
        <v/>
      </c>
      <c r="BV102" s="191">
        <f>MAX(0,BH102-AF102)</f>
        <v/>
      </c>
      <c r="BW102" s="191">
        <f>MAX(0,BI102-AG102)</f>
        <v/>
      </c>
      <c r="BX102" s="191">
        <f>MAX(0,BJ102-AH102)</f>
        <v/>
      </c>
      <c r="BY102" s="191">
        <f>MAX(0,BK102-AI102)</f>
        <v/>
      </c>
      <c r="BZ102" s="191">
        <f>MAX(0,BL102-AJ102)</f>
        <v/>
      </c>
      <c r="CA102" s="191">
        <f>MAX(0,BM102-AK102)</f>
        <v/>
      </c>
      <c r="CB102" s="192">
        <f>MAX(0,BN102-AL102)</f>
        <v/>
      </c>
    </row>
    <row r="103">
      <c r="A103" s="64" t="inlineStr">
        <is>
          <t>57320249000100</t>
        </is>
      </c>
      <c r="B103" s="57" t="inlineStr">
        <is>
          <t>FRANCIJANE MARQUES LEAL - ME</t>
        </is>
      </c>
      <c r="C103" s="57" t="inlineStr">
        <is>
          <t>SEM GRUPO</t>
        </is>
      </c>
      <c r="D103" s="61" t="inlineStr">
        <is>
          <t>LARISSA PADILHA</t>
        </is>
      </c>
      <c r="E103" s="30" t="inlineStr">
        <is>
          <t>.</t>
        </is>
      </c>
      <c r="F103" s="63" t="n"/>
      <c r="G103" s="179" t="n"/>
      <c r="H103" s="57" t="n"/>
      <c r="I103" s="57" t="n"/>
      <c r="J103" s="61" t="n"/>
      <c r="K103" s="30" t="inlineStr">
        <is>
          <t>.</t>
        </is>
      </c>
      <c r="L103" s="180" t="n">
        <v>11288.21</v>
      </c>
      <c r="M103" s="181" t="n">
        <v>793.26</v>
      </c>
      <c r="N103" s="181" t="n">
        <v>828.92</v>
      </c>
      <c r="O103" s="181" t="n">
        <v>848.9</v>
      </c>
      <c r="P103" s="181" t="n">
        <v>871.01</v>
      </c>
      <c r="Q103" s="181" t="n">
        <v>899.55</v>
      </c>
      <c r="R103" s="181" t="n">
        <v>923.09</v>
      </c>
      <c r="S103" s="181" t="n">
        <v>958.75</v>
      </c>
      <c r="T103" s="181" t="n">
        <v>982.3</v>
      </c>
      <c r="U103" s="181" t="n">
        <v>1004.41</v>
      </c>
      <c r="V103" s="181" t="n">
        <v>1029.38</v>
      </c>
      <c r="W103" s="181" t="n">
        <v>1056.49</v>
      </c>
      <c r="X103" s="182" t="n">
        <v>1092.15</v>
      </c>
      <c r="Y103" s="183" t="inlineStr">
        <is>
          <t>.</t>
        </is>
      </c>
      <c r="Z103" s="184">
        <f>SUM(AA103:AL103)</f>
        <v/>
      </c>
      <c r="AA103" s="185" t="n">
        <v>0</v>
      </c>
      <c r="AB103" s="185" t="n">
        <v>0</v>
      </c>
      <c r="AC103" s="185" t="n">
        <v>0</v>
      </c>
      <c r="AD103" s="185" t="n">
        <v>0</v>
      </c>
      <c r="AE103" s="185" t="n">
        <v>0</v>
      </c>
      <c r="AF103" s="185" t="n">
        <v>0</v>
      </c>
      <c r="AG103" s="185" t="n">
        <v>5725.56</v>
      </c>
      <c r="AH103" s="185" t="n">
        <v>0</v>
      </c>
      <c r="AI103" s="185" t="n">
        <v>0</v>
      </c>
      <c r="AJ103" s="185" t="n">
        <v>0</v>
      </c>
      <c r="AK103" s="185" t="n">
        <v>0</v>
      </c>
      <c r="AL103" s="186" t="n">
        <v>0</v>
      </c>
      <c r="AM103" s="30" t="inlineStr">
        <is>
          <t>.</t>
        </is>
      </c>
      <c r="AN103" s="187">
        <f>IF(L103=0,0,Z103/L103)</f>
        <v/>
      </c>
      <c r="AO103" s="57">
        <f>IF(AN103&gt;=1,"🟢",IF(AN103&gt;=0.7,"🟡",IF(AN103&gt;=0.4,"🟠","🔴")))</f>
        <v/>
      </c>
      <c r="AP103" s="185">
        <f>L103-Z103</f>
        <v/>
      </c>
      <c r="AQ103" s="55">
        <f>RANK(Z103,$Z$4:$Z$503,0)</f>
        <v/>
      </c>
      <c r="AR103" s="39" t="inlineStr">
        <is>
          <t>.</t>
        </is>
      </c>
      <c r="AS103" s="27" t="n"/>
      <c r="AT103" s="27" t="n"/>
      <c r="AU103" s="27" t="n"/>
      <c r="AV103" s="27" t="n"/>
      <c r="AW103" s="27" t="n"/>
      <c r="AX103" s="27" t="n"/>
      <c r="AY103" s="204" t="n"/>
      <c r="AZ103" s="204" t="n"/>
      <c r="BA103" s="38" t="inlineStr">
        <is>
          <t>.</t>
        </is>
      </c>
      <c r="BB103" s="190">
        <f>SUM(BC103:BN103)</f>
        <v/>
      </c>
      <c r="BC103" s="191">
        <f>L103*0.0702730030</f>
        <v/>
      </c>
      <c r="BD103" s="191">
        <f>L103*0.0734327604</f>
        <v/>
      </c>
      <c r="BE103" s="191">
        <f>L103*0.0752022245</f>
        <v/>
      </c>
      <c r="BF103" s="191">
        <f>L103*0.0771612740</f>
        <v/>
      </c>
      <c r="BG103" s="191">
        <f>L103*0.0796890799</f>
        <v/>
      </c>
      <c r="BH103" s="191">
        <f>L103*0.0817745197</f>
        <v/>
      </c>
      <c r="BI103" s="191">
        <f>L103*0.0849342770</f>
        <v/>
      </c>
      <c r="BJ103" s="191">
        <f>L103*0.0870197169</f>
        <v/>
      </c>
      <c r="BK103" s="191">
        <f>L103*0.0889787664</f>
        <v/>
      </c>
      <c r="BL103" s="191">
        <f>L103*0.0911905966</f>
        <v/>
      </c>
      <c r="BM103" s="191">
        <f>L103*0.0935920121</f>
        <v/>
      </c>
      <c r="BN103" s="192">
        <f>L103*0.0967517695</f>
        <v/>
      </c>
      <c r="BO103" s="36" t="inlineStr">
        <is>
          <t>.</t>
        </is>
      </c>
      <c r="BP103" s="193">
        <f>SUM(BQ103:CB103)</f>
        <v/>
      </c>
      <c r="BQ103" s="191">
        <f>MAX(0,BC103-AA103)</f>
        <v/>
      </c>
      <c r="BR103" s="191">
        <f>MAX(0,BD103-AB103)</f>
        <v/>
      </c>
      <c r="BS103" s="191">
        <f>MAX(0,BE103-AC103)</f>
        <v/>
      </c>
      <c r="BT103" s="191">
        <f>MAX(0,BF103-AD103)</f>
        <v/>
      </c>
      <c r="BU103" s="191">
        <f>MAX(0,BG103-AE103)</f>
        <v/>
      </c>
      <c r="BV103" s="191">
        <f>MAX(0,BH103-AF103)</f>
        <v/>
      </c>
      <c r="BW103" s="191">
        <f>MAX(0,BI103-AG103)</f>
        <v/>
      </c>
      <c r="BX103" s="191">
        <f>MAX(0,BJ103-AH103)</f>
        <v/>
      </c>
      <c r="BY103" s="191">
        <f>MAX(0,BK103-AI103)</f>
        <v/>
      </c>
      <c r="BZ103" s="191">
        <f>MAX(0,BL103-AJ103)</f>
        <v/>
      </c>
      <c r="CA103" s="191">
        <f>MAX(0,BM103-AK103)</f>
        <v/>
      </c>
      <c r="CB103" s="192">
        <f>MAX(0,BN103-AL103)</f>
        <v/>
      </c>
    </row>
    <row r="104">
      <c r="A104" s="64" t="inlineStr">
        <is>
          <t>50860678000112</t>
        </is>
      </c>
      <c r="B104" s="57" t="inlineStr">
        <is>
          <t>BIOMUNDO ARAGUAINA LTDA - EPP</t>
        </is>
      </c>
      <c r="C104" s="57" t="inlineStr">
        <is>
          <t>SEM GRUPO</t>
        </is>
      </c>
      <c r="D104" s="61" t="inlineStr">
        <is>
          <t>LARISSA PADILHA</t>
        </is>
      </c>
      <c r="E104" s="30" t="inlineStr">
        <is>
          <t>.</t>
        </is>
      </c>
      <c r="F104" s="63" t="n"/>
      <c r="G104" s="179" t="n"/>
      <c r="H104" s="57" t="n"/>
      <c r="I104" s="57" t="n"/>
      <c r="J104" s="61" t="n"/>
      <c r="K104" s="30" t="inlineStr">
        <is>
          <t>.</t>
        </is>
      </c>
      <c r="L104" s="180" t="n">
        <v>11126.92</v>
      </c>
      <c r="M104" s="181" t="n">
        <v>781.92</v>
      </c>
      <c r="N104" s="181" t="n">
        <v>817.08</v>
      </c>
      <c r="O104" s="181" t="n">
        <v>836.77</v>
      </c>
      <c r="P104" s="181" t="n">
        <v>858.5700000000001</v>
      </c>
      <c r="Q104" s="181" t="n">
        <v>886.6900000000001</v>
      </c>
      <c r="R104" s="181" t="n">
        <v>909.9</v>
      </c>
      <c r="S104" s="181" t="n">
        <v>945.0599999999999</v>
      </c>
      <c r="T104" s="181" t="n">
        <v>968.26</v>
      </c>
      <c r="U104" s="181" t="n">
        <v>990.0599999999999</v>
      </c>
      <c r="V104" s="181" t="n">
        <v>1014.67</v>
      </c>
      <c r="W104" s="181" t="n">
        <v>1041.39</v>
      </c>
      <c r="X104" s="182" t="n">
        <v>1076.55</v>
      </c>
      <c r="Y104" s="183" t="inlineStr">
        <is>
          <t>.</t>
        </is>
      </c>
      <c r="Z104" s="184">
        <f>SUM(AA104:AL104)</f>
        <v/>
      </c>
      <c r="AA104" s="185" t="n">
        <v>0</v>
      </c>
      <c r="AB104" s="185" t="n">
        <v>5350.97</v>
      </c>
      <c r="AC104" s="185" t="n">
        <v>0</v>
      </c>
      <c r="AD104" s="185" t="n">
        <v>0</v>
      </c>
      <c r="AE104" s="185" t="n">
        <v>2354.89</v>
      </c>
      <c r="AF104" s="185" t="n">
        <v>0</v>
      </c>
      <c r="AG104" s="185" t="n">
        <v>0</v>
      </c>
      <c r="AH104" s="185" t="n">
        <v>0</v>
      </c>
      <c r="AI104" s="185" t="n">
        <v>0</v>
      </c>
      <c r="AJ104" s="185" t="n">
        <v>0</v>
      </c>
      <c r="AK104" s="185" t="n">
        <v>0</v>
      </c>
      <c r="AL104" s="186" t="n">
        <v>0</v>
      </c>
      <c r="AM104" s="30" t="inlineStr">
        <is>
          <t>.</t>
        </is>
      </c>
      <c r="AN104" s="187">
        <f>IF(L104=0,0,Z104/L104)</f>
        <v/>
      </c>
      <c r="AO104" s="57">
        <f>IF(AN104&gt;=1,"🟢",IF(AN104&gt;=0.7,"🟡",IF(AN104&gt;=0.4,"🟠","🔴")))</f>
        <v/>
      </c>
      <c r="AP104" s="185">
        <f>L104-Z104</f>
        <v/>
      </c>
      <c r="AQ104" s="55">
        <f>RANK(Z104,$Z$4:$Z$503,0)</f>
        <v/>
      </c>
      <c r="AR104" s="39" t="inlineStr">
        <is>
          <t>.</t>
        </is>
      </c>
      <c r="AS104" s="27" t="n"/>
      <c r="AT104" s="27" t="n"/>
      <c r="AU104" s="27" t="n"/>
      <c r="AV104" s="27" t="n"/>
      <c r="AW104" s="27" t="n"/>
      <c r="AX104" s="27" t="n"/>
      <c r="AY104" s="204" t="n"/>
      <c r="AZ104" s="204" t="n"/>
      <c r="BA104" s="38" t="inlineStr">
        <is>
          <t>.</t>
        </is>
      </c>
      <c r="BB104" s="190">
        <f>SUM(BC104:BN104)</f>
        <v/>
      </c>
      <c r="BC104" s="191">
        <f>L104*0.0702730030</f>
        <v/>
      </c>
      <c r="BD104" s="191">
        <f>L104*0.0734327604</f>
        <v/>
      </c>
      <c r="BE104" s="191">
        <f>L104*0.0752022245</f>
        <v/>
      </c>
      <c r="BF104" s="191">
        <f>L104*0.0771612740</f>
        <v/>
      </c>
      <c r="BG104" s="191">
        <f>L104*0.0796890799</f>
        <v/>
      </c>
      <c r="BH104" s="191">
        <f>L104*0.0817745197</f>
        <v/>
      </c>
      <c r="BI104" s="191">
        <f>L104*0.0849342770</f>
        <v/>
      </c>
      <c r="BJ104" s="191">
        <f>L104*0.0870197169</f>
        <v/>
      </c>
      <c r="BK104" s="191">
        <f>L104*0.0889787664</f>
        <v/>
      </c>
      <c r="BL104" s="191">
        <f>L104*0.0911905966</f>
        <v/>
      </c>
      <c r="BM104" s="191">
        <f>L104*0.0935920121</f>
        <v/>
      </c>
      <c r="BN104" s="192">
        <f>L104*0.0967517695</f>
        <v/>
      </c>
      <c r="BO104" s="36" t="inlineStr">
        <is>
          <t>.</t>
        </is>
      </c>
      <c r="BP104" s="193">
        <f>SUM(BQ104:CB104)</f>
        <v/>
      </c>
      <c r="BQ104" s="191">
        <f>MAX(0,BC104-AA104)</f>
        <v/>
      </c>
      <c r="BR104" s="191">
        <f>MAX(0,BD104-AB104)</f>
        <v/>
      </c>
      <c r="BS104" s="191">
        <f>MAX(0,BE104-AC104)</f>
        <v/>
      </c>
      <c r="BT104" s="191">
        <f>MAX(0,BF104-AD104)</f>
        <v/>
      </c>
      <c r="BU104" s="191">
        <f>MAX(0,BG104-AE104)</f>
        <v/>
      </c>
      <c r="BV104" s="191">
        <f>MAX(0,BH104-AF104)</f>
        <v/>
      </c>
      <c r="BW104" s="191">
        <f>MAX(0,BI104-AG104)</f>
        <v/>
      </c>
      <c r="BX104" s="191">
        <f>MAX(0,BJ104-AH104)</f>
        <v/>
      </c>
      <c r="BY104" s="191">
        <f>MAX(0,BK104-AI104)</f>
        <v/>
      </c>
      <c r="BZ104" s="191">
        <f>MAX(0,BL104-AJ104)</f>
        <v/>
      </c>
      <c r="CA104" s="191">
        <f>MAX(0,BM104-AK104)</f>
        <v/>
      </c>
      <c r="CB104" s="192">
        <f>MAX(0,BN104-AL104)</f>
        <v/>
      </c>
    </row>
    <row r="105">
      <c r="A105" s="64" t="inlineStr">
        <is>
          <t>28019593000157</t>
        </is>
      </c>
      <c r="B105" s="57" t="inlineStr">
        <is>
          <t>MAIARA LORCA DE OLIVEIRA - ME</t>
        </is>
      </c>
      <c r="C105" s="57" t="inlineStr">
        <is>
          <t>MUNDO VERDE</t>
        </is>
      </c>
      <c r="D105" s="61" t="inlineStr">
        <is>
          <t>DAIANE STAVICKI</t>
        </is>
      </c>
      <c r="E105" s="30" t="inlineStr">
        <is>
          <t>.</t>
        </is>
      </c>
      <c r="F105" s="63" t="n">
        <v>199</v>
      </c>
      <c r="G105" s="179" t="n">
        <v>0.014</v>
      </c>
      <c r="H105" s="57" t="inlineStr">
        <is>
          <t>🔴 VERMELHO</t>
        </is>
      </c>
      <c r="I105" s="57" t="inlineStr">
        <is>
          <t>ATIVAÇÃO</t>
        </is>
      </c>
      <c r="J105" s="61" t="inlineStr">
        <is>
          <t>Reativar inativos + Prospectar</t>
        </is>
      </c>
      <c r="K105" s="30" t="inlineStr">
        <is>
          <t>.</t>
        </is>
      </c>
      <c r="L105" s="180" t="n">
        <v>10971.42</v>
      </c>
      <c r="M105" s="181" t="n">
        <v>771</v>
      </c>
      <c r="N105" s="181" t="n">
        <v>805.66</v>
      </c>
      <c r="O105" s="181" t="n">
        <v>825.08</v>
      </c>
      <c r="P105" s="181" t="n">
        <v>846.5700000000001</v>
      </c>
      <c r="Q105" s="181" t="n">
        <v>874.3</v>
      </c>
      <c r="R105" s="181" t="n">
        <v>897.1799999999999</v>
      </c>
      <c r="S105" s="181" t="n">
        <v>931.85</v>
      </c>
      <c r="T105" s="181" t="n">
        <v>954.73</v>
      </c>
      <c r="U105" s="181" t="n">
        <v>976.22</v>
      </c>
      <c r="V105" s="181" t="n">
        <v>1000.49</v>
      </c>
      <c r="W105" s="181" t="n">
        <v>1026.84</v>
      </c>
      <c r="X105" s="182" t="n">
        <v>1061.5</v>
      </c>
      <c r="Y105" s="183" t="inlineStr">
        <is>
          <t>.</t>
        </is>
      </c>
      <c r="Z105" s="184">
        <f>SUM(AA105:AL105)</f>
        <v/>
      </c>
      <c r="AA105" s="185" t="n">
        <v>0</v>
      </c>
      <c r="AB105" s="185" t="n">
        <v>0</v>
      </c>
      <c r="AC105" s="185" t="n">
        <v>0</v>
      </c>
      <c r="AD105" s="185" t="n">
        <v>0</v>
      </c>
      <c r="AE105" s="185" t="n">
        <v>0</v>
      </c>
      <c r="AF105" s="185" t="n">
        <v>0</v>
      </c>
      <c r="AG105" s="185" t="n">
        <v>0</v>
      </c>
      <c r="AH105" s="185" t="n">
        <v>3035.76</v>
      </c>
      <c r="AI105" s="185" t="n">
        <v>0</v>
      </c>
      <c r="AJ105" s="185" t="n">
        <v>2480.4</v>
      </c>
      <c r="AK105" s="185" t="n">
        <v>0</v>
      </c>
      <c r="AL105" s="186" t="n">
        <v>0</v>
      </c>
      <c r="AM105" s="30" t="inlineStr">
        <is>
          <t>.</t>
        </is>
      </c>
      <c r="AN105" s="187">
        <f>IF(L105=0,0,Z105/L105)</f>
        <v/>
      </c>
      <c r="AO105" s="57">
        <f>IF(AN105&gt;=1,"🟢",IF(AN105&gt;=0.7,"🟡",IF(AN105&gt;=0.4,"🟠","🔴")))</f>
        <v/>
      </c>
      <c r="AP105" s="185">
        <f>L105-Z105</f>
        <v/>
      </c>
      <c r="AQ105" s="55">
        <f>RANK(Z105,$Z$4:$Z$503,0)</f>
        <v/>
      </c>
      <c r="AR105" s="39" t="inlineStr">
        <is>
          <t>.</t>
        </is>
      </c>
      <c r="AS105" s="27" t="n"/>
      <c r="AT105" s="27" t="n"/>
      <c r="AU105" s="27" t="n"/>
      <c r="AV105" s="27" t="n"/>
      <c r="AW105" s="27" t="n"/>
      <c r="AX105" s="27" t="n"/>
      <c r="AY105" s="204" t="n"/>
      <c r="AZ105" s="204" t="n"/>
      <c r="BA105" s="38" t="inlineStr">
        <is>
          <t>.</t>
        </is>
      </c>
      <c r="BB105" s="190">
        <f>SUM(BC105:BN105)</f>
        <v/>
      </c>
      <c r="BC105" s="191">
        <f>L105*0.0702730030</f>
        <v/>
      </c>
      <c r="BD105" s="191">
        <f>L105*0.0734327604</f>
        <v/>
      </c>
      <c r="BE105" s="191">
        <f>L105*0.0752022245</f>
        <v/>
      </c>
      <c r="BF105" s="191">
        <f>L105*0.0771612740</f>
        <v/>
      </c>
      <c r="BG105" s="191">
        <f>L105*0.0796890799</f>
        <v/>
      </c>
      <c r="BH105" s="191">
        <f>L105*0.0817745197</f>
        <v/>
      </c>
      <c r="BI105" s="191">
        <f>L105*0.0849342770</f>
        <v/>
      </c>
      <c r="BJ105" s="191">
        <f>L105*0.0870197169</f>
        <v/>
      </c>
      <c r="BK105" s="191">
        <f>L105*0.0889787664</f>
        <v/>
      </c>
      <c r="BL105" s="191">
        <f>L105*0.0911905966</f>
        <v/>
      </c>
      <c r="BM105" s="191">
        <f>L105*0.0935920121</f>
        <v/>
      </c>
      <c r="BN105" s="192">
        <f>L105*0.0967517695</f>
        <v/>
      </c>
      <c r="BO105" s="36" t="inlineStr">
        <is>
          <t>.</t>
        </is>
      </c>
      <c r="BP105" s="193">
        <f>SUM(BQ105:CB105)</f>
        <v/>
      </c>
      <c r="BQ105" s="191">
        <f>MAX(0,BC105-AA105)</f>
        <v/>
      </c>
      <c r="BR105" s="191">
        <f>MAX(0,BD105-AB105)</f>
        <v/>
      </c>
      <c r="BS105" s="191">
        <f>MAX(0,BE105-AC105)</f>
        <v/>
      </c>
      <c r="BT105" s="191">
        <f>MAX(0,BF105-AD105)</f>
        <v/>
      </c>
      <c r="BU105" s="191">
        <f>MAX(0,BG105-AE105)</f>
        <v/>
      </c>
      <c r="BV105" s="191">
        <f>MAX(0,BH105-AF105)</f>
        <v/>
      </c>
      <c r="BW105" s="191">
        <f>MAX(0,BI105-AG105)</f>
        <v/>
      </c>
      <c r="BX105" s="191">
        <f>MAX(0,BJ105-AH105)</f>
        <v/>
      </c>
      <c r="BY105" s="191">
        <f>MAX(0,BK105-AI105)</f>
        <v/>
      </c>
      <c r="BZ105" s="191">
        <f>MAX(0,BL105-AJ105)</f>
        <v/>
      </c>
      <c r="CA105" s="191">
        <f>MAX(0,BM105-AK105)</f>
        <v/>
      </c>
      <c r="CB105" s="192">
        <f>MAX(0,BN105-AL105)</f>
        <v/>
      </c>
    </row>
    <row r="106">
      <c r="A106" s="64" t="inlineStr">
        <is>
          <t>43023380000192</t>
        </is>
      </c>
      <c r="B106" s="57" t="inlineStr">
        <is>
          <t>43.023.380 SOMAR IBRAHEM</t>
        </is>
      </c>
      <c r="C106" s="57" t="inlineStr">
        <is>
          <t>SEM GRUPO</t>
        </is>
      </c>
      <c r="D106" s="61" t="inlineStr">
        <is>
          <t>LARISSA PADILHA</t>
        </is>
      </c>
      <c r="E106" s="30" t="inlineStr">
        <is>
          <t>.</t>
        </is>
      </c>
      <c r="F106" s="63" t="n"/>
      <c r="G106" s="179" t="n"/>
      <c r="H106" s="57" t="n"/>
      <c r="I106" s="57" t="n"/>
      <c r="J106" s="61" t="n"/>
      <c r="K106" s="30" t="inlineStr">
        <is>
          <t>.</t>
        </is>
      </c>
      <c r="L106" s="180" t="n">
        <v>10959.26</v>
      </c>
      <c r="M106" s="181" t="n">
        <v>770.14</v>
      </c>
      <c r="N106" s="181" t="n">
        <v>804.77</v>
      </c>
      <c r="O106" s="181" t="n">
        <v>824.16</v>
      </c>
      <c r="P106" s="181" t="n">
        <v>845.63</v>
      </c>
      <c r="Q106" s="181" t="n">
        <v>873.33</v>
      </c>
      <c r="R106" s="181" t="n">
        <v>896.1900000000001</v>
      </c>
      <c r="S106" s="181" t="n">
        <v>930.8200000000001</v>
      </c>
      <c r="T106" s="181" t="n">
        <v>953.67</v>
      </c>
      <c r="U106" s="181" t="n">
        <v>975.14</v>
      </c>
      <c r="V106" s="181" t="n">
        <v>999.38</v>
      </c>
      <c r="W106" s="181" t="n">
        <v>1025.7</v>
      </c>
      <c r="X106" s="182" t="n">
        <v>1060.33</v>
      </c>
      <c r="Y106" s="183" t="inlineStr">
        <is>
          <t>.</t>
        </is>
      </c>
      <c r="Z106" s="184">
        <f>SUM(AA106:AL106)</f>
        <v/>
      </c>
      <c r="AA106" s="185" t="n">
        <v>0</v>
      </c>
      <c r="AB106" s="185" t="n">
        <v>0</v>
      </c>
      <c r="AC106" s="185" t="n">
        <v>0</v>
      </c>
      <c r="AD106" s="185" t="n">
        <v>0</v>
      </c>
      <c r="AE106" s="185" t="n">
        <v>0</v>
      </c>
      <c r="AF106" s="185" t="n">
        <v>1384.02</v>
      </c>
      <c r="AG106" s="185" t="n">
        <v>0</v>
      </c>
      <c r="AH106" s="185" t="n">
        <v>1526.93</v>
      </c>
      <c r="AI106" s="185" t="n">
        <v>0</v>
      </c>
      <c r="AJ106" s="185" t="n">
        <v>0</v>
      </c>
      <c r="AK106" s="185" t="n">
        <v>2074.52</v>
      </c>
      <c r="AL106" s="186" t="n">
        <v>0</v>
      </c>
      <c r="AM106" s="30" t="inlineStr">
        <is>
          <t>.</t>
        </is>
      </c>
      <c r="AN106" s="187">
        <f>IF(L106=0,0,Z106/L106)</f>
        <v/>
      </c>
      <c r="AO106" s="57">
        <f>IF(AN106&gt;=1,"🟢",IF(AN106&gt;=0.7,"🟡",IF(AN106&gt;=0.4,"🟠","🔴")))</f>
        <v/>
      </c>
      <c r="AP106" s="185">
        <f>L106-Z106</f>
        <v/>
      </c>
      <c r="AQ106" s="55">
        <f>RANK(Z106,$Z$4:$Z$503,0)</f>
        <v/>
      </c>
      <c r="AR106" s="39" t="inlineStr">
        <is>
          <t>.</t>
        </is>
      </c>
      <c r="AS106" s="27" t="n"/>
      <c r="AT106" s="27" t="n"/>
      <c r="AU106" s="27" t="n"/>
      <c r="AV106" s="27" t="n"/>
      <c r="AW106" s="27" t="n"/>
      <c r="AX106" s="27" t="n"/>
      <c r="AY106" s="204" t="n"/>
      <c r="AZ106" s="204" t="n"/>
      <c r="BA106" s="38" t="inlineStr">
        <is>
          <t>.</t>
        </is>
      </c>
      <c r="BB106" s="190">
        <f>SUM(BC106:BN106)</f>
        <v/>
      </c>
      <c r="BC106" s="191">
        <f>L106*0.0702730030</f>
        <v/>
      </c>
      <c r="BD106" s="191">
        <f>L106*0.0734327604</f>
        <v/>
      </c>
      <c r="BE106" s="191">
        <f>L106*0.0752022245</f>
        <v/>
      </c>
      <c r="BF106" s="191">
        <f>L106*0.0771612740</f>
        <v/>
      </c>
      <c r="BG106" s="191">
        <f>L106*0.0796890799</f>
        <v/>
      </c>
      <c r="BH106" s="191">
        <f>L106*0.0817745197</f>
        <v/>
      </c>
      <c r="BI106" s="191">
        <f>L106*0.0849342770</f>
        <v/>
      </c>
      <c r="BJ106" s="191">
        <f>L106*0.0870197169</f>
        <v/>
      </c>
      <c r="BK106" s="191">
        <f>L106*0.0889787664</f>
        <v/>
      </c>
      <c r="BL106" s="191">
        <f>L106*0.0911905966</f>
        <v/>
      </c>
      <c r="BM106" s="191">
        <f>L106*0.0935920121</f>
        <v/>
      </c>
      <c r="BN106" s="192">
        <f>L106*0.0967517695</f>
        <v/>
      </c>
      <c r="BO106" s="36" t="inlineStr">
        <is>
          <t>.</t>
        </is>
      </c>
      <c r="BP106" s="193">
        <f>SUM(BQ106:CB106)</f>
        <v/>
      </c>
      <c r="BQ106" s="191">
        <f>MAX(0,BC106-AA106)</f>
        <v/>
      </c>
      <c r="BR106" s="191">
        <f>MAX(0,BD106-AB106)</f>
        <v/>
      </c>
      <c r="BS106" s="191">
        <f>MAX(0,BE106-AC106)</f>
        <v/>
      </c>
      <c r="BT106" s="191">
        <f>MAX(0,BF106-AD106)</f>
        <v/>
      </c>
      <c r="BU106" s="191">
        <f>MAX(0,BG106-AE106)</f>
        <v/>
      </c>
      <c r="BV106" s="191">
        <f>MAX(0,BH106-AF106)</f>
        <v/>
      </c>
      <c r="BW106" s="191">
        <f>MAX(0,BI106-AG106)</f>
        <v/>
      </c>
      <c r="BX106" s="191">
        <f>MAX(0,BJ106-AH106)</f>
        <v/>
      </c>
      <c r="BY106" s="191">
        <f>MAX(0,BK106-AI106)</f>
        <v/>
      </c>
      <c r="BZ106" s="191">
        <f>MAX(0,BL106-AJ106)</f>
        <v/>
      </c>
      <c r="CA106" s="191">
        <f>MAX(0,BM106-AK106)</f>
        <v/>
      </c>
      <c r="CB106" s="192">
        <f>MAX(0,BN106-AL106)</f>
        <v/>
      </c>
    </row>
    <row r="107">
      <c r="A107" s="64" t="inlineStr">
        <is>
          <t>54424504000168</t>
        </is>
      </c>
      <c r="B107" s="57" t="inlineStr">
        <is>
          <t>54.424.504 NAIELLY FERNANDA PINHEIRO SOB</t>
        </is>
      </c>
      <c r="C107" s="57" t="inlineStr">
        <is>
          <t>SEM GRUPO</t>
        </is>
      </c>
      <c r="D107" s="61" t="inlineStr">
        <is>
          <t>LARISSA PADILHA</t>
        </is>
      </c>
      <c r="E107" s="30" t="inlineStr">
        <is>
          <t>.</t>
        </is>
      </c>
      <c r="F107" s="63" t="n"/>
      <c r="G107" s="179" t="n"/>
      <c r="H107" s="57" t="n"/>
      <c r="I107" s="57" t="n"/>
      <c r="J107" s="61" t="n"/>
      <c r="K107" s="30" t="inlineStr">
        <is>
          <t>.</t>
        </is>
      </c>
      <c r="L107" s="180" t="n">
        <v>10913.82</v>
      </c>
      <c r="M107" s="181" t="n">
        <v>766.95</v>
      </c>
      <c r="N107" s="181" t="n">
        <v>801.4299999999999</v>
      </c>
      <c r="O107" s="181" t="n">
        <v>820.74</v>
      </c>
      <c r="P107" s="181" t="n">
        <v>842.12</v>
      </c>
      <c r="Q107" s="181" t="n">
        <v>869.71</v>
      </c>
      <c r="R107" s="181" t="n">
        <v>892.47</v>
      </c>
      <c r="S107" s="181" t="n">
        <v>926.96</v>
      </c>
      <c r="T107" s="181" t="n">
        <v>949.72</v>
      </c>
      <c r="U107" s="181" t="n">
        <v>971.1</v>
      </c>
      <c r="V107" s="181" t="n">
        <v>995.24</v>
      </c>
      <c r="W107" s="181" t="n">
        <v>1021.45</v>
      </c>
      <c r="X107" s="182" t="n">
        <v>1055.93</v>
      </c>
      <c r="Y107" s="183" t="inlineStr">
        <is>
          <t>.</t>
        </is>
      </c>
      <c r="Z107" s="184">
        <f>SUM(AA107:AL107)</f>
        <v/>
      </c>
      <c r="AA107" s="185" t="n">
        <v>0</v>
      </c>
      <c r="AB107" s="185" t="n">
        <v>0</v>
      </c>
      <c r="AC107" s="185" t="n">
        <v>4293.29</v>
      </c>
      <c r="AD107" s="185" t="n">
        <v>0</v>
      </c>
      <c r="AE107" s="185" t="n">
        <v>0</v>
      </c>
      <c r="AF107" s="185" t="n">
        <v>0</v>
      </c>
      <c r="AG107" s="185" t="n">
        <v>0</v>
      </c>
      <c r="AH107" s="185" t="n">
        <v>0</v>
      </c>
      <c r="AI107" s="185" t="n">
        <v>0</v>
      </c>
      <c r="AJ107" s="185" t="n">
        <v>0</v>
      </c>
      <c r="AK107" s="185" t="n">
        <v>0</v>
      </c>
      <c r="AL107" s="186" t="n">
        <v>0</v>
      </c>
      <c r="AM107" s="30" t="inlineStr">
        <is>
          <t>.</t>
        </is>
      </c>
      <c r="AN107" s="187">
        <f>IF(L107=0,0,Z107/L107)</f>
        <v/>
      </c>
      <c r="AO107" s="57">
        <f>IF(AN107&gt;=1,"🟢",IF(AN107&gt;=0.7,"🟡",IF(AN107&gt;=0.4,"🟠","🔴")))</f>
        <v/>
      </c>
      <c r="AP107" s="185">
        <f>L107-Z107</f>
        <v/>
      </c>
      <c r="AQ107" s="55">
        <f>RANK(Z107,$Z$4:$Z$503,0)</f>
        <v/>
      </c>
      <c r="AR107" s="39" t="inlineStr">
        <is>
          <t>.</t>
        </is>
      </c>
      <c r="AS107" s="27" t="n"/>
      <c r="AT107" s="27" t="n"/>
      <c r="AU107" s="27" t="n"/>
      <c r="AV107" s="27" t="n"/>
      <c r="AW107" s="27" t="n"/>
      <c r="AX107" s="27" t="n"/>
      <c r="AY107" s="204" t="n"/>
      <c r="AZ107" s="204" t="n"/>
      <c r="BA107" s="38" t="inlineStr">
        <is>
          <t>.</t>
        </is>
      </c>
      <c r="BB107" s="190">
        <f>SUM(BC107:BN107)</f>
        <v/>
      </c>
      <c r="BC107" s="191">
        <f>L107*0.0702730030</f>
        <v/>
      </c>
      <c r="BD107" s="191">
        <f>L107*0.0734327604</f>
        <v/>
      </c>
      <c r="BE107" s="191">
        <f>L107*0.0752022245</f>
        <v/>
      </c>
      <c r="BF107" s="191">
        <f>L107*0.0771612740</f>
        <v/>
      </c>
      <c r="BG107" s="191">
        <f>L107*0.0796890799</f>
        <v/>
      </c>
      <c r="BH107" s="191">
        <f>L107*0.0817745197</f>
        <v/>
      </c>
      <c r="BI107" s="191">
        <f>L107*0.0849342770</f>
        <v/>
      </c>
      <c r="BJ107" s="191">
        <f>L107*0.0870197169</f>
        <v/>
      </c>
      <c r="BK107" s="191">
        <f>L107*0.0889787664</f>
        <v/>
      </c>
      <c r="BL107" s="191">
        <f>L107*0.0911905966</f>
        <v/>
      </c>
      <c r="BM107" s="191">
        <f>L107*0.0935920121</f>
        <v/>
      </c>
      <c r="BN107" s="192">
        <f>L107*0.0967517695</f>
        <v/>
      </c>
      <c r="BO107" s="36" t="inlineStr">
        <is>
          <t>.</t>
        </is>
      </c>
      <c r="BP107" s="193">
        <f>SUM(BQ107:CB107)</f>
        <v/>
      </c>
      <c r="BQ107" s="191">
        <f>MAX(0,BC107-AA107)</f>
        <v/>
      </c>
      <c r="BR107" s="191">
        <f>MAX(0,BD107-AB107)</f>
        <v/>
      </c>
      <c r="BS107" s="191">
        <f>MAX(0,BE107-AC107)</f>
        <v/>
      </c>
      <c r="BT107" s="191">
        <f>MAX(0,BF107-AD107)</f>
        <v/>
      </c>
      <c r="BU107" s="191">
        <f>MAX(0,BG107-AE107)</f>
        <v/>
      </c>
      <c r="BV107" s="191">
        <f>MAX(0,BH107-AF107)</f>
        <v/>
      </c>
      <c r="BW107" s="191">
        <f>MAX(0,BI107-AG107)</f>
        <v/>
      </c>
      <c r="BX107" s="191">
        <f>MAX(0,BJ107-AH107)</f>
        <v/>
      </c>
      <c r="BY107" s="191">
        <f>MAX(0,BK107-AI107)</f>
        <v/>
      </c>
      <c r="BZ107" s="191">
        <f>MAX(0,BL107-AJ107)</f>
        <v/>
      </c>
      <c r="CA107" s="191">
        <f>MAX(0,BM107-AK107)</f>
        <v/>
      </c>
      <c r="CB107" s="192">
        <f>MAX(0,BN107-AL107)</f>
        <v/>
      </c>
    </row>
    <row r="108">
      <c r="A108" s="64" t="inlineStr">
        <is>
          <t>72500887000198</t>
        </is>
      </c>
      <c r="B108" s="57" t="inlineStr">
        <is>
          <t>REIS COMERCIO DE PRODUTOS NATURAIS LTDA</t>
        </is>
      </c>
      <c r="C108" s="57" t="inlineStr">
        <is>
          <t>MUNDO VERDE</t>
        </is>
      </c>
      <c r="D108" s="61" t="inlineStr">
        <is>
          <t>DAIANE STAVICKI</t>
        </is>
      </c>
      <c r="E108" s="30" t="inlineStr">
        <is>
          <t>.</t>
        </is>
      </c>
      <c r="F108" s="63" t="n">
        <v>199</v>
      </c>
      <c r="G108" s="179" t="n">
        <v>0.014</v>
      </c>
      <c r="H108" s="57" t="inlineStr">
        <is>
          <t>🔴 VERMELHO</t>
        </is>
      </c>
      <c r="I108" s="57" t="inlineStr">
        <is>
          <t>ATIVAÇÃO</t>
        </is>
      </c>
      <c r="J108" s="61" t="inlineStr">
        <is>
          <t>Reativar inativos + Prospectar</t>
        </is>
      </c>
      <c r="K108" s="30" t="inlineStr">
        <is>
          <t>.</t>
        </is>
      </c>
      <c r="L108" s="180" t="n">
        <v>10835.58</v>
      </c>
      <c r="M108" s="181" t="n">
        <v>761.45</v>
      </c>
      <c r="N108" s="181" t="n">
        <v>795.6900000000001</v>
      </c>
      <c r="O108" s="181" t="n">
        <v>814.86</v>
      </c>
      <c r="P108" s="181" t="n">
        <v>836.09</v>
      </c>
      <c r="Q108" s="181" t="n">
        <v>863.48</v>
      </c>
      <c r="R108" s="181" t="n">
        <v>886.0700000000001</v>
      </c>
      <c r="S108" s="181" t="n">
        <v>920.3099999999999</v>
      </c>
      <c r="T108" s="181" t="n">
        <v>942.91</v>
      </c>
      <c r="U108" s="181" t="n">
        <v>964.14</v>
      </c>
      <c r="V108" s="181" t="n">
        <v>988.1</v>
      </c>
      <c r="W108" s="181" t="n">
        <v>1014.12</v>
      </c>
      <c r="X108" s="182" t="n">
        <v>1048.36</v>
      </c>
      <c r="Y108" s="183" t="inlineStr">
        <is>
          <t>.</t>
        </is>
      </c>
      <c r="Z108" s="184">
        <f>SUM(AA108:AL108)</f>
        <v/>
      </c>
      <c r="AA108" s="185" t="n">
        <v>0</v>
      </c>
      <c r="AB108" s="185" t="n">
        <v>0</v>
      </c>
      <c r="AC108" s="185" t="n">
        <v>0</v>
      </c>
      <c r="AD108" s="185" t="n">
        <v>0</v>
      </c>
      <c r="AE108" s="185" t="n">
        <v>0</v>
      </c>
      <c r="AF108" s="185" t="n">
        <v>1397</v>
      </c>
      <c r="AG108" s="185" t="n">
        <v>0</v>
      </c>
      <c r="AH108" s="185" t="n">
        <v>0</v>
      </c>
      <c r="AI108" s="185" t="n">
        <v>1339.41</v>
      </c>
      <c r="AJ108" s="185" t="n">
        <v>0</v>
      </c>
      <c r="AK108" s="185" t="n">
        <v>0</v>
      </c>
      <c r="AL108" s="186" t="n">
        <v>1939.13</v>
      </c>
      <c r="AM108" s="222" t="n">
        <v>697.77</v>
      </c>
      <c r="AN108" s="187">
        <f>IF(L108=0,0,Z108/L108)</f>
        <v/>
      </c>
      <c r="AO108" s="57">
        <f>IF(AN108&gt;=1,"🟢",IF(AN108&gt;=0.7,"🟡",IF(AN108&gt;=0.4,"🟠","🔴")))</f>
        <v/>
      </c>
      <c r="AP108" s="185">
        <f>L108-Z108</f>
        <v/>
      </c>
      <c r="AQ108" s="55">
        <f>RANK(Z108,$Z$4:$Z$503,0)</f>
        <v/>
      </c>
      <c r="AR108" s="39" t="inlineStr">
        <is>
          <t>.</t>
        </is>
      </c>
      <c r="AS108" s="27" t="n"/>
      <c r="AT108" s="27" t="n"/>
      <c r="AU108" s="27" t="n"/>
      <c r="AV108" s="27" t="n"/>
      <c r="AW108" s="27" t="n"/>
      <c r="AX108" s="27" t="n"/>
      <c r="AY108" s="204" t="n"/>
      <c r="AZ108" s="204" t="n"/>
      <c r="BA108" s="38" t="inlineStr">
        <is>
          <t>.</t>
        </is>
      </c>
      <c r="BB108" s="190">
        <f>SUM(BC108:BN108)</f>
        <v/>
      </c>
      <c r="BC108" s="191">
        <f>L108*0.0702730030</f>
        <v/>
      </c>
      <c r="BD108" s="191">
        <f>L108*0.0734327604</f>
        <v/>
      </c>
      <c r="BE108" s="191">
        <f>L108*0.0752022245</f>
        <v/>
      </c>
      <c r="BF108" s="191">
        <f>L108*0.0771612740</f>
        <v/>
      </c>
      <c r="BG108" s="191">
        <f>L108*0.0796890799</f>
        <v/>
      </c>
      <c r="BH108" s="191">
        <f>L108*0.0817745197</f>
        <v/>
      </c>
      <c r="BI108" s="191">
        <f>L108*0.0849342770</f>
        <v/>
      </c>
      <c r="BJ108" s="191">
        <f>L108*0.0870197169</f>
        <v/>
      </c>
      <c r="BK108" s="191">
        <f>L108*0.0889787664</f>
        <v/>
      </c>
      <c r="BL108" s="191">
        <f>L108*0.0911905966</f>
        <v/>
      </c>
      <c r="BM108" s="191">
        <f>L108*0.0935920121</f>
        <v/>
      </c>
      <c r="BN108" s="192">
        <f>L108*0.0967517695</f>
        <v/>
      </c>
      <c r="BO108" s="36" t="inlineStr">
        <is>
          <t>.</t>
        </is>
      </c>
      <c r="BP108" s="193">
        <f>SUM(BQ108:CB108)</f>
        <v/>
      </c>
      <c r="BQ108" s="191">
        <f>MAX(0,BC108-AA108)</f>
        <v/>
      </c>
      <c r="BR108" s="191">
        <f>MAX(0,BD108-AB108)</f>
        <v/>
      </c>
      <c r="BS108" s="191">
        <f>MAX(0,BE108-AC108)</f>
        <v/>
      </c>
      <c r="BT108" s="191">
        <f>MAX(0,BF108-AD108)</f>
        <v/>
      </c>
      <c r="BU108" s="191">
        <f>MAX(0,BG108-AE108)</f>
        <v/>
      </c>
      <c r="BV108" s="191">
        <f>MAX(0,BH108-AF108)</f>
        <v/>
      </c>
      <c r="BW108" s="191">
        <f>MAX(0,BI108-AG108)</f>
        <v/>
      </c>
      <c r="BX108" s="191">
        <f>MAX(0,BJ108-AH108)</f>
        <v/>
      </c>
      <c r="BY108" s="191">
        <f>MAX(0,BK108-AI108)</f>
        <v/>
      </c>
      <c r="BZ108" s="191">
        <f>MAX(0,BL108-AJ108)</f>
        <v/>
      </c>
      <c r="CA108" s="191">
        <f>MAX(0,BM108-AK108)</f>
        <v/>
      </c>
      <c r="CB108" s="192">
        <f>MAX(0,BN108-AL108)</f>
        <v/>
      </c>
    </row>
    <row r="109">
      <c r="A109" s="64" t="inlineStr">
        <is>
          <t>18885226000182</t>
        </is>
      </c>
      <c r="B109" s="57" t="inlineStr">
        <is>
          <t>SOLUCAO PRODUTOS NATURAIS E ORGANICOS LT</t>
        </is>
      </c>
      <c r="C109" s="57" t="inlineStr">
        <is>
          <t>SEM GRUPO</t>
        </is>
      </c>
      <c r="D109" s="61" t="inlineStr">
        <is>
          <t>LARISSA PADILHA</t>
        </is>
      </c>
      <c r="E109" s="30" t="inlineStr">
        <is>
          <t>.</t>
        </is>
      </c>
      <c r="F109" s="63" t="n"/>
      <c r="G109" s="179" t="n"/>
      <c r="H109" s="57" t="n"/>
      <c r="I109" s="57" t="n"/>
      <c r="J109" s="61" t="n"/>
      <c r="K109" s="30" t="inlineStr">
        <is>
          <t>.</t>
        </is>
      </c>
      <c r="L109" s="180" t="n">
        <v>10730.3</v>
      </c>
      <c r="M109" s="181" t="n">
        <v>754.05</v>
      </c>
      <c r="N109" s="181" t="n">
        <v>787.96</v>
      </c>
      <c r="O109" s="181" t="n">
        <v>806.9400000000001</v>
      </c>
      <c r="P109" s="181" t="n">
        <v>827.96</v>
      </c>
      <c r="Q109" s="181" t="n">
        <v>855.09</v>
      </c>
      <c r="R109" s="181" t="n">
        <v>877.46</v>
      </c>
      <c r="S109" s="181" t="n">
        <v>911.37</v>
      </c>
      <c r="T109" s="181" t="n">
        <v>933.75</v>
      </c>
      <c r="U109" s="181" t="n">
        <v>954.77</v>
      </c>
      <c r="V109" s="181" t="n">
        <v>978.5</v>
      </c>
      <c r="W109" s="181" t="n">
        <v>1004.27</v>
      </c>
      <c r="X109" s="182" t="n">
        <v>1038.18</v>
      </c>
      <c r="Y109" s="183" t="inlineStr">
        <is>
          <t>.</t>
        </is>
      </c>
      <c r="Z109" s="184">
        <f>SUM(AA109:AL109)</f>
        <v/>
      </c>
      <c r="AA109" s="185" t="n">
        <v>0</v>
      </c>
      <c r="AB109" s="185" t="n">
        <v>0</v>
      </c>
      <c r="AC109" s="185" t="n">
        <v>0</v>
      </c>
      <c r="AD109" s="185" t="n">
        <v>1533.3</v>
      </c>
      <c r="AE109" s="185" t="n">
        <v>0</v>
      </c>
      <c r="AF109" s="185" t="n">
        <v>1409.08</v>
      </c>
      <c r="AG109" s="185" t="n">
        <v>0</v>
      </c>
      <c r="AH109" s="185" t="n">
        <v>0</v>
      </c>
      <c r="AI109" s="185" t="n">
        <v>1356.41</v>
      </c>
      <c r="AJ109" s="185" t="n">
        <v>0</v>
      </c>
      <c r="AK109" s="185" t="n">
        <v>0</v>
      </c>
      <c r="AL109" s="186" t="n">
        <v>0</v>
      </c>
      <c r="AM109" s="30" t="inlineStr">
        <is>
          <t>.</t>
        </is>
      </c>
      <c r="AN109" s="187">
        <f>IF(L109=0,0,Z109/L109)</f>
        <v/>
      </c>
      <c r="AO109" s="57">
        <f>IF(AN109&gt;=1,"🟢",IF(AN109&gt;=0.7,"🟡",IF(AN109&gt;=0.4,"🟠","🔴")))</f>
        <v/>
      </c>
      <c r="AP109" s="185">
        <f>L109-Z109</f>
        <v/>
      </c>
      <c r="AQ109" s="55">
        <f>RANK(Z109,$Z$4:$Z$503,0)</f>
        <v/>
      </c>
      <c r="AR109" s="39" t="inlineStr">
        <is>
          <t>.</t>
        </is>
      </c>
      <c r="AS109" s="27" t="n"/>
      <c r="AT109" s="27" t="n"/>
      <c r="AU109" s="27" t="n"/>
      <c r="AV109" s="27" t="n"/>
      <c r="AW109" s="27" t="n"/>
      <c r="AX109" s="27" t="n"/>
      <c r="AY109" s="204" t="n"/>
      <c r="AZ109" s="204" t="n"/>
      <c r="BA109" s="38" t="inlineStr">
        <is>
          <t>.</t>
        </is>
      </c>
      <c r="BB109" s="190">
        <f>SUM(BC109:BN109)</f>
        <v/>
      </c>
      <c r="BC109" s="191">
        <f>L109*0.0702730030</f>
        <v/>
      </c>
      <c r="BD109" s="191">
        <f>L109*0.0734327604</f>
        <v/>
      </c>
      <c r="BE109" s="191">
        <f>L109*0.0752022245</f>
        <v/>
      </c>
      <c r="BF109" s="191">
        <f>L109*0.0771612740</f>
        <v/>
      </c>
      <c r="BG109" s="191">
        <f>L109*0.0796890799</f>
        <v/>
      </c>
      <c r="BH109" s="191">
        <f>L109*0.0817745197</f>
        <v/>
      </c>
      <c r="BI109" s="191">
        <f>L109*0.0849342770</f>
        <v/>
      </c>
      <c r="BJ109" s="191">
        <f>L109*0.0870197169</f>
        <v/>
      </c>
      <c r="BK109" s="191">
        <f>L109*0.0889787664</f>
        <v/>
      </c>
      <c r="BL109" s="191">
        <f>L109*0.0911905966</f>
        <v/>
      </c>
      <c r="BM109" s="191">
        <f>L109*0.0935920121</f>
        <v/>
      </c>
      <c r="BN109" s="192">
        <f>L109*0.0967517695</f>
        <v/>
      </c>
      <c r="BO109" s="36" t="inlineStr">
        <is>
          <t>.</t>
        </is>
      </c>
      <c r="BP109" s="193">
        <f>SUM(BQ109:CB109)</f>
        <v/>
      </c>
      <c r="BQ109" s="191">
        <f>MAX(0,BC109-AA109)</f>
        <v/>
      </c>
      <c r="BR109" s="191">
        <f>MAX(0,BD109-AB109)</f>
        <v/>
      </c>
      <c r="BS109" s="191">
        <f>MAX(0,BE109-AC109)</f>
        <v/>
      </c>
      <c r="BT109" s="191">
        <f>MAX(0,BF109-AD109)</f>
        <v/>
      </c>
      <c r="BU109" s="191">
        <f>MAX(0,BG109-AE109)</f>
        <v/>
      </c>
      <c r="BV109" s="191">
        <f>MAX(0,BH109-AF109)</f>
        <v/>
      </c>
      <c r="BW109" s="191">
        <f>MAX(0,BI109-AG109)</f>
        <v/>
      </c>
      <c r="BX109" s="191">
        <f>MAX(0,BJ109-AH109)</f>
        <v/>
      </c>
      <c r="BY109" s="191">
        <f>MAX(0,BK109-AI109)</f>
        <v/>
      </c>
      <c r="BZ109" s="191">
        <f>MAX(0,BL109-AJ109)</f>
        <v/>
      </c>
      <c r="CA109" s="191">
        <f>MAX(0,BM109-AK109)</f>
        <v/>
      </c>
      <c r="CB109" s="192">
        <f>MAX(0,BN109-AL109)</f>
        <v/>
      </c>
    </row>
    <row r="110">
      <c r="A110" s="64" t="inlineStr">
        <is>
          <t>41711232000135</t>
        </is>
      </c>
      <c r="B110" s="57" t="inlineStr">
        <is>
          <t>LDP COMERCIO DE PRODUTOS LTDA</t>
        </is>
      </c>
      <c r="C110" s="57" t="inlineStr">
        <is>
          <t>SEM GRUPO</t>
        </is>
      </c>
      <c r="D110" s="61" t="inlineStr">
        <is>
          <t>HEMANUELE DITZEL (MANU)</t>
        </is>
      </c>
      <c r="E110" s="30" t="inlineStr">
        <is>
          <t>.</t>
        </is>
      </c>
      <c r="F110" s="63" t="n"/>
      <c r="G110" s="179" t="n"/>
      <c r="H110" s="57" t="n"/>
      <c r="I110" s="57" t="n"/>
      <c r="J110" s="61" t="n"/>
      <c r="K110" s="30" t="inlineStr">
        <is>
          <t>.</t>
        </is>
      </c>
      <c r="L110" s="180" t="n">
        <v>10694.11</v>
      </c>
      <c r="M110" s="181" t="n">
        <v>751.51</v>
      </c>
      <c r="N110" s="181" t="n">
        <v>785.3</v>
      </c>
      <c r="O110" s="181" t="n">
        <v>804.22</v>
      </c>
      <c r="P110" s="181" t="n">
        <v>825.17</v>
      </c>
      <c r="Q110" s="181" t="n">
        <v>852.2</v>
      </c>
      <c r="R110" s="181" t="n">
        <v>874.51</v>
      </c>
      <c r="S110" s="181" t="n">
        <v>908.3</v>
      </c>
      <c r="T110" s="181" t="n">
        <v>930.6</v>
      </c>
      <c r="U110" s="181" t="n">
        <v>951.55</v>
      </c>
      <c r="V110" s="181" t="n">
        <v>975.2</v>
      </c>
      <c r="W110" s="181" t="n">
        <v>1000.88</v>
      </c>
      <c r="X110" s="182" t="n">
        <v>1034.67</v>
      </c>
      <c r="Y110" s="183" t="inlineStr">
        <is>
          <t>.</t>
        </is>
      </c>
      <c r="Z110" s="184">
        <f>SUM(AA110:AL110)</f>
        <v/>
      </c>
      <c r="AA110" s="185" t="n">
        <v>0</v>
      </c>
      <c r="AB110" s="185" t="n">
        <v>0</v>
      </c>
      <c r="AC110" s="185" t="n">
        <v>0</v>
      </c>
      <c r="AD110" s="185" t="n">
        <v>0</v>
      </c>
      <c r="AE110" s="185" t="n">
        <v>0</v>
      </c>
      <c r="AF110" s="185" t="n">
        <v>0</v>
      </c>
      <c r="AG110" s="185" t="n">
        <v>0</v>
      </c>
      <c r="AH110" s="185" t="n">
        <v>697.41</v>
      </c>
      <c r="AI110" s="185" t="n">
        <v>1875.53</v>
      </c>
      <c r="AJ110" s="185" t="n">
        <v>1966.54</v>
      </c>
      <c r="AK110" s="185" t="n">
        <v>0</v>
      </c>
      <c r="AL110" s="186" t="n">
        <v>894.37</v>
      </c>
      <c r="AM110" s="30" t="inlineStr">
        <is>
          <t>.</t>
        </is>
      </c>
      <c r="AN110" s="187">
        <f>IF(L110=0,0,Z110/L110)</f>
        <v/>
      </c>
      <c r="AO110" s="57">
        <f>IF(AN110&gt;=1,"🟢",IF(AN110&gt;=0.7,"🟡",IF(AN110&gt;=0.4,"🟠","🔴")))</f>
        <v/>
      </c>
      <c r="AP110" s="185">
        <f>L110-Z110</f>
        <v/>
      </c>
      <c r="AQ110" s="55">
        <f>RANK(Z110,$Z$4:$Z$503,0)</f>
        <v/>
      </c>
      <c r="AR110" s="39" t="inlineStr">
        <is>
          <t>.</t>
        </is>
      </c>
      <c r="AS110" s="27" t="n"/>
      <c r="AT110" s="27" t="n"/>
      <c r="AU110" s="27" t="n"/>
      <c r="AV110" s="27" t="n"/>
      <c r="AW110" s="27" t="n"/>
      <c r="AX110" s="27" t="n"/>
      <c r="AY110" s="204" t="n"/>
      <c r="AZ110" s="204" t="n"/>
      <c r="BA110" s="38" t="inlineStr">
        <is>
          <t>.</t>
        </is>
      </c>
      <c r="BB110" s="190">
        <f>SUM(BC110:BN110)</f>
        <v/>
      </c>
      <c r="BC110" s="191">
        <f>L110*0.0702730030</f>
        <v/>
      </c>
      <c r="BD110" s="191">
        <f>L110*0.0734327604</f>
        <v/>
      </c>
      <c r="BE110" s="191">
        <f>L110*0.0752022245</f>
        <v/>
      </c>
      <c r="BF110" s="191">
        <f>L110*0.0771612740</f>
        <v/>
      </c>
      <c r="BG110" s="191">
        <f>L110*0.0796890799</f>
        <v/>
      </c>
      <c r="BH110" s="191">
        <f>L110*0.0817745197</f>
        <v/>
      </c>
      <c r="BI110" s="191">
        <f>L110*0.0849342770</f>
        <v/>
      </c>
      <c r="BJ110" s="191">
        <f>L110*0.0870197169</f>
        <v/>
      </c>
      <c r="BK110" s="191">
        <f>L110*0.0889787664</f>
        <v/>
      </c>
      <c r="BL110" s="191">
        <f>L110*0.0911905966</f>
        <v/>
      </c>
      <c r="BM110" s="191">
        <f>L110*0.0935920121</f>
        <v/>
      </c>
      <c r="BN110" s="192">
        <f>L110*0.0967517695</f>
        <v/>
      </c>
      <c r="BO110" s="36" t="inlineStr">
        <is>
          <t>.</t>
        </is>
      </c>
      <c r="BP110" s="193">
        <f>SUM(BQ110:CB110)</f>
        <v/>
      </c>
      <c r="BQ110" s="191">
        <f>MAX(0,BC110-AA110)</f>
        <v/>
      </c>
      <c r="BR110" s="191">
        <f>MAX(0,BD110-AB110)</f>
        <v/>
      </c>
      <c r="BS110" s="191">
        <f>MAX(0,BE110-AC110)</f>
        <v/>
      </c>
      <c r="BT110" s="191">
        <f>MAX(0,BF110-AD110)</f>
        <v/>
      </c>
      <c r="BU110" s="191">
        <f>MAX(0,BG110-AE110)</f>
        <v/>
      </c>
      <c r="BV110" s="191">
        <f>MAX(0,BH110-AF110)</f>
        <v/>
      </c>
      <c r="BW110" s="191">
        <f>MAX(0,BI110-AG110)</f>
        <v/>
      </c>
      <c r="BX110" s="191">
        <f>MAX(0,BJ110-AH110)</f>
        <v/>
      </c>
      <c r="BY110" s="191">
        <f>MAX(0,BK110-AI110)</f>
        <v/>
      </c>
      <c r="BZ110" s="191">
        <f>MAX(0,BL110-AJ110)</f>
        <v/>
      </c>
      <c r="CA110" s="191">
        <f>MAX(0,BM110-AK110)</f>
        <v/>
      </c>
      <c r="CB110" s="192">
        <f>MAX(0,BN110-AL110)</f>
        <v/>
      </c>
    </row>
    <row r="111">
      <c r="A111" s="64" t="inlineStr">
        <is>
          <t>49946160000117</t>
        </is>
      </c>
      <c r="B111" s="57" t="inlineStr">
        <is>
          <t>ANPA COMERCIAL DE ALIMENTOS LTDA - ME</t>
        </is>
      </c>
      <c r="C111" s="57" t="inlineStr">
        <is>
          <t>SEM GRUPO</t>
        </is>
      </c>
      <c r="D111" s="61" t="inlineStr">
        <is>
          <t>HEMANUELE DITZEL (MANU)</t>
        </is>
      </c>
      <c r="E111" s="30" t="inlineStr">
        <is>
          <t>.</t>
        </is>
      </c>
      <c r="F111" s="63" t="n"/>
      <c r="G111" s="179" t="n"/>
      <c r="H111" s="57" t="n"/>
      <c r="I111" s="57" t="n"/>
      <c r="J111" s="61" t="n"/>
      <c r="K111" s="30" t="inlineStr">
        <is>
          <t>.</t>
        </is>
      </c>
      <c r="L111" s="180" t="n">
        <v>10433</v>
      </c>
      <c r="M111" s="181" t="n">
        <v>733.16</v>
      </c>
      <c r="N111" s="181" t="n">
        <v>766.12</v>
      </c>
      <c r="O111" s="181" t="n">
        <v>784.58</v>
      </c>
      <c r="P111" s="181" t="n">
        <v>805.02</v>
      </c>
      <c r="Q111" s="181" t="n">
        <v>831.4</v>
      </c>
      <c r="R111" s="181" t="n">
        <v>853.15</v>
      </c>
      <c r="S111" s="181" t="n">
        <v>886.12</v>
      </c>
      <c r="T111" s="181" t="n">
        <v>907.88</v>
      </c>
      <c r="U111" s="181" t="n">
        <v>928.3200000000001</v>
      </c>
      <c r="V111" s="181" t="n">
        <v>951.39</v>
      </c>
      <c r="W111" s="181" t="n">
        <v>976.45</v>
      </c>
      <c r="X111" s="182" t="n">
        <v>1009.41</v>
      </c>
      <c r="Y111" s="183" t="inlineStr">
        <is>
          <t>.</t>
        </is>
      </c>
      <c r="Z111" s="184">
        <f>SUM(AA111:AL111)</f>
        <v/>
      </c>
      <c r="AA111" s="185" t="n">
        <v>0</v>
      </c>
      <c r="AB111" s="185" t="n">
        <v>0</v>
      </c>
      <c r="AC111" s="185" t="n">
        <v>0</v>
      </c>
      <c r="AD111" s="185" t="n">
        <v>0</v>
      </c>
      <c r="AE111" s="185" t="n">
        <v>0</v>
      </c>
      <c r="AF111" s="185" t="n">
        <v>0</v>
      </c>
      <c r="AG111" s="185" t="n">
        <v>0</v>
      </c>
      <c r="AH111" s="185" t="n">
        <v>0</v>
      </c>
      <c r="AI111" s="185" t="n">
        <v>0</v>
      </c>
      <c r="AJ111" s="185" t="n">
        <v>0</v>
      </c>
      <c r="AK111" s="185" t="n">
        <v>5565.17</v>
      </c>
      <c r="AL111" s="186" t="n">
        <v>0</v>
      </c>
      <c r="AM111" s="30" t="inlineStr">
        <is>
          <t>.</t>
        </is>
      </c>
      <c r="AN111" s="187">
        <f>IF(L111=0,0,Z111/L111)</f>
        <v/>
      </c>
      <c r="AO111" s="57">
        <f>IF(AN111&gt;=1,"🟢",IF(AN111&gt;=0.7,"🟡",IF(AN111&gt;=0.4,"🟠","🔴")))</f>
        <v/>
      </c>
      <c r="AP111" s="185">
        <f>L111-Z111</f>
        <v/>
      </c>
      <c r="AQ111" s="55">
        <f>RANK(Z111,$Z$4:$Z$503,0)</f>
        <v/>
      </c>
      <c r="AR111" s="39" t="inlineStr">
        <is>
          <t>.</t>
        </is>
      </c>
      <c r="AS111" s="27" t="n"/>
      <c r="AT111" s="27" t="n"/>
      <c r="AU111" s="27" t="n"/>
      <c r="AV111" s="27" t="n"/>
      <c r="AW111" s="27" t="n"/>
      <c r="AX111" s="27" t="n"/>
      <c r="AY111" s="204" t="n"/>
      <c r="AZ111" s="204" t="n"/>
      <c r="BA111" s="38" t="inlineStr">
        <is>
          <t>.</t>
        </is>
      </c>
      <c r="BB111" s="190">
        <f>SUM(BC111:BN111)</f>
        <v/>
      </c>
      <c r="BC111" s="191">
        <f>L111*0.0702730030</f>
        <v/>
      </c>
      <c r="BD111" s="191">
        <f>L111*0.0734327604</f>
        <v/>
      </c>
      <c r="BE111" s="191">
        <f>L111*0.0752022245</f>
        <v/>
      </c>
      <c r="BF111" s="191">
        <f>L111*0.0771612740</f>
        <v/>
      </c>
      <c r="BG111" s="191">
        <f>L111*0.0796890799</f>
        <v/>
      </c>
      <c r="BH111" s="191">
        <f>L111*0.0817745197</f>
        <v/>
      </c>
      <c r="BI111" s="191">
        <f>L111*0.0849342770</f>
        <v/>
      </c>
      <c r="BJ111" s="191">
        <f>L111*0.0870197169</f>
        <v/>
      </c>
      <c r="BK111" s="191">
        <f>L111*0.0889787664</f>
        <v/>
      </c>
      <c r="BL111" s="191">
        <f>L111*0.0911905966</f>
        <v/>
      </c>
      <c r="BM111" s="191">
        <f>L111*0.0935920121</f>
        <v/>
      </c>
      <c r="BN111" s="192">
        <f>L111*0.0967517695</f>
        <v/>
      </c>
      <c r="BO111" s="36" t="inlineStr">
        <is>
          <t>.</t>
        </is>
      </c>
      <c r="BP111" s="193">
        <f>SUM(BQ111:CB111)</f>
        <v/>
      </c>
      <c r="BQ111" s="191">
        <f>MAX(0,BC111-AA111)</f>
        <v/>
      </c>
      <c r="BR111" s="191">
        <f>MAX(0,BD111-AB111)</f>
        <v/>
      </c>
      <c r="BS111" s="191">
        <f>MAX(0,BE111-AC111)</f>
        <v/>
      </c>
      <c r="BT111" s="191">
        <f>MAX(0,BF111-AD111)</f>
        <v/>
      </c>
      <c r="BU111" s="191">
        <f>MAX(0,BG111-AE111)</f>
        <v/>
      </c>
      <c r="BV111" s="191">
        <f>MAX(0,BH111-AF111)</f>
        <v/>
      </c>
      <c r="BW111" s="191">
        <f>MAX(0,BI111-AG111)</f>
        <v/>
      </c>
      <c r="BX111" s="191">
        <f>MAX(0,BJ111-AH111)</f>
        <v/>
      </c>
      <c r="BY111" s="191">
        <f>MAX(0,BK111-AI111)</f>
        <v/>
      </c>
      <c r="BZ111" s="191">
        <f>MAX(0,BL111-AJ111)</f>
        <v/>
      </c>
      <c r="CA111" s="191">
        <f>MAX(0,BM111-AK111)</f>
        <v/>
      </c>
      <c r="CB111" s="192">
        <f>MAX(0,BN111-AL111)</f>
        <v/>
      </c>
    </row>
    <row r="112">
      <c r="A112" s="64" t="inlineStr">
        <is>
          <t>47766246000213</t>
        </is>
      </c>
      <c r="B112" s="57" t="inlineStr">
        <is>
          <t>FIT PELOTAS COMERCIO DE SUPLEMENTOS EPRO</t>
        </is>
      </c>
      <c r="C112" s="57" t="inlineStr">
        <is>
          <t>FITLAND</t>
        </is>
      </c>
      <c r="D112" s="61" t="inlineStr">
        <is>
          <t>JULIO GADRET</t>
        </is>
      </c>
      <c r="E112" s="30" t="inlineStr">
        <is>
          <t>.</t>
        </is>
      </c>
      <c r="F112" s="63" t="n">
        <v>89</v>
      </c>
      <c r="G112" s="179" t="n">
        <v>0.298</v>
      </c>
      <c r="H112" s="57" t="inlineStr">
        <is>
          <t>🔴 VERMELHO</t>
        </is>
      </c>
      <c r="I112" s="57" t="inlineStr">
        <is>
          <t>POSITIVAÇÃO</t>
        </is>
      </c>
      <c r="J112" s="61" t="inlineStr">
        <is>
          <t>Aumentar frequência + Expandir base</t>
        </is>
      </c>
      <c r="K112" s="30" t="inlineStr">
        <is>
          <t>.</t>
        </is>
      </c>
      <c r="L112" s="180" t="n">
        <v>10293.35</v>
      </c>
      <c r="M112" s="181" t="n">
        <v>723.34</v>
      </c>
      <c r="N112" s="181" t="n">
        <v>755.87</v>
      </c>
      <c r="O112" s="181" t="n">
        <v>774.08</v>
      </c>
      <c r="P112" s="181" t="n">
        <v>794.25</v>
      </c>
      <c r="Q112" s="181" t="n">
        <v>820.27</v>
      </c>
      <c r="R112" s="181" t="n">
        <v>841.73</v>
      </c>
      <c r="S112" s="181" t="n">
        <v>874.26</v>
      </c>
      <c r="T112" s="181" t="n">
        <v>895.72</v>
      </c>
      <c r="U112" s="181" t="n">
        <v>915.89</v>
      </c>
      <c r="V112" s="181" t="n">
        <v>938.66</v>
      </c>
      <c r="W112" s="181" t="n">
        <v>963.38</v>
      </c>
      <c r="X112" s="182" t="n">
        <v>995.9</v>
      </c>
      <c r="Y112" s="183" t="inlineStr">
        <is>
          <t>.</t>
        </is>
      </c>
      <c r="Z112" s="184">
        <f>SUM(AA112:AL112)</f>
        <v/>
      </c>
      <c r="AA112" s="185" t="n">
        <v>0</v>
      </c>
      <c r="AB112" s="185" t="n">
        <v>0</v>
      </c>
      <c r="AC112" s="185" t="n">
        <v>358.94</v>
      </c>
      <c r="AD112" s="185" t="n">
        <v>224.78</v>
      </c>
      <c r="AE112" s="185" t="n">
        <v>0</v>
      </c>
      <c r="AF112" s="185" t="n">
        <v>1403.89</v>
      </c>
      <c r="AG112" s="185" t="n">
        <v>1025.02</v>
      </c>
      <c r="AH112" s="185" t="n">
        <v>644.39</v>
      </c>
      <c r="AI112" s="185" t="n">
        <v>0</v>
      </c>
      <c r="AJ112" s="185" t="n">
        <v>967.55</v>
      </c>
      <c r="AK112" s="185" t="n">
        <v>0</v>
      </c>
      <c r="AL112" s="186" t="n">
        <v>0</v>
      </c>
      <c r="AM112" s="30" t="inlineStr">
        <is>
          <t>.</t>
        </is>
      </c>
      <c r="AN112" s="187">
        <f>IF(L112=0,0,Z112/L112)</f>
        <v/>
      </c>
      <c r="AO112" s="57">
        <f>IF(AN112&gt;=1,"🟢",IF(AN112&gt;=0.7,"🟡",IF(AN112&gt;=0.4,"🟠","🔴")))</f>
        <v/>
      </c>
      <c r="AP112" s="185">
        <f>L112-Z112</f>
        <v/>
      </c>
      <c r="AQ112" s="55">
        <f>RANK(Z112,$Z$4:$Z$503,0)</f>
        <v/>
      </c>
      <c r="AR112" s="39" t="inlineStr">
        <is>
          <t>.</t>
        </is>
      </c>
      <c r="AS112" s="27" t="n"/>
      <c r="AT112" s="27" t="n"/>
      <c r="AU112" s="27" t="n"/>
      <c r="AV112" s="27" t="n"/>
      <c r="AW112" s="27" t="n"/>
      <c r="AX112" s="27" t="n"/>
      <c r="AY112" s="204" t="n"/>
      <c r="AZ112" s="204" t="n"/>
      <c r="BA112" s="38" t="inlineStr">
        <is>
          <t>.</t>
        </is>
      </c>
      <c r="BB112" s="190">
        <f>SUM(BC112:BN112)</f>
        <v/>
      </c>
      <c r="BC112" s="191">
        <f>L112*0.0702730030</f>
        <v/>
      </c>
      <c r="BD112" s="191">
        <f>L112*0.0734327604</f>
        <v/>
      </c>
      <c r="BE112" s="191">
        <f>L112*0.0752022245</f>
        <v/>
      </c>
      <c r="BF112" s="191">
        <f>L112*0.0771612740</f>
        <v/>
      </c>
      <c r="BG112" s="191">
        <f>L112*0.0796890799</f>
        <v/>
      </c>
      <c r="BH112" s="191">
        <f>L112*0.0817745197</f>
        <v/>
      </c>
      <c r="BI112" s="191">
        <f>L112*0.0849342770</f>
        <v/>
      </c>
      <c r="BJ112" s="191">
        <f>L112*0.0870197169</f>
        <v/>
      </c>
      <c r="BK112" s="191">
        <f>L112*0.0889787664</f>
        <v/>
      </c>
      <c r="BL112" s="191">
        <f>L112*0.0911905966</f>
        <v/>
      </c>
      <c r="BM112" s="191">
        <f>L112*0.0935920121</f>
        <v/>
      </c>
      <c r="BN112" s="192">
        <f>L112*0.0967517695</f>
        <v/>
      </c>
      <c r="BO112" s="36" t="inlineStr">
        <is>
          <t>.</t>
        </is>
      </c>
      <c r="BP112" s="193">
        <f>SUM(BQ112:CB112)</f>
        <v/>
      </c>
      <c r="BQ112" s="191">
        <f>MAX(0,BC112-AA112)</f>
        <v/>
      </c>
      <c r="BR112" s="191">
        <f>MAX(0,BD112-AB112)</f>
        <v/>
      </c>
      <c r="BS112" s="191">
        <f>MAX(0,BE112-AC112)</f>
        <v/>
      </c>
      <c r="BT112" s="191">
        <f>MAX(0,BF112-AD112)</f>
        <v/>
      </c>
      <c r="BU112" s="191">
        <f>MAX(0,BG112-AE112)</f>
        <v/>
      </c>
      <c r="BV112" s="191">
        <f>MAX(0,BH112-AF112)</f>
        <v/>
      </c>
      <c r="BW112" s="191">
        <f>MAX(0,BI112-AG112)</f>
        <v/>
      </c>
      <c r="BX112" s="191">
        <f>MAX(0,BJ112-AH112)</f>
        <v/>
      </c>
      <c r="BY112" s="191">
        <f>MAX(0,BK112-AI112)</f>
        <v/>
      </c>
      <c r="BZ112" s="191">
        <f>MAX(0,BL112-AJ112)</f>
        <v/>
      </c>
      <c r="CA112" s="191">
        <f>MAX(0,BM112-AK112)</f>
        <v/>
      </c>
      <c r="CB112" s="192">
        <f>MAX(0,BN112-AL112)</f>
        <v/>
      </c>
    </row>
    <row r="113">
      <c r="A113" s="64" t="inlineStr">
        <is>
          <t>49620132000105</t>
        </is>
      </c>
      <c r="B113" s="57" t="inlineStr">
        <is>
          <t>GRAO E VIDA PRODUTOS NATURAIS LTDA - ME</t>
        </is>
      </c>
      <c r="C113" s="57" t="inlineStr">
        <is>
          <t>SEM GRUPO</t>
        </is>
      </c>
      <c r="D113" s="61" t="inlineStr">
        <is>
          <t>LARISSA PADILHA</t>
        </is>
      </c>
      <c r="E113" s="30" t="inlineStr">
        <is>
          <t>.</t>
        </is>
      </c>
      <c r="F113" s="63" t="n"/>
      <c r="G113" s="179" t="n"/>
      <c r="H113" s="57" t="n"/>
      <c r="I113" s="57" t="n"/>
      <c r="J113" s="61" t="n"/>
      <c r="K113" s="30" t="inlineStr">
        <is>
          <t>.</t>
        </is>
      </c>
      <c r="L113" s="180" t="n">
        <v>10189.2</v>
      </c>
      <c r="M113" s="181" t="n">
        <v>716.03</v>
      </c>
      <c r="N113" s="181" t="n">
        <v>748.22</v>
      </c>
      <c r="O113" s="181" t="n">
        <v>766.25</v>
      </c>
      <c r="P113" s="181" t="n">
        <v>786.21</v>
      </c>
      <c r="Q113" s="181" t="n">
        <v>811.97</v>
      </c>
      <c r="R113" s="181" t="n">
        <v>833.22</v>
      </c>
      <c r="S113" s="181" t="n">
        <v>865.41</v>
      </c>
      <c r="T113" s="181" t="n">
        <v>886.66</v>
      </c>
      <c r="U113" s="181" t="n">
        <v>906.62</v>
      </c>
      <c r="V113" s="181" t="n">
        <v>929.16</v>
      </c>
      <c r="W113" s="181" t="n">
        <v>953.63</v>
      </c>
      <c r="X113" s="182" t="n">
        <v>985.8200000000001</v>
      </c>
      <c r="Y113" s="183" t="inlineStr">
        <is>
          <t>.</t>
        </is>
      </c>
      <c r="Z113" s="184">
        <f>SUM(AA113:AL113)</f>
        <v/>
      </c>
      <c r="AA113" s="185" t="n">
        <v>0</v>
      </c>
      <c r="AB113" s="185" t="n">
        <v>0</v>
      </c>
      <c r="AC113" s="185" t="n">
        <v>0</v>
      </c>
      <c r="AD113" s="185" t="n">
        <v>0</v>
      </c>
      <c r="AE113" s="185" t="n">
        <v>0</v>
      </c>
      <c r="AF113" s="185" t="n">
        <v>0</v>
      </c>
      <c r="AG113" s="185" t="n">
        <v>0</v>
      </c>
      <c r="AH113" s="185" t="n">
        <v>2252.75</v>
      </c>
      <c r="AI113" s="185" t="n">
        <v>0</v>
      </c>
      <c r="AJ113" s="185" t="n">
        <v>0</v>
      </c>
      <c r="AK113" s="185" t="n">
        <v>2583.33</v>
      </c>
      <c r="AL113" s="186" t="n">
        <v>0</v>
      </c>
      <c r="AM113" s="30" t="inlineStr">
        <is>
          <t>.</t>
        </is>
      </c>
      <c r="AN113" s="187">
        <f>IF(L113=0,0,Z113/L113)</f>
        <v/>
      </c>
      <c r="AO113" s="57">
        <f>IF(AN113&gt;=1,"🟢",IF(AN113&gt;=0.7,"🟡",IF(AN113&gt;=0.4,"🟠","🔴")))</f>
        <v/>
      </c>
      <c r="AP113" s="185">
        <f>L113-Z113</f>
        <v/>
      </c>
      <c r="AQ113" s="55">
        <f>RANK(Z113,$Z$4:$Z$503,0)</f>
        <v/>
      </c>
      <c r="AR113" s="39" t="inlineStr">
        <is>
          <t>.</t>
        </is>
      </c>
      <c r="AS113" s="27" t="n"/>
      <c r="AT113" s="27" t="n"/>
      <c r="AU113" s="27" t="n"/>
      <c r="AV113" s="27" t="n"/>
      <c r="AW113" s="27" t="n"/>
      <c r="AX113" s="27" t="n"/>
      <c r="AY113" s="204" t="n"/>
      <c r="AZ113" s="204" t="n"/>
      <c r="BA113" s="38" t="inlineStr">
        <is>
          <t>.</t>
        </is>
      </c>
      <c r="BB113" s="190">
        <f>SUM(BC113:BN113)</f>
        <v/>
      </c>
      <c r="BC113" s="191">
        <f>L113*0.0702730030</f>
        <v/>
      </c>
      <c r="BD113" s="191">
        <f>L113*0.0734327604</f>
        <v/>
      </c>
      <c r="BE113" s="191">
        <f>L113*0.0752022245</f>
        <v/>
      </c>
      <c r="BF113" s="191">
        <f>L113*0.0771612740</f>
        <v/>
      </c>
      <c r="BG113" s="191">
        <f>L113*0.0796890799</f>
        <v/>
      </c>
      <c r="BH113" s="191">
        <f>L113*0.0817745197</f>
        <v/>
      </c>
      <c r="BI113" s="191">
        <f>L113*0.0849342770</f>
        <v/>
      </c>
      <c r="BJ113" s="191">
        <f>L113*0.0870197169</f>
        <v/>
      </c>
      <c r="BK113" s="191">
        <f>L113*0.0889787664</f>
        <v/>
      </c>
      <c r="BL113" s="191">
        <f>L113*0.0911905966</f>
        <v/>
      </c>
      <c r="BM113" s="191">
        <f>L113*0.0935920121</f>
        <v/>
      </c>
      <c r="BN113" s="192">
        <f>L113*0.0967517695</f>
        <v/>
      </c>
      <c r="BO113" s="36" t="inlineStr">
        <is>
          <t>.</t>
        </is>
      </c>
      <c r="BP113" s="193">
        <f>SUM(BQ113:CB113)</f>
        <v/>
      </c>
      <c r="BQ113" s="191">
        <f>MAX(0,BC113-AA113)</f>
        <v/>
      </c>
      <c r="BR113" s="191">
        <f>MAX(0,BD113-AB113)</f>
        <v/>
      </c>
      <c r="BS113" s="191">
        <f>MAX(0,BE113-AC113)</f>
        <v/>
      </c>
      <c r="BT113" s="191">
        <f>MAX(0,BF113-AD113)</f>
        <v/>
      </c>
      <c r="BU113" s="191">
        <f>MAX(0,BG113-AE113)</f>
        <v/>
      </c>
      <c r="BV113" s="191">
        <f>MAX(0,BH113-AF113)</f>
        <v/>
      </c>
      <c r="BW113" s="191">
        <f>MAX(0,BI113-AG113)</f>
        <v/>
      </c>
      <c r="BX113" s="191">
        <f>MAX(0,BJ113-AH113)</f>
        <v/>
      </c>
      <c r="BY113" s="191">
        <f>MAX(0,BK113-AI113)</f>
        <v/>
      </c>
      <c r="BZ113" s="191">
        <f>MAX(0,BL113-AJ113)</f>
        <v/>
      </c>
      <c r="CA113" s="191">
        <f>MAX(0,BM113-AK113)</f>
        <v/>
      </c>
      <c r="CB113" s="192">
        <f>MAX(0,BN113-AL113)</f>
        <v/>
      </c>
    </row>
    <row r="114">
      <c r="A114" s="64" t="inlineStr">
        <is>
          <t>53754257000103</t>
        </is>
      </c>
      <c r="B114" s="57" t="inlineStr">
        <is>
          <t>ITALO ZILMER BEDERODE LTDA - ME</t>
        </is>
      </c>
      <c r="C114" s="57" t="inlineStr">
        <is>
          <t>SEM GRUPO</t>
        </is>
      </c>
      <c r="D114" s="61" t="inlineStr">
        <is>
          <t>HEMANUELE DITZEL (MANU)</t>
        </is>
      </c>
      <c r="E114" s="30" t="inlineStr">
        <is>
          <t>.</t>
        </is>
      </c>
      <c r="F114" s="63" t="n"/>
      <c r="G114" s="179" t="n"/>
      <c r="H114" s="57" t="n"/>
      <c r="I114" s="57" t="n"/>
      <c r="J114" s="61" t="n"/>
      <c r="K114" s="30" t="inlineStr">
        <is>
          <t>.</t>
        </is>
      </c>
      <c r="L114" s="180" t="n">
        <v>10145.2</v>
      </c>
      <c r="M114" s="181" t="n">
        <v>712.9299999999999</v>
      </c>
      <c r="N114" s="181" t="n">
        <v>744.99</v>
      </c>
      <c r="O114" s="181" t="n">
        <v>762.9400000000001</v>
      </c>
      <c r="P114" s="181" t="n">
        <v>782.8200000000001</v>
      </c>
      <c r="Q114" s="181" t="n">
        <v>808.46</v>
      </c>
      <c r="R114" s="181" t="n">
        <v>829.62</v>
      </c>
      <c r="S114" s="181" t="n">
        <v>861.67</v>
      </c>
      <c r="T114" s="181" t="n">
        <v>882.83</v>
      </c>
      <c r="U114" s="181" t="n">
        <v>902.71</v>
      </c>
      <c r="V114" s="181" t="n">
        <v>925.15</v>
      </c>
      <c r="W114" s="181" t="n">
        <v>949.51</v>
      </c>
      <c r="X114" s="182" t="n">
        <v>981.5700000000001</v>
      </c>
      <c r="Y114" s="183" t="inlineStr">
        <is>
          <t>.</t>
        </is>
      </c>
      <c r="Z114" s="184">
        <f>SUM(AA114:AL114)</f>
        <v/>
      </c>
      <c r="AA114" s="185" t="n">
        <v>0</v>
      </c>
      <c r="AB114" s="185" t="n">
        <v>0</v>
      </c>
      <c r="AC114" s="185" t="n">
        <v>0</v>
      </c>
      <c r="AD114" s="185" t="n">
        <v>0</v>
      </c>
      <c r="AE114" s="185" t="n">
        <v>0</v>
      </c>
      <c r="AF114" s="185" t="n">
        <v>0</v>
      </c>
      <c r="AG114" s="185" t="n">
        <v>0</v>
      </c>
      <c r="AH114" s="185" t="n">
        <v>0</v>
      </c>
      <c r="AI114" s="185" t="n">
        <v>1569.2</v>
      </c>
      <c r="AJ114" s="185" t="n">
        <v>3800.54</v>
      </c>
      <c r="AK114" s="185" t="n">
        <v>0</v>
      </c>
      <c r="AL114" s="186" t="n">
        <v>0</v>
      </c>
      <c r="AM114" s="30" t="inlineStr">
        <is>
          <t>.</t>
        </is>
      </c>
      <c r="AN114" s="187">
        <f>IF(L114=0,0,Z114/L114)</f>
        <v/>
      </c>
      <c r="AO114" s="57">
        <f>IF(AN114&gt;=1,"🟢",IF(AN114&gt;=0.7,"🟡",IF(AN114&gt;=0.4,"🟠","🔴")))</f>
        <v/>
      </c>
      <c r="AP114" s="185">
        <f>L114-Z114</f>
        <v/>
      </c>
      <c r="AQ114" s="55">
        <f>RANK(Z114,$Z$4:$Z$503,0)</f>
        <v/>
      </c>
      <c r="AR114" s="39" t="inlineStr">
        <is>
          <t>.</t>
        </is>
      </c>
      <c r="AS114" s="27" t="n"/>
      <c r="AT114" s="27" t="n"/>
      <c r="AU114" s="27" t="n"/>
      <c r="AV114" s="27" t="n"/>
      <c r="AW114" s="27" t="n"/>
      <c r="AX114" s="27" t="n"/>
      <c r="AY114" s="204" t="n"/>
      <c r="AZ114" s="204" t="n"/>
      <c r="BA114" s="38" t="inlineStr">
        <is>
          <t>.</t>
        </is>
      </c>
      <c r="BB114" s="190">
        <f>SUM(BC114:BN114)</f>
        <v/>
      </c>
      <c r="BC114" s="191">
        <f>L114*0.0702730030</f>
        <v/>
      </c>
      <c r="BD114" s="191">
        <f>L114*0.0734327604</f>
        <v/>
      </c>
      <c r="BE114" s="191">
        <f>L114*0.0752022245</f>
        <v/>
      </c>
      <c r="BF114" s="191">
        <f>L114*0.0771612740</f>
        <v/>
      </c>
      <c r="BG114" s="191">
        <f>L114*0.0796890799</f>
        <v/>
      </c>
      <c r="BH114" s="191">
        <f>L114*0.0817745197</f>
        <v/>
      </c>
      <c r="BI114" s="191">
        <f>L114*0.0849342770</f>
        <v/>
      </c>
      <c r="BJ114" s="191">
        <f>L114*0.0870197169</f>
        <v/>
      </c>
      <c r="BK114" s="191">
        <f>L114*0.0889787664</f>
        <v/>
      </c>
      <c r="BL114" s="191">
        <f>L114*0.0911905966</f>
        <v/>
      </c>
      <c r="BM114" s="191">
        <f>L114*0.0935920121</f>
        <v/>
      </c>
      <c r="BN114" s="192">
        <f>L114*0.0967517695</f>
        <v/>
      </c>
      <c r="BO114" s="36" t="inlineStr">
        <is>
          <t>.</t>
        </is>
      </c>
      <c r="BP114" s="193">
        <f>SUM(BQ114:CB114)</f>
        <v/>
      </c>
      <c r="BQ114" s="191">
        <f>MAX(0,BC114-AA114)</f>
        <v/>
      </c>
      <c r="BR114" s="191">
        <f>MAX(0,BD114-AB114)</f>
        <v/>
      </c>
      <c r="BS114" s="191">
        <f>MAX(0,BE114-AC114)</f>
        <v/>
      </c>
      <c r="BT114" s="191">
        <f>MAX(0,BF114-AD114)</f>
        <v/>
      </c>
      <c r="BU114" s="191">
        <f>MAX(0,BG114-AE114)</f>
        <v/>
      </c>
      <c r="BV114" s="191">
        <f>MAX(0,BH114-AF114)</f>
        <v/>
      </c>
      <c r="BW114" s="191">
        <f>MAX(0,BI114-AG114)</f>
        <v/>
      </c>
      <c r="BX114" s="191">
        <f>MAX(0,BJ114-AH114)</f>
        <v/>
      </c>
      <c r="BY114" s="191">
        <f>MAX(0,BK114-AI114)</f>
        <v/>
      </c>
      <c r="BZ114" s="191">
        <f>MAX(0,BL114-AJ114)</f>
        <v/>
      </c>
      <c r="CA114" s="191">
        <f>MAX(0,BM114-AK114)</f>
        <v/>
      </c>
      <c r="CB114" s="192">
        <f>MAX(0,BN114-AL114)</f>
        <v/>
      </c>
    </row>
    <row r="115">
      <c r="A115" s="64" t="inlineStr">
        <is>
          <t>18010232000196</t>
        </is>
      </c>
      <c r="B115" s="57" t="inlineStr">
        <is>
          <t>GRANUM CAFE LTDA</t>
        </is>
      </c>
      <c r="C115" s="57" t="inlineStr">
        <is>
          <t>SEM GRUPO</t>
        </is>
      </c>
      <c r="D115" s="61" t="inlineStr">
        <is>
          <t>LARISSA PADILHA</t>
        </is>
      </c>
      <c r="E115" s="30" t="inlineStr">
        <is>
          <t>.</t>
        </is>
      </c>
      <c r="F115" s="63" t="n"/>
      <c r="G115" s="179" t="n"/>
      <c r="H115" s="57" t="n"/>
      <c r="I115" s="57" t="n"/>
      <c r="J115" s="61" t="n"/>
      <c r="K115" s="30" t="inlineStr">
        <is>
          <t>.</t>
        </is>
      </c>
      <c r="L115" s="180" t="n">
        <v>9966.41</v>
      </c>
      <c r="M115" s="181" t="n">
        <v>700.37</v>
      </c>
      <c r="N115" s="181" t="n">
        <v>731.86</v>
      </c>
      <c r="O115" s="181" t="n">
        <v>749.5</v>
      </c>
      <c r="P115" s="181" t="n">
        <v>769.02</v>
      </c>
      <c r="Q115" s="181" t="n">
        <v>794.21</v>
      </c>
      <c r="R115" s="181" t="n">
        <v>815</v>
      </c>
      <c r="S115" s="181" t="n">
        <v>846.49</v>
      </c>
      <c r="T115" s="181" t="n">
        <v>867.27</v>
      </c>
      <c r="U115" s="181" t="n">
        <v>886.8</v>
      </c>
      <c r="V115" s="181" t="n">
        <v>908.84</v>
      </c>
      <c r="W115" s="181" t="n">
        <v>932.78</v>
      </c>
      <c r="X115" s="182" t="n">
        <v>964.27</v>
      </c>
      <c r="Y115" s="183" t="inlineStr">
        <is>
          <t>.</t>
        </is>
      </c>
      <c r="Z115" s="184">
        <f>SUM(AA115:AL115)</f>
        <v/>
      </c>
      <c r="AA115" s="185" t="n">
        <v>0</v>
      </c>
      <c r="AB115" s="185" t="n">
        <v>3374.6</v>
      </c>
      <c r="AC115" s="185" t="n">
        <v>1320.56</v>
      </c>
      <c r="AD115" s="185" t="n">
        <v>0</v>
      </c>
      <c r="AE115" s="185" t="n">
        <v>0</v>
      </c>
      <c r="AF115" s="185" t="n">
        <v>0</v>
      </c>
      <c r="AG115" s="185" t="n">
        <v>0</v>
      </c>
      <c r="AH115" s="185" t="n">
        <v>0</v>
      </c>
      <c r="AI115" s="185" t="n">
        <v>1277.29</v>
      </c>
      <c r="AJ115" s="185" t="n">
        <v>0</v>
      </c>
      <c r="AK115" s="185" t="n">
        <v>1026.65</v>
      </c>
      <c r="AL115" s="186" t="n">
        <v>0</v>
      </c>
      <c r="AM115" s="30" t="inlineStr">
        <is>
          <t>.</t>
        </is>
      </c>
      <c r="AN115" s="187">
        <f>IF(L115=0,0,Z115/L115)</f>
        <v/>
      </c>
      <c r="AO115" s="57">
        <f>IF(AN115&gt;=1,"🟢",IF(AN115&gt;=0.7,"🟡",IF(AN115&gt;=0.4,"🟠","🔴")))</f>
        <v/>
      </c>
      <c r="AP115" s="185">
        <f>L115-Z115</f>
        <v/>
      </c>
      <c r="AQ115" s="55">
        <f>RANK(Z115,$Z$4:$Z$503,0)</f>
        <v/>
      </c>
      <c r="AR115" s="39" t="inlineStr">
        <is>
          <t>.</t>
        </is>
      </c>
      <c r="AS115" s="27" t="n"/>
      <c r="AT115" s="27" t="n"/>
      <c r="AU115" s="27" t="n"/>
      <c r="AV115" s="27" t="n"/>
      <c r="AW115" s="27" t="n"/>
      <c r="AX115" s="27" t="n"/>
      <c r="AY115" s="204" t="n"/>
      <c r="AZ115" s="204" t="n"/>
      <c r="BA115" s="38" t="inlineStr">
        <is>
          <t>.</t>
        </is>
      </c>
      <c r="BB115" s="190">
        <f>SUM(BC115:BN115)</f>
        <v/>
      </c>
      <c r="BC115" s="191">
        <f>L115*0.0702730030</f>
        <v/>
      </c>
      <c r="BD115" s="191">
        <f>L115*0.0734327604</f>
        <v/>
      </c>
      <c r="BE115" s="191">
        <f>L115*0.0752022245</f>
        <v/>
      </c>
      <c r="BF115" s="191">
        <f>L115*0.0771612740</f>
        <v/>
      </c>
      <c r="BG115" s="191">
        <f>L115*0.0796890799</f>
        <v/>
      </c>
      <c r="BH115" s="191">
        <f>L115*0.0817745197</f>
        <v/>
      </c>
      <c r="BI115" s="191">
        <f>L115*0.0849342770</f>
        <v/>
      </c>
      <c r="BJ115" s="191">
        <f>L115*0.0870197169</f>
        <v/>
      </c>
      <c r="BK115" s="191">
        <f>L115*0.0889787664</f>
        <v/>
      </c>
      <c r="BL115" s="191">
        <f>L115*0.0911905966</f>
        <v/>
      </c>
      <c r="BM115" s="191">
        <f>L115*0.0935920121</f>
        <v/>
      </c>
      <c r="BN115" s="192">
        <f>L115*0.0967517695</f>
        <v/>
      </c>
      <c r="BO115" s="36" t="inlineStr">
        <is>
          <t>.</t>
        </is>
      </c>
      <c r="BP115" s="193">
        <f>SUM(BQ115:CB115)</f>
        <v/>
      </c>
      <c r="BQ115" s="191">
        <f>MAX(0,BC115-AA115)</f>
        <v/>
      </c>
      <c r="BR115" s="191">
        <f>MAX(0,BD115-AB115)</f>
        <v/>
      </c>
      <c r="BS115" s="191">
        <f>MAX(0,BE115-AC115)</f>
        <v/>
      </c>
      <c r="BT115" s="191">
        <f>MAX(0,BF115-AD115)</f>
        <v/>
      </c>
      <c r="BU115" s="191">
        <f>MAX(0,BG115-AE115)</f>
        <v/>
      </c>
      <c r="BV115" s="191">
        <f>MAX(0,BH115-AF115)</f>
        <v/>
      </c>
      <c r="BW115" s="191">
        <f>MAX(0,BI115-AG115)</f>
        <v/>
      </c>
      <c r="BX115" s="191">
        <f>MAX(0,BJ115-AH115)</f>
        <v/>
      </c>
      <c r="BY115" s="191">
        <f>MAX(0,BK115-AI115)</f>
        <v/>
      </c>
      <c r="BZ115" s="191">
        <f>MAX(0,BL115-AJ115)</f>
        <v/>
      </c>
      <c r="CA115" s="191">
        <f>MAX(0,BM115-AK115)</f>
        <v/>
      </c>
      <c r="CB115" s="192">
        <f>MAX(0,BN115-AL115)</f>
        <v/>
      </c>
    </row>
    <row r="116">
      <c r="A116" s="64" t="inlineStr">
        <is>
          <t>58363567000102</t>
        </is>
      </c>
      <c r="B116" s="57" t="inlineStr">
        <is>
          <t>CSJ BRASIL ALIMENTOS LTDA - ME</t>
        </is>
      </c>
      <c r="C116" s="57" t="inlineStr">
        <is>
          <t>CIA DA SAUDE</t>
        </is>
      </c>
      <c r="D116" s="61" t="inlineStr">
        <is>
          <t>JULIO GADRET</t>
        </is>
      </c>
      <c r="E116" s="30" t="inlineStr">
        <is>
          <t>.</t>
        </is>
      </c>
      <c r="F116" s="63" t="n">
        <v>163</v>
      </c>
      <c r="G116" s="179" t="n">
        <v>0.026</v>
      </c>
      <c r="H116" s="57" t="inlineStr">
        <is>
          <t>🔴 VERMELHO</t>
        </is>
      </c>
      <c r="I116" s="57" t="inlineStr">
        <is>
          <t>ATIVAÇÃO</t>
        </is>
      </c>
      <c r="J116" s="61" t="inlineStr">
        <is>
          <t>Reativar inativos + Prospectar</t>
        </is>
      </c>
      <c r="K116" s="30" t="inlineStr">
        <is>
          <t>.</t>
        </is>
      </c>
      <c r="L116" s="180" t="n">
        <v>9840.08</v>
      </c>
      <c r="M116" s="181" t="n">
        <v>691.49</v>
      </c>
      <c r="N116" s="181" t="n">
        <v>722.58</v>
      </c>
      <c r="O116" s="181" t="n">
        <v>740</v>
      </c>
      <c r="P116" s="181" t="n">
        <v>759.27</v>
      </c>
      <c r="Q116" s="181" t="n">
        <v>784.15</v>
      </c>
      <c r="R116" s="181" t="n">
        <v>804.67</v>
      </c>
      <c r="S116" s="181" t="n">
        <v>835.76</v>
      </c>
      <c r="T116" s="181" t="n">
        <v>856.28</v>
      </c>
      <c r="U116" s="181" t="n">
        <v>875.5599999999999</v>
      </c>
      <c r="V116" s="181" t="n">
        <v>897.3200000000001</v>
      </c>
      <c r="W116" s="181" t="n">
        <v>920.95</v>
      </c>
      <c r="X116" s="182" t="n">
        <v>952.05</v>
      </c>
      <c r="Y116" s="183" t="inlineStr">
        <is>
          <t>.</t>
        </is>
      </c>
      <c r="Z116" s="184">
        <f>SUM(AA116:AL116)</f>
        <v/>
      </c>
      <c r="AA116" s="185" t="n">
        <v>0</v>
      </c>
      <c r="AB116" s="185" t="n">
        <v>0</v>
      </c>
      <c r="AC116" s="185" t="n">
        <v>0</v>
      </c>
      <c r="AD116" s="185" t="n">
        <v>0</v>
      </c>
      <c r="AE116" s="185" t="n">
        <v>0</v>
      </c>
      <c r="AF116" s="185" t="n">
        <v>0</v>
      </c>
      <c r="AG116" s="185" t="n">
        <v>0</v>
      </c>
      <c r="AH116" s="185" t="n">
        <v>0</v>
      </c>
      <c r="AI116" s="185" t="n">
        <v>2993.57</v>
      </c>
      <c r="AJ116" s="185" t="n">
        <v>1838.16</v>
      </c>
      <c r="AK116" s="185" t="n">
        <v>0</v>
      </c>
      <c r="AL116" s="186" t="n">
        <v>0</v>
      </c>
      <c r="AM116" s="30" t="inlineStr">
        <is>
          <t>.</t>
        </is>
      </c>
      <c r="AN116" s="187">
        <f>IF(L116=0,0,Z116/L116)</f>
        <v/>
      </c>
      <c r="AO116" s="57">
        <f>IF(AN116&gt;=1,"🟢",IF(AN116&gt;=0.7,"🟡",IF(AN116&gt;=0.4,"🟠","🔴")))</f>
        <v/>
      </c>
      <c r="AP116" s="185">
        <f>L116-Z116</f>
        <v/>
      </c>
      <c r="AQ116" s="55">
        <f>RANK(Z116,$Z$4:$Z$503,0)</f>
        <v/>
      </c>
      <c r="AR116" s="39" t="inlineStr">
        <is>
          <t>.</t>
        </is>
      </c>
      <c r="AS116" s="27" t="n"/>
      <c r="AT116" s="27" t="n"/>
      <c r="AU116" s="27" t="n"/>
      <c r="AV116" s="27" t="n"/>
      <c r="AW116" s="27" t="n"/>
      <c r="AX116" s="27" t="n"/>
      <c r="AY116" s="204" t="n"/>
      <c r="AZ116" s="204" t="n"/>
      <c r="BA116" s="38" t="inlineStr">
        <is>
          <t>.</t>
        </is>
      </c>
      <c r="BB116" s="190">
        <f>SUM(BC116:BN116)</f>
        <v/>
      </c>
      <c r="BC116" s="191">
        <f>L116*0.0702730030</f>
        <v/>
      </c>
      <c r="BD116" s="191">
        <f>L116*0.0734327604</f>
        <v/>
      </c>
      <c r="BE116" s="191">
        <f>L116*0.0752022245</f>
        <v/>
      </c>
      <c r="BF116" s="191">
        <f>L116*0.0771612740</f>
        <v/>
      </c>
      <c r="BG116" s="191">
        <f>L116*0.0796890799</f>
        <v/>
      </c>
      <c r="BH116" s="191">
        <f>L116*0.0817745197</f>
        <v/>
      </c>
      <c r="BI116" s="191">
        <f>L116*0.0849342770</f>
        <v/>
      </c>
      <c r="BJ116" s="191">
        <f>L116*0.0870197169</f>
        <v/>
      </c>
      <c r="BK116" s="191">
        <f>L116*0.0889787664</f>
        <v/>
      </c>
      <c r="BL116" s="191">
        <f>L116*0.0911905966</f>
        <v/>
      </c>
      <c r="BM116" s="191">
        <f>L116*0.0935920121</f>
        <v/>
      </c>
      <c r="BN116" s="192">
        <f>L116*0.0967517695</f>
        <v/>
      </c>
      <c r="BO116" s="36" t="inlineStr">
        <is>
          <t>.</t>
        </is>
      </c>
      <c r="BP116" s="193">
        <f>SUM(BQ116:CB116)</f>
        <v/>
      </c>
      <c r="BQ116" s="191">
        <f>MAX(0,BC116-AA116)</f>
        <v/>
      </c>
      <c r="BR116" s="191">
        <f>MAX(0,BD116-AB116)</f>
        <v/>
      </c>
      <c r="BS116" s="191">
        <f>MAX(0,BE116-AC116)</f>
        <v/>
      </c>
      <c r="BT116" s="191">
        <f>MAX(0,BF116-AD116)</f>
        <v/>
      </c>
      <c r="BU116" s="191">
        <f>MAX(0,BG116-AE116)</f>
        <v/>
      </c>
      <c r="BV116" s="191">
        <f>MAX(0,BH116-AF116)</f>
        <v/>
      </c>
      <c r="BW116" s="191">
        <f>MAX(0,BI116-AG116)</f>
        <v/>
      </c>
      <c r="BX116" s="191">
        <f>MAX(0,BJ116-AH116)</f>
        <v/>
      </c>
      <c r="BY116" s="191">
        <f>MAX(0,BK116-AI116)</f>
        <v/>
      </c>
      <c r="BZ116" s="191">
        <f>MAX(0,BL116-AJ116)</f>
        <v/>
      </c>
      <c r="CA116" s="191">
        <f>MAX(0,BM116-AK116)</f>
        <v/>
      </c>
      <c r="CB116" s="192">
        <f>MAX(0,BN116-AL116)</f>
        <v/>
      </c>
    </row>
    <row r="117">
      <c r="A117" s="64" t="inlineStr">
        <is>
          <t>35743795000102</t>
        </is>
      </c>
      <c r="B117" s="57" t="inlineStr">
        <is>
          <t>AM-FRESH MINI MERCADO LTDA -ME</t>
        </is>
      </c>
      <c r="C117" s="57" t="inlineStr">
        <is>
          <t>SEM GRUPO</t>
        </is>
      </c>
      <c r="D117" s="61" t="inlineStr">
        <is>
          <t>HEMANUELE DITZEL (MANU)</t>
        </is>
      </c>
      <c r="E117" s="30" t="inlineStr">
        <is>
          <t>.</t>
        </is>
      </c>
      <c r="F117" s="63" t="n"/>
      <c r="G117" s="179" t="n"/>
      <c r="H117" s="57" t="n"/>
      <c r="I117" s="57" t="n"/>
      <c r="J117" s="61" t="n"/>
      <c r="K117" s="30" t="inlineStr">
        <is>
          <t>.</t>
        </is>
      </c>
      <c r="L117" s="180" t="n">
        <v>9790.51</v>
      </c>
      <c r="M117" s="181" t="n">
        <v>688.01</v>
      </c>
      <c r="N117" s="181" t="n">
        <v>718.9400000000001</v>
      </c>
      <c r="O117" s="181" t="n">
        <v>736.27</v>
      </c>
      <c r="P117" s="181" t="n">
        <v>755.45</v>
      </c>
      <c r="Q117" s="181" t="n">
        <v>780.2</v>
      </c>
      <c r="R117" s="181" t="n">
        <v>800.61</v>
      </c>
      <c r="S117" s="181" t="n">
        <v>831.55</v>
      </c>
      <c r="T117" s="181" t="n">
        <v>851.97</v>
      </c>
      <c r="U117" s="181" t="n">
        <v>871.15</v>
      </c>
      <c r="V117" s="181" t="n">
        <v>892.8</v>
      </c>
      <c r="W117" s="181" t="n">
        <v>916.3099999999999</v>
      </c>
      <c r="X117" s="182" t="n">
        <v>947.25</v>
      </c>
      <c r="Y117" s="183" t="inlineStr">
        <is>
          <t>.</t>
        </is>
      </c>
      <c r="Z117" s="184">
        <f>SUM(AA117:AL117)</f>
        <v/>
      </c>
      <c r="AA117" s="185" t="n">
        <v>0</v>
      </c>
      <c r="AB117" s="185" t="n">
        <v>0</v>
      </c>
      <c r="AC117" s="185" t="n">
        <v>0</v>
      </c>
      <c r="AD117" s="185" t="n">
        <v>0</v>
      </c>
      <c r="AE117" s="185" t="n">
        <v>0</v>
      </c>
      <c r="AF117" s="185" t="n">
        <v>0</v>
      </c>
      <c r="AG117" s="185" t="n">
        <v>0</v>
      </c>
      <c r="AH117" s="185" t="n">
        <v>2264.89</v>
      </c>
      <c r="AI117" s="185" t="n">
        <v>0</v>
      </c>
      <c r="AJ117" s="185" t="n">
        <v>0</v>
      </c>
      <c r="AK117" s="185" t="n">
        <v>2355.29</v>
      </c>
      <c r="AL117" s="186" t="n">
        <v>0</v>
      </c>
      <c r="AM117" s="30" t="inlineStr">
        <is>
          <t>.</t>
        </is>
      </c>
      <c r="AN117" s="187">
        <f>IF(L117=0,0,Z117/L117)</f>
        <v/>
      </c>
      <c r="AO117" s="57">
        <f>IF(AN117&gt;=1,"🟢",IF(AN117&gt;=0.7,"🟡",IF(AN117&gt;=0.4,"🟠","🔴")))</f>
        <v/>
      </c>
      <c r="AP117" s="185">
        <f>L117-Z117</f>
        <v/>
      </c>
      <c r="AQ117" s="55">
        <f>RANK(Z117,$Z$4:$Z$503,0)</f>
        <v/>
      </c>
      <c r="AR117" s="39" t="inlineStr">
        <is>
          <t>.</t>
        </is>
      </c>
      <c r="AS117" s="27" t="n"/>
      <c r="AT117" s="27" t="n"/>
      <c r="AU117" s="27" t="n"/>
      <c r="AV117" s="27" t="n"/>
      <c r="AW117" s="27" t="n"/>
      <c r="AX117" s="27" t="n"/>
      <c r="AY117" s="204" t="n"/>
      <c r="AZ117" s="204" t="n"/>
      <c r="BA117" s="38" t="inlineStr">
        <is>
          <t>.</t>
        </is>
      </c>
      <c r="BB117" s="190">
        <f>SUM(BC117:BN117)</f>
        <v/>
      </c>
      <c r="BC117" s="191">
        <f>L117*0.0702730030</f>
        <v/>
      </c>
      <c r="BD117" s="191">
        <f>L117*0.0734327604</f>
        <v/>
      </c>
      <c r="BE117" s="191">
        <f>L117*0.0752022245</f>
        <v/>
      </c>
      <c r="BF117" s="191">
        <f>L117*0.0771612740</f>
        <v/>
      </c>
      <c r="BG117" s="191">
        <f>L117*0.0796890799</f>
        <v/>
      </c>
      <c r="BH117" s="191">
        <f>L117*0.0817745197</f>
        <v/>
      </c>
      <c r="BI117" s="191">
        <f>L117*0.0849342770</f>
        <v/>
      </c>
      <c r="BJ117" s="191">
        <f>L117*0.0870197169</f>
        <v/>
      </c>
      <c r="BK117" s="191">
        <f>L117*0.0889787664</f>
        <v/>
      </c>
      <c r="BL117" s="191">
        <f>L117*0.0911905966</f>
        <v/>
      </c>
      <c r="BM117" s="191">
        <f>L117*0.0935920121</f>
        <v/>
      </c>
      <c r="BN117" s="192">
        <f>L117*0.0967517695</f>
        <v/>
      </c>
      <c r="BO117" s="36" t="inlineStr">
        <is>
          <t>.</t>
        </is>
      </c>
      <c r="BP117" s="193">
        <f>SUM(BQ117:CB117)</f>
        <v/>
      </c>
      <c r="BQ117" s="191">
        <f>MAX(0,BC117-AA117)</f>
        <v/>
      </c>
      <c r="BR117" s="191">
        <f>MAX(0,BD117-AB117)</f>
        <v/>
      </c>
      <c r="BS117" s="191">
        <f>MAX(0,BE117-AC117)</f>
        <v/>
      </c>
      <c r="BT117" s="191">
        <f>MAX(0,BF117-AD117)</f>
        <v/>
      </c>
      <c r="BU117" s="191">
        <f>MAX(0,BG117-AE117)</f>
        <v/>
      </c>
      <c r="BV117" s="191">
        <f>MAX(0,BH117-AF117)</f>
        <v/>
      </c>
      <c r="BW117" s="191">
        <f>MAX(0,BI117-AG117)</f>
        <v/>
      </c>
      <c r="BX117" s="191">
        <f>MAX(0,BJ117-AH117)</f>
        <v/>
      </c>
      <c r="BY117" s="191">
        <f>MAX(0,BK117-AI117)</f>
        <v/>
      </c>
      <c r="BZ117" s="191">
        <f>MAX(0,BL117-AJ117)</f>
        <v/>
      </c>
      <c r="CA117" s="191">
        <f>MAX(0,BM117-AK117)</f>
        <v/>
      </c>
      <c r="CB117" s="192">
        <f>MAX(0,BN117-AL117)</f>
        <v/>
      </c>
    </row>
    <row r="118">
      <c r="A118" s="64" t="inlineStr">
        <is>
          <t>32203302000153</t>
        </is>
      </c>
      <c r="B118" s="57" t="inlineStr">
        <is>
          <t>LORENA TEIXEIRA CARDOSO</t>
        </is>
      </c>
      <c r="C118" s="57" t="inlineStr">
        <is>
          <t>SEM GRUPO</t>
        </is>
      </c>
      <c r="D118" s="61" t="inlineStr">
        <is>
          <t>LARISSA PADILHA</t>
        </is>
      </c>
      <c r="E118" s="30" t="inlineStr">
        <is>
          <t>.</t>
        </is>
      </c>
      <c r="F118" s="63" t="n"/>
      <c r="G118" s="179" t="n"/>
      <c r="H118" s="57" t="n"/>
      <c r="I118" s="57" t="n"/>
      <c r="J118" s="61" t="n"/>
      <c r="K118" s="30" t="inlineStr">
        <is>
          <t>.</t>
        </is>
      </c>
      <c r="L118" s="180" t="n">
        <v>9789.4</v>
      </c>
      <c r="M118" s="181" t="n">
        <v>687.9299999999999</v>
      </c>
      <c r="N118" s="181" t="n">
        <v>718.86</v>
      </c>
      <c r="O118" s="181" t="n">
        <v>736.1900000000001</v>
      </c>
      <c r="P118" s="181" t="n">
        <v>755.36</v>
      </c>
      <c r="Q118" s="181" t="n">
        <v>780.11</v>
      </c>
      <c r="R118" s="181" t="n">
        <v>800.52</v>
      </c>
      <c r="S118" s="181" t="n">
        <v>831.46</v>
      </c>
      <c r="T118" s="181" t="n">
        <v>851.87</v>
      </c>
      <c r="U118" s="181" t="n">
        <v>871.05</v>
      </c>
      <c r="V118" s="181" t="n">
        <v>892.7</v>
      </c>
      <c r="W118" s="181" t="n">
        <v>916.21</v>
      </c>
      <c r="X118" s="182" t="n">
        <v>947.14</v>
      </c>
      <c r="Y118" s="183" t="inlineStr">
        <is>
          <t>.</t>
        </is>
      </c>
      <c r="Z118" s="184">
        <f>SUM(AA118:AL118)</f>
        <v/>
      </c>
      <c r="AA118" s="185" t="n">
        <v>0</v>
      </c>
      <c r="AB118" s="185" t="n">
        <v>0</v>
      </c>
      <c r="AC118" s="185" t="n">
        <v>0</v>
      </c>
      <c r="AD118" s="185" t="n">
        <v>0</v>
      </c>
      <c r="AE118" s="185" t="n">
        <v>0</v>
      </c>
      <c r="AF118" s="185" t="n">
        <v>0</v>
      </c>
      <c r="AG118" s="185" t="n">
        <v>0</v>
      </c>
      <c r="AH118" s="185" t="n">
        <v>4124.97</v>
      </c>
      <c r="AI118" s="185" t="n">
        <v>0</v>
      </c>
      <c r="AJ118" s="185" t="n">
        <v>0</v>
      </c>
      <c r="AK118" s="185" t="n">
        <v>0</v>
      </c>
      <c r="AL118" s="186" t="n">
        <v>0</v>
      </c>
      <c r="AM118" s="30" t="inlineStr">
        <is>
          <t>.</t>
        </is>
      </c>
      <c r="AN118" s="187">
        <f>IF(L118=0,0,Z118/L118)</f>
        <v/>
      </c>
      <c r="AO118" s="57">
        <f>IF(AN118&gt;=1,"🟢",IF(AN118&gt;=0.7,"🟡",IF(AN118&gt;=0.4,"🟠","🔴")))</f>
        <v/>
      </c>
      <c r="AP118" s="185">
        <f>L118-Z118</f>
        <v/>
      </c>
      <c r="AQ118" s="55">
        <f>RANK(Z118,$Z$4:$Z$503,0)</f>
        <v/>
      </c>
      <c r="AR118" s="39" t="inlineStr">
        <is>
          <t>.</t>
        </is>
      </c>
      <c r="AS118" s="27" t="n"/>
      <c r="AT118" s="27" t="n"/>
      <c r="AU118" s="27" t="n"/>
      <c r="AV118" s="27" t="n"/>
      <c r="AW118" s="27" t="n"/>
      <c r="AX118" s="27" t="n"/>
      <c r="AY118" s="204" t="n"/>
      <c r="AZ118" s="204" t="n"/>
      <c r="BA118" s="38" t="inlineStr">
        <is>
          <t>.</t>
        </is>
      </c>
      <c r="BB118" s="190">
        <f>SUM(BC118:BN118)</f>
        <v/>
      </c>
      <c r="BC118" s="191">
        <f>L118*0.0702730030</f>
        <v/>
      </c>
      <c r="BD118" s="191">
        <f>L118*0.0734327604</f>
        <v/>
      </c>
      <c r="BE118" s="191">
        <f>L118*0.0752022245</f>
        <v/>
      </c>
      <c r="BF118" s="191">
        <f>L118*0.0771612740</f>
        <v/>
      </c>
      <c r="BG118" s="191">
        <f>L118*0.0796890799</f>
        <v/>
      </c>
      <c r="BH118" s="191">
        <f>L118*0.0817745197</f>
        <v/>
      </c>
      <c r="BI118" s="191">
        <f>L118*0.0849342770</f>
        <v/>
      </c>
      <c r="BJ118" s="191">
        <f>L118*0.0870197169</f>
        <v/>
      </c>
      <c r="BK118" s="191">
        <f>L118*0.0889787664</f>
        <v/>
      </c>
      <c r="BL118" s="191">
        <f>L118*0.0911905966</f>
        <v/>
      </c>
      <c r="BM118" s="191">
        <f>L118*0.0935920121</f>
        <v/>
      </c>
      <c r="BN118" s="192">
        <f>L118*0.0967517695</f>
        <v/>
      </c>
      <c r="BO118" s="36" t="inlineStr">
        <is>
          <t>.</t>
        </is>
      </c>
      <c r="BP118" s="193">
        <f>SUM(BQ118:CB118)</f>
        <v/>
      </c>
      <c r="BQ118" s="191">
        <f>MAX(0,BC118-AA118)</f>
        <v/>
      </c>
      <c r="BR118" s="191">
        <f>MAX(0,BD118-AB118)</f>
        <v/>
      </c>
      <c r="BS118" s="191">
        <f>MAX(0,BE118-AC118)</f>
        <v/>
      </c>
      <c r="BT118" s="191">
        <f>MAX(0,BF118-AD118)</f>
        <v/>
      </c>
      <c r="BU118" s="191">
        <f>MAX(0,BG118-AE118)</f>
        <v/>
      </c>
      <c r="BV118" s="191">
        <f>MAX(0,BH118-AF118)</f>
        <v/>
      </c>
      <c r="BW118" s="191">
        <f>MAX(0,BI118-AG118)</f>
        <v/>
      </c>
      <c r="BX118" s="191">
        <f>MAX(0,BJ118-AH118)</f>
        <v/>
      </c>
      <c r="BY118" s="191">
        <f>MAX(0,BK118-AI118)</f>
        <v/>
      </c>
      <c r="BZ118" s="191">
        <f>MAX(0,BL118-AJ118)</f>
        <v/>
      </c>
      <c r="CA118" s="191">
        <f>MAX(0,BM118-AK118)</f>
        <v/>
      </c>
      <c r="CB118" s="192">
        <f>MAX(0,BN118-AL118)</f>
        <v/>
      </c>
    </row>
    <row r="119">
      <c r="A119" s="64" t="inlineStr">
        <is>
          <t>48391847000170</t>
        </is>
      </c>
      <c r="B119" s="57" t="inlineStr">
        <is>
          <t>TRIBO VERDE PRODUTOS NATURAIS LTDA - ME</t>
        </is>
      </c>
      <c r="C119" s="57" t="inlineStr">
        <is>
          <t>SEM GRUPO</t>
        </is>
      </c>
      <c r="D119" s="61" t="inlineStr">
        <is>
          <t>LARISSA PADILHA</t>
        </is>
      </c>
      <c r="E119" s="30" t="inlineStr">
        <is>
          <t>.</t>
        </is>
      </c>
      <c r="F119" s="63" t="n"/>
      <c r="G119" s="179" t="n"/>
      <c r="H119" s="57" t="n"/>
      <c r="I119" s="57" t="n"/>
      <c r="J119" s="61" t="n"/>
      <c r="K119" s="30" t="inlineStr">
        <is>
          <t>.</t>
        </is>
      </c>
      <c r="L119" s="180" t="n">
        <v>9614.629999999999</v>
      </c>
      <c r="M119" s="181" t="n">
        <v>675.65</v>
      </c>
      <c r="N119" s="181" t="n">
        <v>706.03</v>
      </c>
      <c r="O119" s="181" t="n">
        <v>723.04</v>
      </c>
      <c r="P119" s="181" t="n">
        <v>741.88</v>
      </c>
      <c r="Q119" s="181" t="n">
        <v>766.1799999999999</v>
      </c>
      <c r="R119" s="181" t="n">
        <v>786.23</v>
      </c>
      <c r="S119" s="181" t="n">
        <v>816.61</v>
      </c>
      <c r="T119" s="181" t="n">
        <v>836.66</v>
      </c>
      <c r="U119" s="181" t="n">
        <v>855.5</v>
      </c>
      <c r="V119" s="181" t="n">
        <v>876.77</v>
      </c>
      <c r="W119" s="181" t="n">
        <v>899.85</v>
      </c>
      <c r="X119" s="182" t="n">
        <v>930.23</v>
      </c>
      <c r="Y119" s="183" t="inlineStr">
        <is>
          <t>.</t>
        </is>
      </c>
      <c r="Z119" s="184">
        <f>SUM(AA119:AL119)</f>
        <v/>
      </c>
      <c r="AA119" s="185" t="n">
        <v>0</v>
      </c>
      <c r="AB119" s="185" t="n">
        <v>0</v>
      </c>
      <c r="AC119" s="185" t="n">
        <v>0</v>
      </c>
      <c r="AD119" s="185" t="n">
        <v>0</v>
      </c>
      <c r="AE119" s="185" t="n">
        <v>0</v>
      </c>
      <c r="AF119" s="185" t="n">
        <v>0</v>
      </c>
      <c r="AG119" s="185" t="n">
        <v>0</v>
      </c>
      <c r="AH119" s="185" t="n">
        <v>0</v>
      </c>
      <c r="AI119" s="185" t="n">
        <v>2242.18</v>
      </c>
      <c r="AJ119" s="185" t="n">
        <v>0</v>
      </c>
      <c r="AK119" s="185" t="n">
        <v>2653.37</v>
      </c>
      <c r="AL119" s="186" t="n">
        <v>0</v>
      </c>
      <c r="AM119" s="30" t="inlineStr">
        <is>
          <t>.</t>
        </is>
      </c>
      <c r="AN119" s="187">
        <f>IF(L119=0,0,Z119/L119)</f>
        <v/>
      </c>
      <c r="AO119" s="57">
        <f>IF(AN119&gt;=1,"🟢",IF(AN119&gt;=0.7,"🟡",IF(AN119&gt;=0.4,"🟠","🔴")))</f>
        <v/>
      </c>
      <c r="AP119" s="185">
        <f>L119-Z119</f>
        <v/>
      </c>
      <c r="AQ119" s="55">
        <f>RANK(Z119,$Z$4:$Z$503,0)</f>
        <v/>
      </c>
      <c r="AR119" s="39" t="inlineStr">
        <is>
          <t>.</t>
        </is>
      </c>
      <c r="AS119" s="27" t="n"/>
      <c r="AT119" s="27" t="n"/>
      <c r="AU119" s="27" t="n"/>
      <c r="AV119" s="27" t="n"/>
      <c r="AW119" s="27" t="n"/>
      <c r="AX119" s="27" t="n"/>
      <c r="AY119" s="204" t="n"/>
      <c r="AZ119" s="204" t="n"/>
      <c r="BA119" s="38" t="inlineStr">
        <is>
          <t>.</t>
        </is>
      </c>
      <c r="BB119" s="190">
        <f>SUM(BC119:BN119)</f>
        <v/>
      </c>
      <c r="BC119" s="191">
        <f>L119*0.0702730030</f>
        <v/>
      </c>
      <c r="BD119" s="191">
        <f>L119*0.0734327604</f>
        <v/>
      </c>
      <c r="BE119" s="191">
        <f>L119*0.0752022245</f>
        <v/>
      </c>
      <c r="BF119" s="191">
        <f>L119*0.0771612740</f>
        <v/>
      </c>
      <c r="BG119" s="191">
        <f>L119*0.0796890799</f>
        <v/>
      </c>
      <c r="BH119" s="191">
        <f>L119*0.0817745197</f>
        <v/>
      </c>
      <c r="BI119" s="191">
        <f>L119*0.0849342770</f>
        <v/>
      </c>
      <c r="BJ119" s="191">
        <f>L119*0.0870197169</f>
        <v/>
      </c>
      <c r="BK119" s="191">
        <f>L119*0.0889787664</f>
        <v/>
      </c>
      <c r="BL119" s="191">
        <f>L119*0.0911905966</f>
        <v/>
      </c>
      <c r="BM119" s="191">
        <f>L119*0.0935920121</f>
        <v/>
      </c>
      <c r="BN119" s="192">
        <f>L119*0.0967517695</f>
        <v/>
      </c>
      <c r="BO119" s="36" t="inlineStr">
        <is>
          <t>.</t>
        </is>
      </c>
      <c r="BP119" s="193">
        <f>SUM(BQ119:CB119)</f>
        <v/>
      </c>
      <c r="BQ119" s="191">
        <f>MAX(0,BC119-AA119)</f>
        <v/>
      </c>
      <c r="BR119" s="191">
        <f>MAX(0,BD119-AB119)</f>
        <v/>
      </c>
      <c r="BS119" s="191">
        <f>MAX(0,BE119-AC119)</f>
        <v/>
      </c>
      <c r="BT119" s="191">
        <f>MAX(0,BF119-AD119)</f>
        <v/>
      </c>
      <c r="BU119" s="191">
        <f>MAX(0,BG119-AE119)</f>
        <v/>
      </c>
      <c r="BV119" s="191">
        <f>MAX(0,BH119-AF119)</f>
        <v/>
      </c>
      <c r="BW119" s="191">
        <f>MAX(0,BI119-AG119)</f>
        <v/>
      </c>
      <c r="BX119" s="191">
        <f>MAX(0,BJ119-AH119)</f>
        <v/>
      </c>
      <c r="BY119" s="191">
        <f>MAX(0,BK119-AI119)</f>
        <v/>
      </c>
      <c r="BZ119" s="191">
        <f>MAX(0,BL119-AJ119)</f>
        <v/>
      </c>
      <c r="CA119" s="191">
        <f>MAX(0,BM119-AK119)</f>
        <v/>
      </c>
      <c r="CB119" s="192">
        <f>MAX(0,BN119-AL119)</f>
        <v/>
      </c>
    </row>
    <row r="120">
      <c r="A120" s="64" t="inlineStr">
        <is>
          <t>52607036000131</t>
        </is>
      </c>
      <c r="B120" s="57" t="inlineStr">
        <is>
          <t>FIT LAGES COMERCIO DE SUPLEMENTOS E PROD</t>
        </is>
      </c>
      <c r="C120" s="57" t="inlineStr">
        <is>
          <t>FITLAND</t>
        </is>
      </c>
      <c r="D120" s="61" t="inlineStr">
        <is>
          <t>JULIO GADRET</t>
        </is>
      </c>
      <c r="E120" s="30" t="inlineStr">
        <is>
          <t>.</t>
        </is>
      </c>
      <c r="F120" s="63" t="n">
        <v>89</v>
      </c>
      <c r="G120" s="179" t="n">
        <v>0.298</v>
      </c>
      <c r="H120" s="57" t="inlineStr">
        <is>
          <t>🔴 VERMELHO</t>
        </is>
      </c>
      <c r="I120" s="57" t="inlineStr">
        <is>
          <t>POSITIVAÇÃO</t>
        </is>
      </c>
      <c r="J120" s="61" t="inlineStr">
        <is>
          <t>Aumentar frequência + Expandir base</t>
        </is>
      </c>
      <c r="K120" s="30" t="inlineStr">
        <is>
          <t>.</t>
        </is>
      </c>
      <c r="L120" s="180" t="n">
        <v>9517.949999999999</v>
      </c>
      <c r="M120" s="181" t="n">
        <v>668.85</v>
      </c>
      <c r="N120" s="181" t="n">
        <v>698.9299999999999</v>
      </c>
      <c r="O120" s="181" t="n">
        <v>715.77</v>
      </c>
      <c r="P120" s="181" t="n">
        <v>734.42</v>
      </c>
      <c r="Q120" s="181" t="n">
        <v>758.48</v>
      </c>
      <c r="R120" s="181" t="n">
        <v>778.33</v>
      </c>
      <c r="S120" s="181" t="n">
        <v>808.4</v>
      </c>
      <c r="T120" s="181" t="n">
        <v>828.25</v>
      </c>
      <c r="U120" s="181" t="n">
        <v>846.89</v>
      </c>
      <c r="V120" s="181" t="n">
        <v>867.95</v>
      </c>
      <c r="W120" s="181" t="n">
        <v>890.8</v>
      </c>
      <c r="X120" s="182" t="n">
        <v>920.88</v>
      </c>
      <c r="Y120" s="183" t="inlineStr">
        <is>
          <t>.</t>
        </is>
      </c>
      <c r="Z120" s="184">
        <f>SUM(AA120:AL120)</f>
        <v/>
      </c>
      <c r="AA120" s="185" t="n">
        <v>0</v>
      </c>
      <c r="AB120" s="185" t="n">
        <v>0</v>
      </c>
      <c r="AC120" s="185" t="n">
        <v>0</v>
      </c>
      <c r="AD120" s="185" t="n">
        <v>0</v>
      </c>
      <c r="AE120" s="185" t="n">
        <v>0</v>
      </c>
      <c r="AF120" s="185" t="n">
        <v>0</v>
      </c>
      <c r="AG120" s="185" t="n">
        <v>0</v>
      </c>
      <c r="AH120" s="185" t="n">
        <v>2008.57</v>
      </c>
      <c r="AI120" s="185" t="n">
        <v>0</v>
      </c>
      <c r="AJ120" s="185" t="n">
        <v>0</v>
      </c>
      <c r="AK120" s="185" t="n">
        <v>1006.35</v>
      </c>
      <c r="AL120" s="186" t="n">
        <v>1262.51</v>
      </c>
      <c r="AM120" s="30" t="inlineStr">
        <is>
          <t>.</t>
        </is>
      </c>
      <c r="AN120" s="187">
        <f>IF(L120=0,0,Z120/L120)</f>
        <v/>
      </c>
      <c r="AO120" s="57">
        <f>IF(AN120&gt;=1,"🟢",IF(AN120&gt;=0.7,"🟡",IF(AN120&gt;=0.4,"🟠","🔴")))</f>
        <v/>
      </c>
      <c r="AP120" s="185">
        <f>L120-Z120</f>
        <v/>
      </c>
      <c r="AQ120" s="55">
        <f>RANK(Z120,$Z$4:$Z$503,0)</f>
        <v/>
      </c>
      <c r="AR120" s="39" t="inlineStr">
        <is>
          <t>.</t>
        </is>
      </c>
      <c r="AS120" s="27" t="n"/>
      <c r="AT120" s="27" t="n"/>
      <c r="AU120" s="27" t="n"/>
      <c r="AV120" s="27" t="n"/>
      <c r="AW120" s="27" t="n"/>
      <c r="AX120" s="27" t="n"/>
      <c r="AY120" s="204" t="n"/>
      <c r="AZ120" s="204" t="n"/>
      <c r="BA120" s="38" t="inlineStr">
        <is>
          <t>.</t>
        </is>
      </c>
      <c r="BB120" s="190">
        <f>SUM(BC120:BN120)</f>
        <v/>
      </c>
      <c r="BC120" s="191">
        <f>L120*0.0702730030</f>
        <v/>
      </c>
      <c r="BD120" s="191">
        <f>L120*0.0734327604</f>
        <v/>
      </c>
      <c r="BE120" s="191">
        <f>L120*0.0752022245</f>
        <v/>
      </c>
      <c r="BF120" s="191">
        <f>L120*0.0771612740</f>
        <v/>
      </c>
      <c r="BG120" s="191">
        <f>L120*0.0796890799</f>
        <v/>
      </c>
      <c r="BH120" s="191">
        <f>L120*0.0817745197</f>
        <v/>
      </c>
      <c r="BI120" s="191">
        <f>L120*0.0849342770</f>
        <v/>
      </c>
      <c r="BJ120" s="191">
        <f>L120*0.0870197169</f>
        <v/>
      </c>
      <c r="BK120" s="191">
        <f>L120*0.0889787664</f>
        <v/>
      </c>
      <c r="BL120" s="191">
        <f>L120*0.0911905966</f>
        <v/>
      </c>
      <c r="BM120" s="191">
        <f>L120*0.0935920121</f>
        <v/>
      </c>
      <c r="BN120" s="192">
        <f>L120*0.0967517695</f>
        <v/>
      </c>
      <c r="BO120" s="36" t="inlineStr">
        <is>
          <t>.</t>
        </is>
      </c>
      <c r="BP120" s="193">
        <f>SUM(BQ120:CB120)</f>
        <v/>
      </c>
      <c r="BQ120" s="191">
        <f>MAX(0,BC120-AA120)</f>
        <v/>
      </c>
      <c r="BR120" s="191">
        <f>MAX(0,BD120-AB120)</f>
        <v/>
      </c>
      <c r="BS120" s="191">
        <f>MAX(0,BE120-AC120)</f>
        <v/>
      </c>
      <c r="BT120" s="191">
        <f>MAX(0,BF120-AD120)</f>
        <v/>
      </c>
      <c r="BU120" s="191">
        <f>MAX(0,BG120-AE120)</f>
        <v/>
      </c>
      <c r="BV120" s="191">
        <f>MAX(0,BH120-AF120)</f>
        <v/>
      </c>
      <c r="BW120" s="191">
        <f>MAX(0,BI120-AG120)</f>
        <v/>
      </c>
      <c r="BX120" s="191">
        <f>MAX(0,BJ120-AH120)</f>
        <v/>
      </c>
      <c r="BY120" s="191">
        <f>MAX(0,BK120-AI120)</f>
        <v/>
      </c>
      <c r="BZ120" s="191">
        <f>MAX(0,BL120-AJ120)</f>
        <v/>
      </c>
      <c r="CA120" s="191">
        <f>MAX(0,BM120-AK120)</f>
        <v/>
      </c>
      <c r="CB120" s="192">
        <f>MAX(0,BN120-AL120)</f>
        <v/>
      </c>
    </row>
    <row r="121">
      <c r="A121" s="64" t="inlineStr">
        <is>
          <t>48252719000146</t>
        </is>
      </c>
      <c r="B121" s="57" t="inlineStr">
        <is>
          <t>J. C. A. DA SILVA LTDA - EPP</t>
        </is>
      </c>
      <c r="C121" s="57" t="inlineStr">
        <is>
          <t>SEM GRUPO</t>
        </is>
      </c>
      <c r="D121" s="61" t="inlineStr">
        <is>
          <t>LARISSA PADILHA</t>
        </is>
      </c>
      <c r="E121" s="30" t="inlineStr">
        <is>
          <t>.</t>
        </is>
      </c>
      <c r="F121" s="63" t="n"/>
      <c r="G121" s="179" t="n"/>
      <c r="H121" s="57" t="n"/>
      <c r="I121" s="57" t="n"/>
      <c r="J121" s="61" t="n"/>
      <c r="K121" s="30" t="inlineStr">
        <is>
          <t>.</t>
        </is>
      </c>
      <c r="L121" s="180" t="n">
        <v>9485.990000000002</v>
      </c>
      <c r="M121" s="181" t="n">
        <v>666.61</v>
      </c>
      <c r="N121" s="181" t="n">
        <v>696.58</v>
      </c>
      <c r="O121" s="181" t="n">
        <v>713.37</v>
      </c>
      <c r="P121" s="181" t="n">
        <v>731.95</v>
      </c>
      <c r="Q121" s="181" t="n">
        <v>755.9299999999999</v>
      </c>
      <c r="R121" s="181" t="n">
        <v>775.71</v>
      </c>
      <c r="S121" s="181" t="n">
        <v>805.6900000000001</v>
      </c>
      <c r="T121" s="181" t="n">
        <v>825.47</v>
      </c>
      <c r="U121" s="181" t="n">
        <v>844.05</v>
      </c>
      <c r="V121" s="181" t="n">
        <v>865.03</v>
      </c>
      <c r="W121" s="181" t="n">
        <v>887.8099999999999</v>
      </c>
      <c r="X121" s="182" t="n">
        <v>917.79</v>
      </c>
      <c r="Y121" s="183" t="inlineStr">
        <is>
          <t>.</t>
        </is>
      </c>
      <c r="Z121" s="184">
        <f>SUM(AA121:AL121)</f>
        <v/>
      </c>
      <c r="AA121" s="185" t="n">
        <v>0</v>
      </c>
      <c r="AB121" s="185" t="n">
        <v>0</v>
      </c>
      <c r="AC121" s="185" t="n">
        <v>0</v>
      </c>
      <c r="AD121" s="185" t="n">
        <v>0</v>
      </c>
      <c r="AE121" s="185" t="n">
        <v>0</v>
      </c>
      <c r="AF121" s="185" t="n">
        <v>0</v>
      </c>
      <c r="AG121" s="185" t="n">
        <v>0</v>
      </c>
      <c r="AH121" s="185" t="n">
        <v>3997.12</v>
      </c>
      <c r="AI121" s="185" t="n">
        <v>0</v>
      </c>
      <c r="AJ121" s="185" t="n">
        <v>0</v>
      </c>
      <c r="AK121" s="185" t="n">
        <v>0</v>
      </c>
      <c r="AL121" s="186" t="n">
        <v>0</v>
      </c>
      <c r="AM121" s="30" t="inlineStr">
        <is>
          <t>.</t>
        </is>
      </c>
      <c r="AN121" s="187">
        <f>IF(L121=0,0,Z121/L121)</f>
        <v/>
      </c>
      <c r="AO121" s="57">
        <f>IF(AN121&gt;=1,"🟢",IF(AN121&gt;=0.7,"🟡",IF(AN121&gt;=0.4,"🟠","🔴")))</f>
        <v/>
      </c>
      <c r="AP121" s="185">
        <f>L121-Z121</f>
        <v/>
      </c>
      <c r="AQ121" s="55">
        <f>RANK(Z121,$Z$4:$Z$503,0)</f>
        <v/>
      </c>
      <c r="AR121" s="39" t="inlineStr">
        <is>
          <t>.</t>
        </is>
      </c>
      <c r="AS121" s="27" t="n"/>
      <c r="AT121" s="27" t="n"/>
      <c r="AU121" s="27" t="n"/>
      <c r="AV121" s="27" t="n"/>
      <c r="AW121" s="27" t="n"/>
      <c r="AX121" s="27" t="n"/>
      <c r="AY121" s="204" t="n"/>
      <c r="AZ121" s="204" t="n"/>
      <c r="BA121" s="38" t="inlineStr">
        <is>
          <t>.</t>
        </is>
      </c>
      <c r="BB121" s="190">
        <f>SUM(BC121:BN121)</f>
        <v/>
      </c>
      <c r="BC121" s="191">
        <f>L121*0.0702730030</f>
        <v/>
      </c>
      <c r="BD121" s="191">
        <f>L121*0.0734327604</f>
        <v/>
      </c>
      <c r="BE121" s="191">
        <f>L121*0.0752022245</f>
        <v/>
      </c>
      <c r="BF121" s="191">
        <f>L121*0.0771612740</f>
        <v/>
      </c>
      <c r="BG121" s="191">
        <f>L121*0.0796890799</f>
        <v/>
      </c>
      <c r="BH121" s="191">
        <f>L121*0.0817745197</f>
        <v/>
      </c>
      <c r="BI121" s="191">
        <f>L121*0.0849342770</f>
        <v/>
      </c>
      <c r="BJ121" s="191">
        <f>L121*0.0870197169</f>
        <v/>
      </c>
      <c r="BK121" s="191">
        <f>L121*0.0889787664</f>
        <v/>
      </c>
      <c r="BL121" s="191">
        <f>L121*0.0911905966</f>
        <v/>
      </c>
      <c r="BM121" s="191">
        <f>L121*0.0935920121</f>
        <v/>
      </c>
      <c r="BN121" s="192">
        <f>L121*0.0967517695</f>
        <v/>
      </c>
      <c r="BO121" s="36" t="inlineStr">
        <is>
          <t>.</t>
        </is>
      </c>
      <c r="BP121" s="193">
        <f>SUM(BQ121:CB121)</f>
        <v/>
      </c>
      <c r="BQ121" s="191">
        <f>MAX(0,BC121-AA121)</f>
        <v/>
      </c>
      <c r="BR121" s="191">
        <f>MAX(0,BD121-AB121)</f>
        <v/>
      </c>
      <c r="BS121" s="191">
        <f>MAX(0,BE121-AC121)</f>
        <v/>
      </c>
      <c r="BT121" s="191">
        <f>MAX(0,BF121-AD121)</f>
        <v/>
      </c>
      <c r="BU121" s="191">
        <f>MAX(0,BG121-AE121)</f>
        <v/>
      </c>
      <c r="BV121" s="191">
        <f>MAX(0,BH121-AF121)</f>
        <v/>
      </c>
      <c r="BW121" s="191">
        <f>MAX(0,BI121-AG121)</f>
        <v/>
      </c>
      <c r="BX121" s="191">
        <f>MAX(0,BJ121-AH121)</f>
        <v/>
      </c>
      <c r="BY121" s="191">
        <f>MAX(0,BK121-AI121)</f>
        <v/>
      </c>
      <c r="BZ121" s="191">
        <f>MAX(0,BL121-AJ121)</f>
        <v/>
      </c>
      <c r="CA121" s="191">
        <f>MAX(0,BM121-AK121)</f>
        <v/>
      </c>
      <c r="CB121" s="192">
        <f>MAX(0,BN121-AL121)</f>
        <v/>
      </c>
    </row>
    <row r="122">
      <c r="A122" s="64" t="inlineStr">
        <is>
          <t>45120770000106</t>
        </is>
      </c>
      <c r="B122" s="57" t="inlineStr">
        <is>
          <t>JAQUELINE MACHADO COUTO 08791417600 - ME</t>
        </is>
      </c>
      <c r="C122" s="57" t="inlineStr">
        <is>
          <t>SEM GRUPO</t>
        </is>
      </c>
      <c r="D122" s="61" t="inlineStr">
        <is>
          <t>LARISSA PADILHA</t>
        </is>
      </c>
      <c r="E122" s="30" t="inlineStr">
        <is>
          <t>.</t>
        </is>
      </c>
      <c r="F122" s="63" t="n"/>
      <c r="G122" s="179" t="n"/>
      <c r="H122" s="57" t="n"/>
      <c r="I122" s="57" t="n"/>
      <c r="J122" s="61" t="n"/>
      <c r="K122" s="30" t="inlineStr">
        <is>
          <t>.</t>
        </is>
      </c>
      <c r="L122" s="180" t="n">
        <v>9470.130000000001</v>
      </c>
      <c r="M122" s="181" t="n">
        <v>665.49</v>
      </c>
      <c r="N122" s="181" t="n">
        <v>695.42</v>
      </c>
      <c r="O122" s="181" t="n">
        <v>712.17</v>
      </c>
      <c r="P122" s="181" t="n">
        <v>730.73</v>
      </c>
      <c r="Q122" s="181" t="n">
        <v>754.67</v>
      </c>
      <c r="R122" s="181" t="n">
        <v>774.41</v>
      </c>
      <c r="S122" s="181" t="n">
        <v>804.34</v>
      </c>
      <c r="T122" s="181" t="n">
        <v>824.09</v>
      </c>
      <c r="U122" s="181" t="n">
        <v>842.64</v>
      </c>
      <c r="V122" s="181" t="n">
        <v>863.59</v>
      </c>
      <c r="W122" s="181" t="n">
        <v>886.33</v>
      </c>
      <c r="X122" s="182" t="n">
        <v>916.25</v>
      </c>
      <c r="Y122" s="183" t="inlineStr">
        <is>
          <t>.</t>
        </is>
      </c>
      <c r="Z122" s="184">
        <f>SUM(AA122:AL122)</f>
        <v/>
      </c>
      <c r="AA122" s="185" t="n">
        <v>0</v>
      </c>
      <c r="AB122" s="185" t="n">
        <v>0</v>
      </c>
      <c r="AC122" s="185" t="n">
        <v>0</v>
      </c>
      <c r="AD122" s="185" t="n">
        <v>0</v>
      </c>
      <c r="AE122" s="185" t="n">
        <v>0</v>
      </c>
      <c r="AF122" s="185" t="n">
        <v>0</v>
      </c>
      <c r="AG122" s="185" t="n">
        <v>0</v>
      </c>
      <c r="AH122" s="185" t="n">
        <v>948.48</v>
      </c>
      <c r="AI122" s="185" t="n">
        <v>0</v>
      </c>
      <c r="AJ122" s="185" t="n">
        <v>1862.18</v>
      </c>
      <c r="AK122" s="185" t="n">
        <v>0</v>
      </c>
      <c r="AL122" s="186" t="n">
        <v>0</v>
      </c>
      <c r="AM122" s="30" t="inlineStr">
        <is>
          <t>.</t>
        </is>
      </c>
      <c r="AN122" s="187">
        <f>IF(L122=0,0,Z122/L122)</f>
        <v/>
      </c>
      <c r="AO122" s="57">
        <f>IF(AN122&gt;=1,"🟢",IF(AN122&gt;=0.7,"🟡",IF(AN122&gt;=0.4,"🟠","🔴")))</f>
        <v/>
      </c>
      <c r="AP122" s="185">
        <f>L122-Z122</f>
        <v/>
      </c>
      <c r="AQ122" s="55">
        <f>RANK(Z122,$Z$4:$Z$503,0)</f>
        <v/>
      </c>
      <c r="AR122" s="39" t="inlineStr">
        <is>
          <t>.</t>
        </is>
      </c>
      <c r="AS122" s="27" t="n"/>
      <c r="AT122" s="27" t="n"/>
      <c r="AU122" s="27" t="n"/>
      <c r="AV122" s="27" t="n"/>
      <c r="AW122" s="27" t="n"/>
      <c r="AX122" s="27" t="n"/>
      <c r="AY122" s="204" t="n"/>
      <c r="AZ122" s="204" t="n"/>
      <c r="BA122" s="38" t="inlineStr">
        <is>
          <t>.</t>
        </is>
      </c>
      <c r="BB122" s="190">
        <f>SUM(BC122:BN122)</f>
        <v/>
      </c>
      <c r="BC122" s="191">
        <f>L122*0.0702730030</f>
        <v/>
      </c>
      <c r="BD122" s="191">
        <f>L122*0.0734327604</f>
        <v/>
      </c>
      <c r="BE122" s="191">
        <f>L122*0.0752022245</f>
        <v/>
      </c>
      <c r="BF122" s="191">
        <f>L122*0.0771612740</f>
        <v/>
      </c>
      <c r="BG122" s="191">
        <f>L122*0.0796890799</f>
        <v/>
      </c>
      <c r="BH122" s="191">
        <f>L122*0.0817745197</f>
        <v/>
      </c>
      <c r="BI122" s="191">
        <f>L122*0.0849342770</f>
        <v/>
      </c>
      <c r="BJ122" s="191">
        <f>L122*0.0870197169</f>
        <v/>
      </c>
      <c r="BK122" s="191">
        <f>L122*0.0889787664</f>
        <v/>
      </c>
      <c r="BL122" s="191">
        <f>L122*0.0911905966</f>
        <v/>
      </c>
      <c r="BM122" s="191">
        <f>L122*0.0935920121</f>
        <v/>
      </c>
      <c r="BN122" s="192">
        <f>L122*0.0967517695</f>
        <v/>
      </c>
      <c r="BO122" s="36" t="inlineStr">
        <is>
          <t>.</t>
        </is>
      </c>
      <c r="BP122" s="193">
        <f>SUM(BQ122:CB122)</f>
        <v/>
      </c>
      <c r="BQ122" s="191">
        <f>MAX(0,BC122-AA122)</f>
        <v/>
      </c>
      <c r="BR122" s="191">
        <f>MAX(0,BD122-AB122)</f>
        <v/>
      </c>
      <c r="BS122" s="191">
        <f>MAX(0,BE122-AC122)</f>
        <v/>
      </c>
      <c r="BT122" s="191">
        <f>MAX(0,BF122-AD122)</f>
        <v/>
      </c>
      <c r="BU122" s="191">
        <f>MAX(0,BG122-AE122)</f>
        <v/>
      </c>
      <c r="BV122" s="191">
        <f>MAX(0,BH122-AF122)</f>
        <v/>
      </c>
      <c r="BW122" s="191">
        <f>MAX(0,BI122-AG122)</f>
        <v/>
      </c>
      <c r="BX122" s="191">
        <f>MAX(0,BJ122-AH122)</f>
        <v/>
      </c>
      <c r="BY122" s="191">
        <f>MAX(0,BK122-AI122)</f>
        <v/>
      </c>
      <c r="BZ122" s="191">
        <f>MAX(0,BL122-AJ122)</f>
        <v/>
      </c>
      <c r="CA122" s="191">
        <f>MAX(0,BM122-AK122)</f>
        <v/>
      </c>
      <c r="CB122" s="192">
        <f>MAX(0,BN122-AL122)</f>
        <v/>
      </c>
    </row>
    <row r="123">
      <c r="A123" s="64" t="inlineStr">
        <is>
          <t>20161192000125</t>
        </is>
      </c>
      <c r="B123" s="57" t="inlineStr">
        <is>
          <t>CEREAIS SOUZA LTDA - ME</t>
        </is>
      </c>
      <c r="C123" s="57" t="inlineStr">
        <is>
          <t>SEM GRUPO</t>
        </is>
      </c>
      <c r="D123" s="61" t="inlineStr">
        <is>
          <t>LARISSA PADILHA</t>
        </is>
      </c>
      <c r="E123" s="30" t="inlineStr">
        <is>
          <t>.</t>
        </is>
      </c>
      <c r="F123" s="63" t="n"/>
      <c r="G123" s="179" t="n"/>
      <c r="H123" s="57" t="n"/>
      <c r="I123" s="57" t="n"/>
      <c r="J123" s="61" t="n"/>
      <c r="K123" s="30" t="inlineStr">
        <is>
          <t>.</t>
        </is>
      </c>
      <c r="L123" s="180" t="n">
        <v>9400.6</v>
      </c>
      <c r="M123" s="181" t="n">
        <v>660.61</v>
      </c>
      <c r="N123" s="181" t="n">
        <v>690.3099999999999</v>
      </c>
      <c r="O123" s="181" t="n">
        <v>706.95</v>
      </c>
      <c r="P123" s="181" t="n">
        <v>725.36</v>
      </c>
      <c r="Q123" s="181" t="n">
        <v>749.13</v>
      </c>
      <c r="R123" s="181" t="n">
        <v>768.73</v>
      </c>
      <c r="S123" s="181" t="n">
        <v>798.4299999999999</v>
      </c>
      <c r="T123" s="181" t="n">
        <v>818.04</v>
      </c>
      <c r="U123" s="181" t="n">
        <v>836.45</v>
      </c>
      <c r="V123" s="181" t="n">
        <v>857.25</v>
      </c>
      <c r="W123" s="181" t="n">
        <v>879.8200000000001</v>
      </c>
      <c r="X123" s="182" t="n">
        <v>909.52</v>
      </c>
      <c r="Y123" s="183" t="inlineStr">
        <is>
          <t>.</t>
        </is>
      </c>
      <c r="Z123" s="184">
        <f>SUM(AA123:AL123)</f>
        <v/>
      </c>
      <c r="AA123" s="185" t="n">
        <v>0</v>
      </c>
      <c r="AB123" s="185" t="n">
        <v>0</v>
      </c>
      <c r="AC123" s="185" t="n">
        <v>0</v>
      </c>
      <c r="AD123" s="185" t="n">
        <v>0</v>
      </c>
      <c r="AE123" s="185" t="n">
        <v>0</v>
      </c>
      <c r="AF123" s="185" t="n">
        <v>0</v>
      </c>
      <c r="AG123" s="185" t="n">
        <v>0</v>
      </c>
      <c r="AH123" s="185" t="n">
        <v>0</v>
      </c>
      <c r="AI123" s="185" t="n">
        <v>0</v>
      </c>
      <c r="AJ123" s="185" t="n">
        <v>0</v>
      </c>
      <c r="AK123" s="185" t="n">
        <v>5014.47</v>
      </c>
      <c r="AL123" s="186" t="n">
        <v>0</v>
      </c>
      <c r="AM123" s="30" t="inlineStr">
        <is>
          <t>.</t>
        </is>
      </c>
      <c r="AN123" s="187">
        <f>IF(L123=0,0,Z123/L123)</f>
        <v/>
      </c>
      <c r="AO123" s="57">
        <f>IF(AN123&gt;=1,"🟢",IF(AN123&gt;=0.7,"🟡",IF(AN123&gt;=0.4,"🟠","🔴")))</f>
        <v/>
      </c>
      <c r="AP123" s="185">
        <f>L123-Z123</f>
        <v/>
      </c>
      <c r="AQ123" s="55">
        <f>RANK(Z123,$Z$4:$Z$503,0)</f>
        <v/>
      </c>
      <c r="AR123" s="39" t="inlineStr">
        <is>
          <t>.</t>
        </is>
      </c>
      <c r="AS123" s="27" t="n"/>
      <c r="AT123" s="27" t="n"/>
      <c r="AU123" s="27" t="n"/>
      <c r="AV123" s="27" t="n"/>
      <c r="AW123" s="27" t="n"/>
      <c r="AX123" s="27" t="n"/>
      <c r="AY123" s="204" t="n"/>
      <c r="AZ123" s="204" t="n"/>
      <c r="BA123" s="38" t="inlineStr">
        <is>
          <t>.</t>
        </is>
      </c>
      <c r="BB123" s="190">
        <f>SUM(BC123:BN123)</f>
        <v/>
      </c>
      <c r="BC123" s="191">
        <f>L123*0.0702730030</f>
        <v/>
      </c>
      <c r="BD123" s="191">
        <f>L123*0.0734327604</f>
        <v/>
      </c>
      <c r="BE123" s="191">
        <f>L123*0.0752022245</f>
        <v/>
      </c>
      <c r="BF123" s="191">
        <f>L123*0.0771612740</f>
        <v/>
      </c>
      <c r="BG123" s="191">
        <f>L123*0.0796890799</f>
        <v/>
      </c>
      <c r="BH123" s="191">
        <f>L123*0.0817745197</f>
        <v/>
      </c>
      <c r="BI123" s="191">
        <f>L123*0.0849342770</f>
        <v/>
      </c>
      <c r="BJ123" s="191">
        <f>L123*0.0870197169</f>
        <v/>
      </c>
      <c r="BK123" s="191">
        <f>L123*0.0889787664</f>
        <v/>
      </c>
      <c r="BL123" s="191">
        <f>L123*0.0911905966</f>
        <v/>
      </c>
      <c r="BM123" s="191">
        <f>L123*0.0935920121</f>
        <v/>
      </c>
      <c r="BN123" s="192">
        <f>L123*0.0967517695</f>
        <v/>
      </c>
      <c r="BO123" s="36" t="inlineStr">
        <is>
          <t>.</t>
        </is>
      </c>
      <c r="BP123" s="193">
        <f>SUM(BQ123:CB123)</f>
        <v/>
      </c>
      <c r="BQ123" s="191">
        <f>MAX(0,BC123-AA123)</f>
        <v/>
      </c>
      <c r="BR123" s="191">
        <f>MAX(0,BD123-AB123)</f>
        <v/>
      </c>
      <c r="BS123" s="191">
        <f>MAX(0,BE123-AC123)</f>
        <v/>
      </c>
      <c r="BT123" s="191">
        <f>MAX(0,BF123-AD123)</f>
        <v/>
      </c>
      <c r="BU123" s="191">
        <f>MAX(0,BG123-AE123)</f>
        <v/>
      </c>
      <c r="BV123" s="191">
        <f>MAX(0,BH123-AF123)</f>
        <v/>
      </c>
      <c r="BW123" s="191">
        <f>MAX(0,BI123-AG123)</f>
        <v/>
      </c>
      <c r="BX123" s="191">
        <f>MAX(0,BJ123-AH123)</f>
        <v/>
      </c>
      <c r="BY123" s="191">
        <f>MAX(0,BK123-AI123)</f>
        <v/>
      </c>
      <c r="BZ123" s="191">
        <f>MAX(0,BL123-AJ123)</f>
        <v/>
      </c>
      <c r="CA123" s="191">
        <f>MAX(0,BM123-AK123)</f>
        <v/>
      </c>
      <c r="CB123" s="192">
        <f>MAX(0,BN123-AL123)</f>
        <v/>
      </c>
    </row>
    <row r="124">
      <c r="A124" s="64" t="inlineStr">
        <is>
          <t>21691717000105</t>
        </is>
      </c>
      <c r="B124" s="57" t="inlineStr">
        <is>
          <t>ARMAZEM DA 18 COMERCIO DE ALIMENTOS LTDA</t>
        </is>
      </c>
      <c r="C124" s="57" t="inlineStr">
        <is>
          <t>SEM GRUPO</t>
        </is>
      </c>
      <c r="D124" s="61" t="inlineStr">
        <is>
          <t>HEMANUELE DITZEL (MANU)</t>
        </is>
      </c>
      <c r="E124" s="30" t="inlineStr">
        <is>
          <t>.</t>
        </is>
      </c>
      <c r="F124" s="63" t="n"/>
      <c r="G124" s="179" t="n"/>
      <c r="H124" s="57" t="n"/>
      <c r="I124" s="57" t="n"/>
      <c r="J124" s="61" t="n"/>
      <c r="K124" s="30" t="inlineStr">
        <is>
          <t>.</t>
        </is>
      </c>
      <c r="L124" s="180" t="n">
        <v>9339.570000000002</v>
      </c>
      <c r="M124" s="181" t="n">
        <v>656.3200000000001</v>
      </c>
      <c r="N124" s="181" t="n">
        <v>685.83</v>
      </c>
      <c r="O124" s="181" t="n">
        <v>702.36</v>
      </c>
      <c r="P124" s="181" t="n">
        <v>720.65</v>
      </c>
      <c r="Q124" s="181" t="n">
        <v>744.26</v>
      </c>
      <c r="R124" s="181" t="n">
        <v>763.74</v>
      </c>
      <c r="S124" s="181" t="n">
        <v>793.25</v>
      </c>
      <c r="T124" s="181" t="n">
        <v>812.73</v>
      </c>
      <c r="U124" s="181" t="n">
        <v>831.02</v>
      </c>
      <c r="V124" s="181" t="n">
        <v>851.6799999999999</v>
      </c>
      <c r="W124" s="181" t="n">
        <v>874.11</v>
      </c>
      <c r="X124" s="182" t="n">
        <v>903.62</v>
      </c>
      <c r="Y124" s="183" t="inlineStr">
        <is>
          <t>.</t>
        </is>
      </c>
      <c r="Z124" s="184">
        <f>SUM(AA124:AL124)</f>
        <v/>
      </c>
      <c r="AA124" s="185" t="n">
        <v>0</v>
      </c>
      <c r="AB124" s="185" t="n">
        <v>3341.61</v>
      </c>
      <c r="AC124" s="185" t="n">
        <v>0</v>
      </c>
      <c r="AD124" s="185" t="n">
        <v>630.59</v>
      </c>
      <c r="AE124" s="185" t="n">
        <v>0</v>
      </c>
      <c r="AF124" s="185" t="n">
        <v>0</v>
      </c>
      <c r="AG124" s="185" t="n">
        <v>1063.13</v>
      </c>
      <c r="AH124" s="185" t="n">
        <v>0</v>
      </c>
      <c r="AI124" s="185" t="n">
        <v>0</v>
      </c>
      <c r="AJ124" s="185" t="n">
        <v>1217.92</v>
      </c>
      <c r="AK124" s="185" t="n">
        <v>0</v>
      </c>
      <c r="AL124" s="186" t="n">
        <v>0</v>
      </c>
      <c r="AM124" s="30" t="inlineStr">
        <is>
          <t>.</t>
        </is>
      </c>
      <c r="AN124" s="187">
        <f>IF(L124=0,0,Z124/L124)</f>
        <v/>
      </c>
      <c r="AO124" s="57">
        <f>IF(AN124&gt;=1,"🟢",IF(AN124&gt;=0.7,"🟡",IF(AN124&gt;=0.4,"🟠","🔴")))</f>
        <v/>
      </c>
      <c r="AP124" s="185">
        <f>L124-Z124</f>
        <v/>
      </c>
      <c r="AQ124" s="55">
        <f>RANK(Z124,$Z$4:$Z$503,0)</f>
        <v/>
      </c>
      <c r="AR124" s="39" t="inlineStr">
        <is>
          <t>.</t>
        </is>
      </c>
      <c r="AS124" s="27" t="n"/>
      <c r="AT124" s="27" t="n"/>
      <c r="AU124" s="27" t="n"/>
      <c r="AV124" s="27" t="n"/>
      <c r="AW124" s="27" t="n"/>
      <c r="AX124" s="27" t="n"/>
      <c r="AY124" s="204" t="n"/>
      <c r="AZ124" s="204" t="n"/>
      <c r="BA124" s="38" t="inlineStr">
        <is>
          <t>.</t>
        </is>
      </c>
      <c r="BB124" s="190">
        <f>SUM(BC124:BN124)</f>
        <v/>
      </c>
      <c r="BC124" s="191">
        <f>L124*0.0702730030</f>
        <v/>
      </c>
      <c r="BD124" s="191">
        <f>L124*0.0734327604</f>
        <v/>
      </c>
      <c r="BE124" s="191">
        <f>L124*0.0752022245</f>
        <v/>
      </c>
      <c r="BF124" s="191">
        <f>L124*0.0771612740</f>
        <v/>
      </c>
      <c r="BG124" s="191">
        <f>L124*0.0796890799</f>
        <v/>
      </c>
      <c r="BH124" s="191">
        <f>L124*0.0817745197</f>
        <v/>
      </c>
      <c r="BI124" s="191">
        <f>L124*0.0849342770</f>
        <v/>
      </c>
      <c r="BJ124" s="191">
        <f>L124*0.0870197169</f>
        <v/>
      </c>
      <c r="BK124" s="191">
        <f>L124*0.0889787664</f>
        <v/>
      </c>
      <c r="BL124" s="191">
        <f>L124*0.0911905966</f>
        <v/>
      </c>
      <c r="BM124" s="191">
        <f>L124*0.0935920121</f>
        <v/>
      </c>
      <c r="BN124" s="192">
        <f>L124*0.0967517695</f>
        <v/>
      </c>
      <c r="BO124" s="36" t="inlineStr">
        <is>
          <t>.</t>
        </is>
      </c>
      <c r="BP124" s="193">
        <f>SUM(BQ124:CB124)</f>
        <v/>
      </c>
      <c r="BQ124" s="191">
        <f>MAX(0,BC124-AA124)</f>
        <v/>
      </c>
      <c r="BR124" s="191">
        <f>MAX(0,BD124-AB124)</f>
        <v/>
      </c>
      <c r="BS124" s="191">
        <f>MAX(0,BE124-AC124)</f>
        <v/>
      </c>
      <c r="BT124" s="191">
        <f>MAX(0,BF124-AD124)</f>
        <v/>
      </c>
      <c r="BU124" s="191">
        <f>MAX(0,BG124-AE124)</f>
        <v/>
      </c>
      <c r="BV124" s="191">
        <f>MAX(0,BH124-AF124)</f>
        <v/>
      </c>
      <c r="BW124" s="191">
        <f>MAX(0,BI124-AG124)</f>
        <v/>
      </c>
      <c r="BX124" s="191">
        <f>MAX(0,BJ124-AH124)</f>
        <v/>
      </c>
      <c r="BY124" s="191">
        <f>MAX(0,BK124-AI124)</f>
        <v/>
      </c>
      <c r="BZ124" s="191">
        <f>MAX(0,BL124-AJ124)</f>
        <v/>
      </c>
      <c r="CA124" s="191">
        <f>MAX(0,BM124-AK124)</f>
        <v/>
      </c>
      <c r="CB124" s="192">
        <f>MAX(0,BN124-AL124)</f>
        <v/>
      </c>
    </row>
    <row r="125">
      <c r="A125" s="64" t="inlineStr">
        <is>
          <t>62253704000123</t>
        </is>
      </c>
      <c r="B125" s="57" t="inlineStr">
        <is>
          <t>CASA MACHADO LTDA - ME</t>
        </is>
      </c>
      <c r="C125" s="57" t="inlineStr">
        <is>
          <t>SEM GRUPO</t>
        </is>
      </c>
      <c r="D125" s="61" t="inlineStr">
        <is>
          <t>LARISSA PADILHA</t>
        </is>
      </c>
      <c r="E125" s="30" t="inlineStr">
        <is>
          <t>.</t>
        </is>
      </c>
      <c r="F125" s="63" t="n"/>
      <c r="G125" s="179" t="n"/>
      <c r="H125" s="57" t="n"/>
      <c r="I125" s="57" t="n"/>
      <c r="J125" s="61" t="n"/>
      <c r="K125" s="30" t="inlineStr">
        <is>
          <t>.</t>
        </is>
      </c>
      <c r="L125" s="180" t="n">
        <v>9317.349999999999</v>
      </c>
      <c r="M125" s="181" t="n">
        <v>654.76</v>
      </c>
      <c r="N125" s="181" t="n">
        <v>684.2</v>
      </c>
      <c r="O125" s="181" t="n">
        <v>700.6900000000001</v>
      </c>
      <c r="P125" s="181" t="n">
        <v>718.9400000000001</v>
      </c>
      <c r="Q125" s="181" t="n">
        <v>742.49</v>
      </c>
      <c r="R125" s="181" t="n">
        <v>761.92</v>
      </c>
      <c r="S125" s="181" t="n">
        <v>791.36</v>
      </c>
      <c r="T125" s="181" t="n">
        <v>810.79</v>
      </c>
      <c r="U125" s="181" t="n">
        <v>829.05</v>
      </c>
      <c r="V125" s="181" t="n">
        <v>849.65</v>
      </c>
      <c r="W125" s="181" t="n">
        <v>872.03</v>
      </c>
      <c r="X125" s="182" t="n">
        <v>901.47</v>
      </c>
      <c r="Y125" s="183" t="inlineStr">
        <is>
          <t>.</t>
        </is>
      </c>
      <c r="Z125" s="184">
        <f>SUM(AA125:AL125)</f>
        <v/>
      </c>
      <c r="AA125" s="185" t="n">
        <v>0</v>
      </c>
      <c r="AB125" s="185" t="n">
        <v>0</v>
      </c>
      <c r="AC125" s="185" t="n">
        <v>0</v>
      </c>
      <c r="AD125" s="185" t="n">
        <v>0</v>
      </c>
      <c r="AE125" s="185" t="n">
        <v>0</v>
      </c>
      <c r="AF125" s="185" t="n">
        <v>0</v>
      </c>
      <c r="AG125" s="185" t="n">
        <v>0</v>
      </c>
      <c r="AH125" s="185" t="n">
        <v>0</v>
      </c>
      <c r="AI125" s="185" t="n">
        <v>0</v>
      </c>
      <c r="AJ125" s="185" t="n">
        <v>0</v>
      </c>
      <c r="AK125" s="185" t="n">
        <v>0</v>
      </c>
      <c r="AL125" s="186" t="n">
        <v>4106.43</v>
      </c>
      <c r="AM125" s="30" t="inlineStr">
        <is>
          <t>.</t>
        </is>
      </c>
      <c r="AN125" s="187">
        <f>IF(L125=0,0,Z125/L125)</f>
        <v/>
      </c>
      <c r="AO125" s="57">
        <f>IF(AN125&gt;=1,"🟢",IF(AN125&gt;=0.7,"🟡",IF(AN125&gt;=0.4,"🟠","🔴")))</f>
        <v/>
      </c>
      <c r="AP125" s="185">
        <f>L125-Z125</f>
        <v/>
      </c>
      <c r="AQ125" s="55">
        <f>RANK(Z125,$Z$4:$Z$503,0)</f>
        <v/>
      </c>
      <c r="AR125" s="39" t="inlineStr">
        <is>
          <t>.</t>
        </is>
      </c>
      <c r="AS125" s="27" t="n"/>
      <c r="AT125" s="27" t="n"/>
      <c r="AU125" s="27" t="n"/>
      <c r="AV125" s="27" t="n"/>
      <c r="AW125" s="27" t="n"/>
      <c r="AX125" s="27" t="n"/>
      <c r="AY125" s="204" t="n"/>
      <c r="AZ125" s="204" t="n"/>
      <c r="BA125" s="38" t="inlineStr">
        <is>
          <t>.</t>
        </is>
      </c>
      <c r="BB125" s="190">
        <f>SUM(BC125:BN125)</f>
        <v/>
      </c>
      <c r="BC125" s="191">
        <f>L125*0.0702730030</f>
        <v/>
      </c>
      <c r="BD125" s="191">
        <f>L125*0.0734327604</f>
        <v/>
      </c>
      <c r="BE125" s="191">
        <f>L125*0.0752022245</f>
        <v/>
      </c>
      <c r="BF125" s="191">
        <f>L125*0.0771612740</f>
        <v/>
      </c>
      <c r="BG125" s="191">
        <f>L125*0.0796890799</f>
        <v/>
      </c>
      <c r="BH125" s="191">
        <f>L125*0.0817745197</f>
        <v/>
      </c>
      <c r="BI125" s="191">
        <f>L125*0.0849342770</f>
        <v/>
      </c>
      <c r="BJ125" s="191">
        <f>L125*0.0870197169</f>
        <v/>
      </c>
      <c r="BK125" s="191">
        <f>L125*0.0889787664</f>
        <v/>
      </c>
      <c r="BL125" s="191">
        <f>L125*0.0911905966</f>
        <v/>
      </c>
      <c r="BM125" s="191">
        <f>L125*0.0935920121</f>
        <v/>
      </c>
      <c r="BN125" s="192">
        <f>L125*0.0967517695</f>
        <v/>
      </c>
      <c r="BO125" s="36" t="inlineStr">
        <is>
          <t>.</t>
        </is>
      </c>
      <c r="BP125" s="193">
        <f>SUM(BQ125:CB125)</f>
        <v/>
      </c>
      <c r="BQ125" s="191">
        <f>MAX(0,BC125-AA125)</f>
        <v/>
      </c>
      <c r="BR125" s="191">
        <f>MAX(0,BD125-AB125)</f>
        <v/>
      </c>
      <c r="BS125" s="191">
        <f>MAX(0,BE125-AC125)</f>
        <v/>
      </c>
      <c r="BT125" s="191">
        <f>MAX(0,BF125-AD125)</f>
        <v/>
      </c>
      <c r="BU125" s="191">
        <f>MAX(0,BG125-AE125)</f>
        <v/>
      </c>
      <c r="BV125" s="191">
        <f>MAX(0,BH125-AF125)</f>
        <v/>
      </c>
      <c r="BW125" s="191">
        <f>MAX(0,BI125-AG125)</f>
        <v/>
      </c>
      <c r="BX125" s="191">
        <f>MAX(0,BJ125-AH125)</f>
        <v/>
      </c>
      <c r="BY125" s="191">
        <f>MAX(0,BK125-AI125)</f>
        <v/>
      </c>
      <c r="BZ125" s="191">
        <f>MAX(0,BL125-AJ125)</f>
        <v/>
      </c>
      <c r="CA125" s="191">
        <f>MAX(0,BM125-AK125)</f>
        <v/>
      </c>
      <c r="CB125" s="192">
        <f>MAX(0,BN125-AL125)</f>
        <v/>
      </c>
    </row>
    <row r="126">
      <c r="A126" s="64" t="inlineStr">
        <is>
          <t>49844222000180</t>
        </is>
      </c>
      <c r="B126" s="57" t="inlineStr">
        <is>
          <t>49.844.222 LUIS CARLOS VIEIRA</t>
        </is>
      </c>
      <c r="C126" s="57" t="inlineStr">
        <is>
          <t>SEM GRUPO</t>
        </is>
      </c>
      <c r="D126" s="61" t="inlineStr">
        <is>
          <t>LARISSA PADILHA</t>
        </is>
      </c>
      <c r="E126" s="30" t="inlineStr">
        <is>
          <t>.</t>
        </is>
      </c>
      <c r="F126" s="63" t="n"/>
      <c r="G126" s="179" t="n"/>
      <c r="H126" s="57" t="n"/>
      <c r="I126" s="57" t="n"/>
      <c r="J126" s="61" t="n"/>
      <c r="K126" s="30" t="inlineStr">
        <is>
          <t>.</t>
        </is>
      </c>
      <c r="L126" s="180" t="n">
        <v>9124.34</v>
      </c>
      <c r="M126" s="181" t="n">
        <v>641.1900000000001</v>
      </c>
      <c r="N126" s="181" t="n">
        <v>670.03</v>
      </c>
      <c r="O126" s="181" t="n">
        <v>686.17</v>
      </c>
      <c r="P126" s="181" t="n">
        <v>704.05</v>
      </c>
      <c r="Q126" s="181" t="n">
        <v>727.11</v>
      </c>
      <c r="R126" s="181" t="n">
        <v>746.14</v>
      </c>
      <c r="S126" s="181" t="n">
        <v>774.97</v>
      </c>
      <c r="T126" s="181" t="n">
        <v>794</v>
      </c>
      <c r="U126" s="181" t="n">
        <v>811.87</v>
      </c>
      <c r="V126" s="181" t="n">
        <v>832.05</v>
      </c>
      <c r="W126" s="181" t="n">
        <v>853.96</v>
      </c>
      <c r="X126" s="182" t="n">
        <v>882.8</v>
      </c>
      <c r="Y126" s="183" t="inlineStr">
        <is>
          <t>.</t>
        </is>
      </c>
      <c r="Z126" s="184">
        <f>SUM(AA126:AL126)</f>
        <v/>
      </c>
      <c r="AA126" s="185" t="n">
        <v>0</v>
      </c>
      <c r="AB126" s="185" t="n">
        <v>1889.78</v>
      </c>
      <c r="AC126" s="185" t="n">
        <v>0</v>
      </c>
      <c r="AD126" s="185" t="n">
        <v>0</v>
      </c>
      <c r="AE126" s="185" t="n">
        <v>0</v>
      </c>
      <c r="AF126" s="185" t="n">
        <v>660.5599999999999</v>
      </c>
      <c r="AG126" s="185" t="n">
        <v>0</v>
      </c>
      <c r="AH126" s="185" t="n">
        <v>772.33</v>
      </c>
      <c r="AI126" s="185" t="n">
        <v>0</v>
      </c>
      <c r="AJ126" s="185" t="n">
        <v>937.84</v>
      </c>
      <c r="AK126" s="185" t="n">
        <v>0</v>
      </c>
      <c r="AL126" s="186" t="n">
        <v>933.47</v>
      </c>
      <c r="AM126" s="30" t="inlineStr">
        <is>
          <t>.</t>
        </is>
      </c>
      <c r="AN126" s="187">
        <f>IF(L126=0,0,Z126/L126)</f>
        <v/>
      </c>
      <c r="AO126" s="57">
        <f>IF(AN126&gt;=1,"🟢",IF(AN126&gt;=0.7,"🟡",IF(AN126&gt;=0.4,"🟠","🔴")))</f>
        <v/>
      </c>
      <c r="AP126" s="185">
        <f>L126-Z126</f>
        <v/>
      </c>
      <c r="AQ126" s="55">
        <f>RANK(Z126,$Z$4:$Z$503,0)</f>
        <v/>
      </c>
      <c r="AR126" s="39" t="inlineStr">
        <is>
          <t>.</t>
        </is>
      </c>
      <c r="AS126" s="27" t="n"/>
      <c r="AT126" s="27" t="n"/>
      <c r="AU126" s="27" t="n"/>
      <c r="AV126" s="27" t="n"/>
      <c r="AW126" s="27" t="n"/>
      <c r="AX126" s="27" t="n"/>
      <c r="AY126" s="204" t="n"/>
      <c r="AZ126" s="204" t="n"/>
      <c r="BA126" s="38" t="inlineStr">
        <is>
          <t>.</t>
        </is>
      </c>
      <c r="BB126" s="190">
        <f>SUM(BC126:BN126)</f>
        <v/>
      </c>
      <c r="BC126" s="191">
        <f>L126*0.0702730030</f>
        <v/>
      </c>
      <c r="BD126" s="191">
        <f>L126*0.0734327604</f>
        <v/>
      </c>
      <c r="BE126" s="191">
        <f>L126*0.0752022245</f>
        <v/>
      </c>
      <c r="BF126" s="191">
        <f>L126*0.0771612740</f>
        <v/>
      </c>
      <c r="BG126" s="191">
        <f>L126*0.0796890799</f>
        <v/>
      </c>
      <c r="BH126" s="191">
        <f>L126*0.0817745197</f>
        <v/>
      </c>
      <c r="BI126" s="191">
        <f>L126*0.0849342770</f>
        <v/>
      </c>
      <c r="BJ126" s="191">
        <f>L126*0.0870197169</f>
        <v/>
      </c>
      <c r="BK126" s="191">
        <f>L126*0.0889787664</f>
        <v/>
      </c>
      <c r="BL126" s="191">
        <f>L126*0.0911905966</f>
        <v/>
      </c>
      <c r="BM126" s="191">
        <f>L126*0.0935920121</f>
        <v/>
      </c>
      <c r="BN126" s="192">
        <f>L126*0.0967517695</f>
        <v/>
      </c>
      <c r="BO126" s="36" t="inlineStr">
        <is>
          <t>.</t>
        </is>
      </c>
      <c r="BP126" s="193">
        <f>SUM(BQ126:CB126)</f>
        <v/>
      </c>
      <c r="BQ126" s="191">
        <f>MAX(0,BC126-AA126)</f>
        <v/>
      </c>
      <c r="BR126" s="191">
        <f>MAX(0,BD126-AB126)</f>
        <v/>
      </c>
      <c r="BS126" s="191">
        <f>MAX(0,BE126-AC126)</f>
        <v/>
      </c>
      <c r="BT126" s="191">
        <f>MAX(0,BF126-AD126)</f>
        <v/>
      </c>
      <c r="BU126" s="191">
        <f>MAX(0,BG126-AE126)</f>
        <v/>
      </c>
      <c r="BV126" s="191">
        <f>MAX(0,BH126-AF126)</f>
        <v/>
      </c>
      <c r="BW126" s="191">
        <f>MAX(0,BI126-AG126)</f>
        <v/>
      </c>
      <c r="BX126" s="191">
        <f>MAX(0,BJ126-AH126)</f>
        <v/>
      </c>
      <c r="BY126" s="191">
        <f>MAX(0,BK126-AI126)</f>
        <v/>
      </c>
      <c r="BZ126" s="191">
        <f>MAX(0,BL126-AJ126)</f>
        <v/>
      </c>
      <c r="CA126" s="191">
        <f>MAX(0,BM126-AK126)</f>
        <v/>
      </c>
      <c r="CB126" s="192">
        <f>MAX(0,BN126-AL126)</f>
        <v/>
      </c>
    </row>
    <row r="127">
      <c r="A127" s="64" t="inlineStr">
        <is>
          <t>79080602000156</t>
        </is>
      </c>
      <c r="B127" s="57" t="inlineStr">
        <is>
          <t>UNIAO SUL BRASILEIRA DA IGREJA ADVENTIST</t>
        </is>
      </c>
      <c r="C127" s="57" t="inlineStr">
        <is>
          <t>SEM GRUPO</t>
        </is>
      </c>
      <c r="D127" s="61" t="inlineStr">
        <is>
          <t>HEMANUELE DITZEL (MANU)</t>
        </is>
      </c>
      <c r="E127" s="30" t="inlineStr">
        <is>
          <t>.</t>
        </is>
      </c>
      <c r="F127" s="63" t="n"/>
      <c r="G127" s="179" t="n"/>
      <c r="H127" s="57" t="n"/>
      <c r="I127" s="57" t="n"/>
      <c r="J127" s="61" t="n"/>
      <c r="K127" s="30" t="inlineStr">
        <is>
          <t>.</t>
        </is>
      </c>
      <c r="L127" s="180" t="n">
        <v>9118.850000000002</v>
      </c>
      <c r="M127" s="181" t="n">
        <v>640.8099999999999</v>
      </c>
      <c r="N127" s="181" t="n">
        <v>669.62</v>
      </c>
      <c r="O127" s="181" t="n">
        <v>685.76</v>
      </c>
      <c r="P127" s="181" t="n">
        <v>703.62</v>
      </c>
      <c r="Q127" s="181" t="n">
        <v>726.67</v>
      </c>
      <c r="R127" s="181" t="n">
        <v>745.6900000000001</v>
      </c>
      <c r="S127" s="181" t="n">
        <v>774.5</v>
      </c>
      <c r="T127" s="181" t="n">
        <v>793.52</v>
      </c>
      <c r="U127" s="181" t="n">
        <v>811.39</v>
      </c>
      <c r="V127" s="181" t="n">
        <v>831.55</v>
      </c>
      <c r="W127" s="181" t="n">
        <v>853.45</v>
      </c>
      <c r="X127" s="182" t="n">
        <v>882.27</v>
      </c>
      <c r="Y127" s="183" t="inlineStr">
        <is>
          <t>.</t>
        </is>
      </c>
      <c r="Z127" s="184">
        <f>SUM(AA127:AL127)</f>
        <v/>
      </c>
      <c r="AA127" s="185" t="n">
        <v>0</v>
      </c>
      <c r="AB127" s="185" t="n">
        <v>0</v>
      </c>
      <c r="AC127" s="185" t="n">
        <v>2540.17</v>
      </c>
      <c r="AD127" s="185" t="n">
        <v>0</v>
      </c>
      <c r="AE127" s="185" t="n">
        <v>456.4</v>
      </c>
      <c r="AF127" s="185" t="n">
        <v>0</v>
      </c>
      <c r="AG127" s="185" t="n">
        <v>0</v>
      </c>
      <c r="AH127" s="185" t="n">
        <v>0</v>
      </c>
      <c r="AI127" s="185" t="n">
        <v>696.09</v>
      </c>
      <c r="AJ127" s="185" t="n">
        <v>0</v>
      </c>
      <c r="AK127" s="185" t="n">
        <v>0</v>
      </c>
      <c r="AL127" s="186" t="n">
        <v>0</v>
      </c>
      <c r="AM127" s="30" t="inlineStr">
        <is>
          <t>.</t>
        </is>
      </c>
      <c r="AN127" s="187">
        <f>IF(L127=0,0,Z127/L127)</f>
        <v/>
      </c>
      <c r="AO127" s="57">
        <f>IF(AN127&gt;=1,"🟢",IF(AN127&gt;=0.7,"🟡",IF(AN127&gt;=0.4,"🟠","🔴")))</f>
        <v/>
      </c>
      <c r="AP127" s="185">
        <f>L127-Z127</f>
        <v/>
      </c>
      <c r="AQ127" s="55">
        <f>RANK(Z127,$Z$4:$Z$503,0)</f>
        <v/>
      </c>
      <c r="AR127" s="39" t="inlineStr">
        <is>
          <t>.</t>
        </is>
      </c>
      <c r="AS127" s="27" t="n"/>
      <c r="AT127" s="27" t="n"/>
      <c r="AU127" s="27" t="n"/>
      <c r="AV127" s="27" t="n"/>
      <c r="AW127" s="27" t="n"/>
      <c r="AX127" s="27" t="n"/>
      <c r="AY127" s="204" t="n"/>
      <c r="AZ127" s="204" t="n"/>
      <c r="BA127" s="38" t="inlineStr">
        <is>
          <t>.</t>
        </is>
      </c>
      <c r="BB127" s="190">
        <f>SUM(BC127:BN127)</f>
        <v/>
      </c>
      <c r="BC127" s="191">
        <f>L127*0.0702730030</f>
        <v/>
      </c>
      <c r="BD127" s="191">
        <f>L127*0.0734327604</f>
        <v/>
      </c>
      <c r="BE127" s="191">
        <f>L127*0.0752022245</f>
        <v/>
      </c>
      <c r="BF127" s="191">
        <f>L127*0.0771612740</f>
        <v/>
      </c>
      <c r="BG127" s="191">
        <f>L127*0.0796890799</f>
        <v/>
      </c>
      <c r="BH127" s="191">
        <f>L127*0.0817745197</f>
        <v/>
      </c>
      <c r="BI127" s="191">
        <f>L127*0.0849342770</f>
        <v/>
      </c>
      <c r="BJ127" s="191">
        <f>L127*0.0870197169</f>
        <v/>
      </c>
      <c r="BK127" s="191">
        <f>L127*0.0889787664</f>
        <v/>
      </c>
      <c r="BL127" s="191">
        <f>L127*0.0911905966</f>
        <v/>
      </c>
      <c r="BM127" s="191">
        <f>L127*0.0935920121</f>
        <v/>
      </c>
      <c r="BN127" s="192">
        <f>L127*0.0967517695</f>
        <v/>
      </c>
      <c r="BO127" s="36" t="inlineStr">
        <is>
          <t>.</t>
        </is>
      </c>
      <c r="BP127" s="193">
        <f>SUM(BQ127:CB127)</f>
        <v/>
      </c>
      <c r="BQ127" s="191">
        <f>MAX(0,BC127-AA127)</f>
        <v/>
      </c>
      <c r="BR127" s="191">
        <f>MAX(0,BD127-AB127)</f>
        <v/>
      </c>
      <c r="BS127" s="191">
        <f>MAX(0,BE127-AC127)</f>
        <v/>
      </c>
      <c r="BT127" s="191">
        <f>MAX(0,BF127-AD127)</f>
        <v/>
      </c>
      <c r="BU127" s="191">
        <f>MAX(0,BG127-AE127)</f>
        <v/>
      </c>
      <c r="BV127" s="191">
        <f>MAX(0,BH127-AF127)</f>
        <v/>
      </c>
      <c r="BW127" s="191">
        <f>MAX(0,BI127-AG127)</f>
        <v/>
      </c>
      <c r="BX127" s="191">
        <f>MAX(0,BJ127-AH127)</f>
        <v/>
      </c>
      <c r="BY127" s="191">
        <f>MAX(0,BK127-AI127)</f>
        <v/>
      </c>
      <c r="BZ127" s="191">
        <f>MAX(0,BL127-AJ127)</f>
        <v/>
      </c>
      <c r="CA127" s="191">
        <f>MAX(0,BM127-AK127)</f>
        <v/>
      </c>
      <c r="CB127" s="192">
        <f>MAX(0,BN127-AL127)</f>
        <v/>
      </c>
    </row>
    <row r="128">
      <c r="A128" s="64" t="inlineStr">
        <is>
          <t>27277961000102</t>
        </is>
      </c>
      <c r="B128" s="57" t="inlineStr">
        <is>
          <t>SUPERMERCADOS PAGOTO LTDA</t>
        </is>
      </c>
      <c r="C128" s="57" t="inlineStr">
        <is>
          <t>SEM GRUPO</t>
        </is>
      </c>
      <c r="D128" s="61" t="inlineStr">
        <is>
          <t>LARISSA PADILHA</t>
        </is>
      </c>
      <c r="E128" s="30" t="inlineStr">
        <is>
          <t>.</t>
        </is>
      </c>
      <c r="F128" s="63" t="n"/>
      <c r="G128" s="179" t="n"/>
      <c r="H128" s="57" t="n"/>
      <c r="I128" s="57" t="n"/>
      <c r="J128" s="61" t="n"/>
      <c r="K128" s="30" t="inlineStr">
        <is>
          <t>.</t>
        </is>
      </c>
      <c r="L128" s="180" t="n">
        <v>9054.4</v>
      </c>
      <c r="M128" s="181" t="n">
        <v>636.28</v>
      </c>
      <c r="N128" s="181" t="n">
        <v>664.89</v>
      </c>
      <c r="O128" s="181" t="n">
        <v>680.91</v>
      </c>
      <c r="P128" s="181" t="n">
        <v>698.65</v>
      </c>
      <c r="Q128" s="181" t="n">
        <v>721.54</v>
      </c>
      <c r="R128" s="181" t="n">
        <v>740.42</v>
      </c>
      <c r="S128" s="181" t="n">
        <v>769.03</v>
      </c>
      <c r="T128" s="181" t="n">
        <v>787.91</v>
      </c>
      <c r="U128" s="181" t="n">
        <v>805.65</v>
      </c>
      <c r="V128" s="181" t="n">
        <v>825.67</v>
      </c>
      <c r="W128" s="181" t="n">
        <v>847.42</v>
      </c>
      <c r="X128" s="182" t="n">
        <v>876.03</v>
      </c>
      <c r="Y128" s="183" t="inlineStr">
        <is>
          <t>.</t>
        </is>
      </c>
      <c r="Z128" s="184">
        <f>SUM(AA128:AL128)</f>
        <v/>
      </c>
      <c r="AA128" s="185" t="n">
        <v>0</v>
      </c>
      <c r="AB128" s="185" t="n">
        <v>0</v>
      </c>
      <c r="AC128" s="185" t="n">
        <v>0</v>
      </c>
      <c r="AD128" s="185" t="n">
        <v>0</v>
      </c>
      <c r="AE128" s="185" t="n">
        <v>0</v>
      </c>
      <c r="AF128" s="185" t="n">
        <v>0</v>
      </c>
      <c r="AG128" s="185" t="n">
        <v>0</v>
      </c>
      <c r="AH128" s="185" t="n">
        <v>0</v>
      </c>
      <c r="AI128" s="185" t="n">
        <v>0</v>
      </c>
      <c r="AJ128" s="185" t="n">
        <v>2183.35</v>
      </c>
      <c r="AK128" s="185" t="n">
        <v>2782.47</v>
      </c>
      <c r="AL128" s="186" t="n">
        <v>0</v>
      </c>
      <c r="AM128" s="30" t="inlineStr">
        <is>
          <t>.</t>
        </is>
      </c>
      <c r="AN128" s="187">
        <f>IF(L128=0,0,Z128/L128)</f>
        <v/>
      </c>
      <c r="AO128" s="57">
        <f>IF(AN128&gt;=1,"🟢",IF(AN128&gt;=0.7,"🟡",IF(AN128&gt;=0.4,"🟠","🔴")))</f>
        <v/>
      </c>
      <c r="AP128" s="185">
        <f>L128-Z128</f>
        <v/>
      </c>
      <c r="AQ128" s="55">
        <f>RANK(Z128,$Z$4:$Z$503,0)</f>
        <v/>
      </c>
      <c r="AR128" s="39" t="inlineStr">
        <is>
          <t>.</t>
        </is>
      </c>
      <c r="AS128" s="27" t="n"/>
      <c r="AT128" s="27" t="n"/>
      <c r="AU128" s="27" t="n"/>
      <c r="AV128" s="27" t="n"/>
      <c r="AW128" s="27" t="n"/>
      <c r="AX128" s="27" t="n"/>
      <c r="AY128" s="204" t="n"/>
      <c r="AZ128" s="204" t="n"/>
      <c r="BA128" s="38" t="inlineStr">
        <is>
          <t>.</t>
        </is>
      </c>
      <c r="BB128" s="190">
        <f>SUM(BC128:BN128)</f>
        <v/>
      </c>
      <c r="BC128" s="191">
        <f>L128*0.0702730030</f>
        <v/>
      </c>
      <c r="BD128" s="191">
        <f>L128*0.0734327604</f>
        <v/>
      </c>
      <c r="BE128" s="191">
        <f>L128*0.0752022245</f>
        <v/>
      </c>
      <c r="BF128" s="191">
        <f>L128*0.0771612740</f>
        <v/>
      </c>
      <c r="BG128" s="191">
        <f>L128*0.0796890799</f>
        <v/>
      </c>
      <c r="BH128" s="191">
        <f>L128*0.0817745197</f>
        <v/>
      </c>
      <c r="BI128" s="191">
        <f>L128*0.0849342770</f>
        <v/>
      </c>
      <c r="BJ128" s="191">
        <f>L128*0.0870197169</f>
        <v/>
      </c>
      <c r="BK128" s="191">
        <f>L128*0.0889787664</f>
        <v/>
      </c>
      <c r="BL128" s="191">
        <f>L128*0.0911905966</f>
        <v/>
      </c>
      <c r="BM128" s="191">
        <f>L128*0.0935920121</f>
        <v/>
      </c>
      <c r="BN128" s="192">
        <f>L128*0.0967517695</f>
        <v/>
      </c>
      <c r="BO128" s="36" t="inlineStr">
        <is>
          <t>.</t>
        </is>
      </c>
      <c r="BP128" s="193">
        <f>SUM(BQ128:CB128)</f>
        <v/>
      </c>
      <c r="BQ128" s="191">
        <f>MAX(0,BC128-AA128)</f>
        <v/>
      </c>
      <c r="BR128" s="191">
        <f>MAX(0,BD128-AB128)</f>
        <v/>
      </c>
      <c r="BS128" s="191">
        <f>MAX(0,BE128-AC128)</f>
        <v/>
      </c>
      <c r="BT128" s="191">
        <f>MAX(0,BF128-AD128)</f>
        <v/>
      </c>
      <c r="BU128" s="191">
        <f>MAX(0,BG128-AE128)</f>
        <v/>
      </c>
      <c r="BV128" s="191">
        <f>MAX(0,BH128-AF128)</f>
        <v/>
      </c>
      <c r="BW128" s="191">
        <f>MAX(0,BI128-AG128)</f>
        <v/>
      </c>
      <c r="BX128" s="191">
        <f>MAX(0,BJ128-AH128)</f>
        <v/>
      </c>
      <c r="BY128" s="191">
        <f>MAX(0,BK128-AI128)</f>
        <v/>
      </c>
      <c r="BZ128" s="191">
        <f>MAX(0,BL128-AJ128)</f>
        <v/>
      </c>
      <c r="CA128" s="191">
        <f>MAX(0,BM128-AK128)</f>
        <v/>
      </c>
      <c r="CB128" s="192">
        <f>MAX(0,BN128-AL128)</f>
        <v/>
      </c>
    </row>
    <row r="129">
      <c r="A129" s="64" t="inlineStr">
        <is>
          <t>06905607000520</t>
        </is>
      </c>
      <c r="B129" s="57" t="inlineStr">
        <is>
          <t>ESMERALDA CONVENIENCIAS LTDA - EPP</t>
        </is>
      </c>
      <c r="C129" s="57" t="inlineStr">
        <is>
          <t>SEM GRUPO</t>
        </is>
      </c>
      <c r="D129" s="61" t="inlineStr">
        <is>
          <t>HEMANUELE DITZEL (MANU)</t>
        </is>
      </c>
      <c r="E129" s="30" t="inlineStr">
        <is>
          <t>.</t>
        </is>
      </c>
      <c r="F129" s="63" t="n"/>
      <c r="G129" s="179" t="n"/>
      <c r="H129" s="57" t="n"/>
      <c r="I129" s="57" t="n"/>
      <c r="J129" s="61" t="n"/>
      <c r="K129" s="30" t="inlineStr">
        <is>
          <t>.</t>
        </is>
      </c>
      <c r="L129" s="180" t="n">
        <v>8887.799999999999</v>
      </c>
      <c r="M129" s="181" t="n">
        <v>624.5700000000001</v>
      </c>
      <c r="N129" s="181" t="n">
        <v>652.66</v>
      </c>
      <c r="O129" s="181" t="n">
        <v>668.38</v>
      </c>
      <c r="P129" s="181" t="n">
        <v>685.79</v>
      </c>
      <c r="Q129" s="181" t="n">
        <v>708.26</v>
      </c>
      <c r="R129" s="181" t="n">
        <v>726.8</v>
      </c>
      <c r="S129" s="181" t="n">
        <v>754.88</v>
      </c>
      <c r="T129" s="181" t="n">
        <v>773.41</v>
      </c>
      <c r="U129" s="181" t="n">
        <v>790.83</v>
      </c>
      <c r="V129" s="181" t="n">
        <v>810.48</v>
      </c>
      <c r="W129" s="181" t="n">
        <v>831.83</v>
      </c>
      <c r="X129" s="182" t="n">
        <v>859.91</v>
      </c>
      <c r="Y129" s="183" t="inlineStr">
        <is>
          <t>.</t>
        </is>
      </c>
      <c r="Z129" s="184">
        <f>SUM(AA129:AL129)</f>
        <v/>
      </c>
      <c r="AA129" s="185" t="n">
        <v>0</v>
      </c>
      <c r="AB129" s="185" t="n">
        <v>0</v>
      </c>
      <c r="AC129" s="185" t="n">
        <v>0</v>
      </c>
      <c r="AD129" s="185" t="n">
        <v>0</v>
      </c>
      <c r="AE129" s="185" t="n">
        <v>3727.21</v>
      </c>
      <c r="AF129" s="185" t="n">
        <v>0</v>
      </c>
      <c r="AG129" s="185" t="n">
        <v>0</v>
      </c>
      <c r="AH129" s="185" t="n">
        <v>0</v>
      </c>
      <c r="AI129" s="185" t="n">
        <v>0</v>
      </c>
      <c r="AJ129" s="185" t="n">
        <v>0</v>
      </c>
      <c r="AK129" s="185" t="n">
        <v>0</v>
      </c>
      <c r="AL129" s="186" t="n">
        <v>0</v>
      </c>
      <c r="AM129" s="30" t="inlineStr">
        <is>
          <t>.</t>
        </is>
      </c>
      <c r="AN129" s="187">
        <f>IF(L129=0,0,Z129/L129)</f>
        <v/>
      </c>
      <c r="AO129" s="57">
        <f>IF(AN129&gt;=1,"🟢",IF(AN129&gt;=0.7,"🟡",IF(AN129&gt;=0.4,"🟠","🔴")))</f>
        <v/>
      </c>
      <c r="AP129" s="185">
        <f>L129-Z129</f>
        <v/>
      </c>
      <c r="AQ129" s="55">
        <f>RANK(Z129,$Z$4:$Z$503,0)</f>
        <v/>
      </c>
      <c r="AR129" s="39" t="inlineStr">
        <is>
          <t>.</t>
        </is>
      </c>
      <c r="AS129" s="27" t="n"/>
      <c r="AT129" s="27" t="n"/>
      <c r="AU129" s="27" t="n"/>
      <c r="AV129" s="27" t="n"/>
      <c r="AW129" s="27" t="n"/>
      <c r="AX129" s="27" t="n"/>
      <c r="AY129" s="204" t="n"/>
      <c r="AZ129" s="204" t="n"/>
      <c r="BA129" s="38" t="inlineStr">
        <is>
          <t>.</t>
        </is>
      </c>
      <c r="BB129" s="190">
        <f>SUM(BC129:BN129)</f>
        <v/>
      </c>
      <c r="BC129" s="191">
        <f>L129*0.0702730030</f>
        <v/>
      </c>
      <c r="BD129" s="191">
        <f>L129*0.0734327604</f>
        <v/>
      </c>
      <c r="BE129" s="191">
        <f>L129*0.0752022245</f>
        <v/>
      </c>
      <c r="BF129" s="191">
        <f>L129*0.0771612740</f>
        <v/>
      </c>
      <c r="BG129" s="191">
        <f>L129*0.0796890799</f>
        <v/>
      </c>
      <c r="BH129" s="191">
        <f>L129*0.0817745197</f>
        <v/>
      </c>
      <c r="BI129" s="191">
        <f>L129*0.0849342770</f>
        <v/>
      </c>
      <c r="BJ129" s="191">
        <f>L129*0.0870197169</f>
        <v/>
      </c>
      <c r="BK129" s="191">
        <f>L129*0.0889787664</f>
        <v/>
      </c>
      <c r="BL129" s="191">
        <f>L129*0.0911905966</f>
        <v/>
      </c>
      <c r="BM129" s="191">
        <f>L129*0.0935920121</f>
        <v/>
      </c>
      <c r="BN129" s="192">
        <f>L129*0.0967517695</f>
        <v/>
      </c>
      <c r="BO129" s="36" t="inlineStr">
        <is>
          <t>.</t>
        </is>
      </c>
      <c r="BP129" s="193">
        <f>SUM(BQ129:CB129)</f>
        <v/>
      </c>
      <c r="BQ129" s="191">
        <f>MAX(0,BC129-AA129)</f>
        <v/>
      </c>
      <c r="BR129" s="191">
        <f>MAX(0,BD129-AB129)</f>
        <v/>
      </c>
      <c r="BS129" s="191">
        <f>MAX(0,BE129-AC129)</f>
        <v/>
      </c>
      <c r="BT129" s="191">
        <f>MAX(0,BF129-AD129)</f>
        <v/>
      </c>
      <c r="BU129" s="191">
        <f>MAX(0,BG129-AE129)</f>
        <v/>
      </c>
      <c r="BV129" s="191">
        <f>MAX(0,BH129-AF129)</f>
        <v/>
      </c>
      <c r="BW129" s="191">
        <f>MAX(0,BI129-AG129)</f>
        <v/>
      </c>
      <c r="BX129" s="191">
        <f>MAX(0,BJ129-AH129)</f>
        <v/>
      </c>
      <c r="BY129" s="191">
        <f>MAX(0,BK129-AI129)</f>
        <v/>
      </c>
      <c r="BZ129" s="191">
        <f>MAX(0,BL129-AJ129)</f>
        <v/>
      </c>
      <c r="CA129" s="191">
        <f>MAX(0,BM129-AK129)</f>
        <v/>
      </c>
      <c r="CB129" s="192">
        <f>MAX(0,BN129-AL129)</f>
        <v/>
      </c>
    </row>
    <row r="130">
      <c r="A130" s="64" t="inlineStr">
        <is>
          <t>77424281000134</t>
        </is>
      </c>
      <c r="B130" s="57" t="inlineStr">
        <is>
          <t>54.487.016 JACKELINE RABELO TARGAS LINO</t>
        </is>
      </c>
      <c r="C130" s="57" t="inlineStr">
        <is>
          <t>SEM GRUPO</t>
        </is>
      </c>
      <c r="D130" s="61" t="inlineStr">
        <is>
          <t>LARISSA PADILHA</t>
        </is>
      </c>
      <c r="E130" s="30" t="inlineStr">
        <is>
          <t>.</t>
        </is>
      </c>
      <c r="F130" s="63" t="n"/>
      <c r="G130" s="179" t="n"/>
      <c r="H130" s="57" t="n"/>
      <c r="I130" s="57" t="n"/>
      <c r="J130" s="61" t="n"/>
      <c r="K130" s="30" t="inlineStr">
        <is>
          <t>.</t>
        </is>
      </c>
      <c r="L130" s="180" t="n">
        <v>8844.73</v>
      </c>
      <c r="M130" s="181" t="n">
        <v>621.55</v>
      </c>
      <c r="N130" s="181" t="n">
        <v>649.49</v>
      </c>
      <c r="O130" s="181" t="n">
        <v>665.14</v>
      </c>
      <c r="P130" s="181" t="n">
        <v>682.47</v>
      </c>
      <c r="Q130" s="181" t="n">
        <v>704.83</v>
      </c>
      <c r="R130" s="181" t="n">
        <v>723.27</v>
      </c>
      <c r="S130" s="181" t="n">
        <v>751.22</v>
      </c>
      <c r="T130" s="181" t="n">
        <v>769.67</v>
      </c>
      <c r="U130" s="181" t="n">
        <v>786.99</v>
      </c>
      <c r="V130" s="181" t="n">
        <v>806.5599999999999</v>
      </c>
      <c r="W130" s="181" t="n">
        <v>827.8</v>
      </c>
      <c r="X130" s="182" t="n">
        <v>855.74</v>
      </c>
      <c r="Y130" s="183" t="inlineStr">
        <is>
          <t>.</t>
        </is>
      </c>
      <c r="Z130" s="184">
        <f>SUM(AA130:AL130)</f>
        <v/>
      </c>
      <c r="AA130" s="185" t="n">
        <v>0</v>
      </c>
      <c r="AB130" s="185" t="n">
        <v>0</v>
      </c>
      <c r="AC130" s="185" t="n">
        <v>0</v>
      </c>
      <c r="AD130" s="185" t="n">
        <v>0</v>
      </c>
      <c r="AE130" s="185" t="n">
        <v>0</v>
      </c>
      <c r="AF130" s="185" t="n">
        <v>0</v>
      </c>
      <c r="AG130" s="185" t="n">
        <v>0</v>
      </c>
      <c r="AH130" s="185" t="n">
        <v>0</v>
      </c>
      <c r="AI130" s="185" t="n">
        <v>0</v>
      </c>
      <c r="AJ130" s="185" t="n">
        <v>991.78</v>
      </c>
      <c r="AK130" s="185" t="n">
        <v>0</v>
      </c>
      <c r="AL130" s="186" t="n">
        <v>0</v>
      </c>
      <c r="AM130" s="30" t="inlineStr">
        <is>
          <t>.</t>
        </is>
      </c>
      <c r="AN130" s="187">
        <f>IF(L130=0,0,Z130/L130)</f>
        <v/>
      </c>
      <c r="AO130" s="57">
        <f>IF(AN130&gt;=1,"🟢",IF(AN130&gt;=0.7,"🟡",IF(AN130&gt;=0.4,"🟠","🔴")))</f>
        <v/>
      </c>
      <c r="AP130" s="185">
        <f>L130-Z130</f>
        <v/>
      </c>
      <c r="AQ130" s="55">
        <f>RANK(Z130,$Z$4:$Z$503,0)</f>
        <v/>
      </c>
      <c r="AR130" s="39" t="inlineStr">
        <is>
          <t>.</t>
        </is>
      </c>
      <c r="AS130" s="27" t="n"/>
      <c r="AT130" s="27" t="n"/>
      <c r="AU130" s="27" t="n"/>
      <c r="AV130" s="27" t="n"/>
      <c r="AW130" s="27" t="n"/>
      <c r="AX130" s="27" t="n"/>
      <c r="AY130" s="204" t="n"/>
      <c r="AZ130" s="204" t="n"/>
      <c r="BA130" s="38" t="inlineStr">
        <is>
          <t>.</t>
        </is>
      </c>
      <c r="BB130" s="190">
        <f>SUM(BC130:BN130)</f>
        <v/>
      </c>
      <c r="BC130" s="191">
        <f>L130*0.0702730030</f>
        <v/>
      </c>
      <c r="BD130" s="191">
        <f>L130*0.0734327604</f>
        <v/>
      </c>
      <c r="BE130" s="191">
        <f>L130*0.0752022245</f>
        <v/>
      </c>
      <c r="BF130" s="191">
        <f>L130*0.0771612740</f>
        <v/>
      </c>
      <c r="BG130" s="191">
        <f>L130*0.0796890799</f>
        <v/>
      </c>
      <c r="BH130" s="191">
        <f>L130*0.0817745197</f>
        <v/>
      </c>
      <c r="BI130" s="191">
        <f>L130*0.0849342770</f>
        <v/>
      </c>
      <c r="BJ130" s="191">
        <f>L130*0.0870197169</f>
        <v/>
      </c>
      <c r="BK130" s="191">
        <f>L130*0.0889787664</f>
        <v/>
      </c>
      <c r="BL130" s="191">
        <f>L130*0.0911905966</f>
        <v/>
      </c>
      <c r="BM130" s="191">
        <f>L130*0.0935920121</f>
        <v/>
      </c>
      <c r="BN130" s="192">
        <f>L130*0.0967517695</f>
        <v/>
      </c>
      <c r="BO130" s="36" t="inlineStr">
        <is>
          <t>.</t>
        </is>
      </c>
      <c r="BP130" s="193">
        <f>SUM(BQ130:CB130)</f>
        <v/>
      </c>
      <c r="BQ130" s="191">
        <f>MAX(0,BC130-AA130)</f>
        <v/>
      </c>
      <c r="BR130" s="191">
        <f>MAX(0,BD130-AB130)</f>
        <v/>
      </c>
      <c r="BS130" s="191">
        <f>MAX(0,BE130-AC130)</f>
        <v/>
      </c>
      <c r="BT130" s="191">
        <f>MAX(0,BF130-AD130)</f>
        <v/>
      </c>
      <c r="BU130" s="191">
        <f>MAX(0,BG130-AE130)</f>
        <v/>
      </c>
      <c r="BV130" s="191">
        <f>MAX(0,BH130-AF130)</f>
        <v/>
      </c>
      <c r="BW130" s="191">
        <f>MAX(0,BI130-AG130)</f>
        <v/>
      </c>
      <c r="BX130" s="191">
        <f>MAX(0,BJ130-AH130)</f>
        <v/>
      </c>
      <c r="BY130" s="191">
        <f>MAX(0,BK130-AI130)</f>
        <v/>
      </c>
      <c r="BZ130" s="191">
        <f>MAX(0,BL130-AJ130)</f>
        <v/>
      </c>
      <c r="CA130" s="191">
        <f>MAX(0,BM130-AK130)</f>
        <v/>
      </c>
      <c r="CB130" s="192">
        <f>MAX(0,BN130-AL130)</f>
        <v/>
      </c>
    </row>
    <row r="131">
      <c r="A131" s="64" t="inlineStr">
        <is>
          <t>49639041000111</t>
        </is>
      </c>
      <c r="B131" s="57" t="inlineStr">
        <is>
          <t>J F COMERCIO DE ALIMENTOS LTDA - EPP</t>
        </is>
      </c>
      <c r="C131" s="57" t="inlineStr">
        <is>
          <t>SEM GRUPO</t>
        </is>
      </c>
      <c r="D131" s="61" t="inlineStr">
        <is>
          <t>LARISSA PADILHA</t>
        </is>
      </c>
      <c r="E131" s="30" t="inlineStr">
        <is>
          <t>.</t>
        </is>
      </c>
      <c r="F131" s="63" t="n"/>
      <c r="G131" s="179" t="n"/>
      <c r="H131" s="57" t="n"/>
      <c r="I131" s="57" t="n"/>
      <c r="J131" s="61" t="n"/>
      <c r="K131" s="30" t="inlineStr">
        <is>
          <t>.</t>
        </is>
      </c>
      <c r="L131" s="180" t="n">
        <v>8842.23</v>
      </c>
      <c r="M131" s="181" t="n">
        <v>621.37</v>
      </c>
      <c r="N131" s="181" t="n">
        <v>649.3099999999999</v>
      </c>
      <c r="O131" s="181" t="n">
        <v>664.95</v>
      </c>
      <c r="P131" s="181" t="n">
        <v>682.28</v>
      </c>
      <c r="Q131" s="181" t="n">
        <v>704.63</v>
      </c>
      <c r="R131" s="181" t="n">
        <v>723.0700000000001</v>
      </c>
      <c r="S131" s="181" t="n">
        <v>751.01</v>
      </c>
      <c r="T131" s="181" t="n">
        <v>769.45</v>
      </c>
      <c r="U131" s="181" t="n">
        <v>786.77</v>
      </c>
      <c r="V131" s="181" t="n">
        <v>806.33</v>
      </c>
      <c r="W131" s="181" t="n">
        <v>827.5599999999999</v>
      </c>
      <c r="X131" s="182" t="n">
        <v>855.5</v>
      </c>
      <c r="Y131" s="183" t="inlineStr">
        <is>
          <t>.</t>
        </is>
      </c>
      <c r="Z131" s="184">
        <f>SUM(AA131:AL131)</f>
        <v/>
      </c>
      <c r="AA131" s="185" t="n">
        <v>0</v>
      </c>
      <c r="AB131" s="185" t="n">
        <v>0</v>
      </c>
      <c r="AC131" s="185" t="n">
        <v>0</v>
      </c>
      <c r="AD131" s="185" t="n">
        <v>0</v>
      </c>
      <c r="AE131" s="185" t="n">
        <v>3587.63</v>
      </c>
      <c r="AF131" s="185" t="n">
        <v>0</v>
      </c>
      <c r="AG131" s="185" t="n">
        <v>0</v>
      </c>
      <c r="AH131" s="185" t="n">
        <v>0</v>
      </c>
      <c r="AI131" s="185" t="n">
        <v>0</v>
      </c>
      <c r="AJ131" s="185" t="n">
        <v>0</v>
      </c>
      <c r="AK131" s="185" t="n">
        <v>0</v>
      </c>
      <c r="AL131" s="186" t="n">
        <v>0</v>
      </c>
      <c r="AM131" s="30" t="inlineStr">
        <is>
          <t>.</t>
        </is>
      </c>
      <c r="AN131" s="187">
        <f>IF(L131=0,0,Z131/L131)</f>
        <v/>
      </c>
      <c r="AO131" s="57">
        <f>IF(AN131&gt;=1,"🟢",IF(AN131&gt;=0.7,"🟡",IF(AN131&gt;=0.4,"🟠","🔴")))</f>
        <v/>
      </c>
      <c r="AP131" s="185">
        <f>L131-Z131</f>
        <v/>
      </c>
      <c r="AQ131" s="55">
        <f>RANK(Z131,$Z$4:$Z$503,0)</f>
        <v/>
      </c>
      <c r="AR131" s="39" t="inlineStr">
        <is>
          <t>.</t>
        </is>
      </c>
      <c r="AS131" s="27" t="n"/>
      <c r="AT131" s="27" t="n"/>
      <c r="AU131" s="27" t="n"/>
      <c r="AV131" s="27" t="n"/>
      <c r="AW131" s="27" t="n"/>
      <c r="AX131" s="27" t="n"/>
      <c r="AY131" s="204" t="n"/>
      <c r="AZ131" s="204" t="n"/>
      <c r="BA131" s="38" t="inlineStr">
        <is>
          <t>.</t>
        </is>
      </c>
      <c r="BB131" s="190">
        <f>SUM(BC131:BN131)</f>
        <v/>
      </c>
      <c r="BC131" s="191">
        <f>L131*0.0702730030</f>
        <v/>
      </c>
      <c r="BD131" s="191">
        <f>L131*0.0734327604</f>
        <v/>
      </c>
      <c r="BE131" s="191">
        <f>L131*0.0752022245</f>
        <v/>
      </c>
      <c r="BF131" s="191">
        <f>L131*0.0771612740</f>
        <v/>
      </c>
      <c r="BG131" s="191">
        <f>L131*0.0796890799</f>
        <v/>
      </c>
      <c r="BH131" s="191">
        <f>L131*0.0817745197</f>
        <v/>
      </c>
      <c r="BI131" s="191">
        <f>L131*0.0849342770</f>
        <v/>
      </c>
      <c r="BJ131" s="191">
        <f>L131*0.0870197169</f>
        <v/>
      </c>
      <c r="BK131" s="191">
        <f>L131*0.0889787664</f>
        <v/>
      </c>
      <c r="BL131" s="191">
        <f>L131*0.0911905966</f>
        <v/>
      </c>
      <c r="BM131" s="191">
        <f>L131*0.0935920121</f>
        <v/>
      </c>
      <c r="BN131" s="192">
        <f>L131*0.0967517695</f>
        <v/>
      </c>
      <c r="BO131" s="36" t="inlineStr">
        <is>
          <t>.</t>
        </is>
      </c>
      <c r="BP131" s="193">
        <f>SUM(BQ131:CB131)</f>
        <v/>
      </c>
      <c r="BQ131" s="191">
        <f>MAX(0,BC131-AA131)</f>
        <v/>
      </c>
      <c r="BR131" s="191">
        <f>MAX(0,BD131-AB131)</f>
        <v/>
      </c>
      <c r="BS131" s="191">
        <f>MAX(0,BE131-AC131)</f>
        <v/>
      </c>
      <c r="BT131" s="191">
        <f>MAX(0,BF131-AD131)</f>
        <v/>
      </c>
      <c r="BU131" s="191">
        <f>MAX(0,BG131-AE131)</f>
        <v/>
      </c>
      <c r="BV131" s="191">
        <f>MAX(0,BH131-AF131)</f>
        <v/>
      </c>
      <c r="BW131" s="191">
        <f>MAX(0,BI131-AG131)</f>
        <v/>
      </c>
      <c r="BX131" s="191">
        <f>MAX(0,BJ131-AH131)</f>
        <v/>
      </c>
      <c r="BY131" s="191">
        <f>MAX(0,BK131-AI131)</f>
        <v/>
      </c>
      <c r="BZ131" s="191">
        <f>MAX(0,BL131-AJ131)</f>
        <v/>
      </c>
      <c r="CA131" s="191">
        <f>MAX(0,BM131-AK131)</f>
        <v/>
      </c>
      <c r="CB131" s="192">
        <f>MAX(0,BN131-AL131)</f>
        <v/>
      </c>
    </row>
    <row r="132">
      <c r="A132" s="64" t="inlineStr">
        <is>
          <t>06905607000288</t>
        </is>
      </c>
      <c r="B132" s="57" t="inlineStr">
        <is>
          <t>ESMERALDA CONVENIENCIAS LTDA - EPP</t>
        </is>
      </c>
      <c r="C132" s="57" t="inlineStr">
        <is>
          <t>SEM GRUPO</t>
        </is>
      </c>
      <c r="D132" s="61" t="inlineStr">
        <is>
          <t>HEMANUELE DITZEL (MANU)</t>
        </is>
      </c>
      <c r="E132" s="30" t="inlineStr">
        <is>
          <t>.</t>
        </is>
      </c>
      <c r="F132" s="63" t="n"/>
      <c r="G132" s="179" t="n"/>
      <c r="H132" s="57" t="n"/>
      <c r="I132" s="57" t="n"/>
      <c r="J132" s="61" t="n"/>
      <c r="K132" s="30" t="inlineStr">
        <is>
          <t>.</t>
        </is>
      </c>
      <c r="L132" s="180" t="n">
        <v>8826.719999999999</v>
      </c>
      <c r="M132" s="181" t="n">
        <v>620.28</v>
      </c>
      <c r="N132" s="181" t="n">
        <v>648.17</v>
      </c>
      <c r="O132" s="181" t="n">
        <v>663.79</v>
      </c>
      <c r="P132" s="181" t="n">
        <v>681.08</v>
      </c>
      <c r="Q132" s="181" t="n">
        <v>703.39</v>
      </c>
      <c r="R132" s="181" t="n">
        <v>721.8</v>
      </c>
      <c r="S132" s="181" t="n">
        <v>749.6900000000001</v>
      </c>
      <c r="T132" s="181" t="n">
        <v>768.1</v>
      </c>
      <c r="U132" s="181" t="n">
        <v>785.39</v>
      </c>
      <c r="V132" s="181" t="n">
        <v>804.92</v>
      </c>
      <c r="W132" s="181" t="n">
        <v>826.11</v>
      </c>
      <c r="X132" s="182" t="n">
        <v>854</v>
      </c>
      <c r="Y132" s="183" t="inlineStr">
        <is>
          <t>.</t>
        </is>
      </c>
      <c r="Z132" s="184">
        <f>SUM(AA132:AL132)</f>
        <v/>
      </c>
      <c r="AA132" s="185" t="n">
        <v>0</v>
      </c>
      <c r="AB132" s="185" t="n">
        <v>0</v>
      </c>
      <c r="AC132" s="185" t="n">
        <v>0</v>
      </c>
      <c r="AD132" s="185" t="n">
        <v>0</v>
      </c>
      <c r="AE132" s="185" t="n">
        <v>3702.43</v>
      </c>
      <c r="AF132" s="185" t="n">
        <v>0</v>
      </c>
      <c r="AG132" s="185" t="n">
        <v>0</v>
      </c>
      <c r="AH132" s="185" t="n">
        <v>0</v>
      </c>
      <c r="AI132" s="185" t="n">
        <v>0</v>
      </c>
      <c r="AJ132" s="185" t="n">
        <v>0</v>
      </c>
      <c r="AK132" s="185" t="n">
        <v>0</v>
      </c>
      <c r="AL132" s="186" t="n">
        <v>0</v>
      </c>
      <c r="AM132" s="30" t="inlineStr">
        <is>
          <t>.</t>
        </is>
      </c>
      <c r="AN132" s="187">
        <f>IF(L132=0,0,Z132/L132)</f>
        <v/>
      </c>
      <c r="AO132" s="57">
        <f>IF(AN132&gt;=1,"🟢",IF(AN132&gt;=0.7,"🟡",IF(AN132&gt;=0.4,"🟠","🔴")))</f>
        <v/>
      </c>
      <c r="AP132" s="185">
        <f>L132-Z132</f>
        <v/>
      </c>
      <c r="AQ132" s="55">
        <f>RANK(Z132,$Z$4:$Z$503,0)</f>
        <v/>
      </c>
      <c r="AR132" s="39" t="inlineStr">
        <is>
          <t>.</t>
        </is>
      </c>
      <c r="AS132" s="27" t="n"/>
      <c r="AT132" s="27" t="n"/>
      <c r="AU132" s="27" t="n"/>
      <c r="AV132" s="27" t="n"/>
      <c r="AW132" s="27" t="n"/>
      <c r="AX132" s="27" t="n"/>
      <c r="AY132" s="204" t="n"/>
      <c r="AZ132" s="204" t="n"/>
      <c r="BA132" s="38" t="inlineStr">
        <is>
          <t>.</t>
        </is>
      </c>
      <c r="BB132" s="190">
        <f>SUM(BC132:BN132)</f>
        <v/>
      </c>
      <c r="BC132" s="191">
        <f>L132*0.0702730030</f>
        <v/>
      </c>
      <c r="BD132" s="191">
        <f>L132*0.0734327604</f>
        <v/>
      </c>
      <c r="BE132" s="191">
        <f>L132*0.0752022245</f>
        <v/>
      </c>
      <c r="BF132" s="191">
        <f>L132*0.0771612740</f>
        <v/>
      </c>
      <c r="BG132" s="191">
        <f>L132*0.0796890799</f>
        <v/>
      </c>
      <c r="BH132" s="191">
        <f>L132*0.0817745197</f>
        <v/>
      </c>
      <c r="BI132" s="191">
        <f>L132*0.0849342770</f>
        <v/>
      </c>
      <c r="BJ132" s="191">
        <f>L132*0.0870197169</f>
        <v/>
      </c>
      <c r="BK132" s="191">
        <f>L132*0.0889787664</f>
        <v/>
      </c>
      <c r="BL132" s="191">
        <f>L132*0.0911905966</f>
        <v/>
      </c>
      <c r="BM132" s="191">
        <f>L132*0.0935920121</f>
        <v/>
      </c>
      <c r="BN132" s="192">
        <f>L132*0.0967517695</f>
        <v/>
      </c>
      <c r="BO132" s="36" t="inlineStr">
        <is>
          <t>.</t>
        </is>
      </c>
      <c r="BP132" s="193">
        <f>SUM(BQ132:CB132)</f>
        <v/>
      </c>
      <c r="BQ132" s="191">
        <f>MAX(0,BC132-AA132)</f>
        <v/>
      </c>
      <c r="BR132" s="191">
        <f>MAX(0,BD132-AB132)</f>
        <v/>
      </c>
      <c r="BS132" s="191">
        <f>MAX(0,BE132-AC132)</f>
        <v/>
      </c>
      <c r="BT132" s="191">
        <f>MAX(0,BF132-AD132)</f>
        <v/>
      </c>
      <c r="BU132" s="191">
        <f>MAX(0,BG132-AE132)</f>
        <v/>
      </c>
      <c r="BV132" s="191">
        <f>MAX(0,BH132-AF132)</f>
        <v/>
      </c>
      <c r="BW132" s="191">
        <f>MAX(0,BI132-AG132)</f>
        <v/>
      </c>
      <c r="BX132" s="191">
        <f>MAX(0,BJ132-AH132)</f>
        <v/>
      </c>
      <c r="BY132" s="191">
        <f>MAX(0,BK132-AI132)</f>
        <v/>
      </c>
      <c r="BZ132" s="191">
        <f>MAX(0,BL132-AJ132)</f>
        <v/>
      </c>
      <c r="CA132" s="191">
        <f>MAX(0,BM132-AK132)</f>
        <v/>
      </c>
      <c r="CB132" s="192">
        <f>MAX(0,BN132-AL132)</f>
        <v/>
      </c>
    </row>
    <row r="133">
      <c r="A133" s="64" t="inlineStr">
        <is>
          <t>50342650000193</t>
        </is>
      </c>
      <c r="B133" s="57" t="inlineStr">
        <is>
          <t>50.342.650 PRISCILA LILIANE ROSSETO - ME</t>
        </is>
      </c>
      <c r="C133" s="57" t="inlineStr">
        <is>
          <t>SEM GRUPO</t>
        </is>
      </c>
      <c r="D133" s="61" t="inlineStr">
        <is>
          <t>LARISSA PADILHA</t>
        </is>
      </c>
      <c r="E133" s="30" t="inlineStr">
        <is>
          <t>.</t>
        </is>
      </c>
      <c r="F133" s="63" t="n"/>
      <c r="G133" s="179" t="n"/>
      <c r="H133" s="57" t="n"/>
      <c r="I133" s="57" t="n"/>
      <c r="J133" s="61" t="n"/>
      <c r="K133" s="30" t="inlineStr">
        <is>
          <t>.</t>
        </is>
      </c>
      <c r="L133" s="180" t="n">
        <v>8805.329999999998</v>
      </c>
      <c r="M133" s="181" t="n">
        <v>618.78</v>
      </c>
      <c r="N133" s="181" t="n">
        <v>646.6</v>
      </c>
      <c r="O133" s="181" t="n">
        <v>662.1799999999999</v>
      </c>
      <c r="P133" s="181" t="n">
        <v>679.4299999999999</v>
      </c>
      <c r="Q133" s="181" t="n">
        <v>701.6900000000001</v>
      </c>
      <c r="R133" s="181" t="n">
        <v>720.05</v>
      </c>
      <c r="S133" s="181" t="n">
        <v>747.87</v>
      </c>
      <c r="T133" s="181" t="n">
        <v>766.24</v>
      </c>
      <c r="U133" s="181" t="n">
        <v>783.49</v>
      </c>
      <c r="V133" s="181" t="n">
        <v>802.96</v>
      </c>
      <c r="W133" s="181" t="n">
        <v>824.11</v>
      </c>
      <c r="X133" s="182" t="n">
        <v>851.9299999999999</v>
      </c>
      <c r="Y133" s="183" t="inlineStr">
        <is>
          <t>.</t>
        </is>
      </c>
      <c r="Z133" s="184">
        <f>SUM(AA133:AL133)</f>
        <v/>
      </c>
      <c r="AA133" s="185" t="n">
        <v>0</v>
      </c>
      <c r="AB133" s="185" t="n">
        <v>0</v>
      </c>
      <c r="AC133" s="185" t="n">
        <v>0</v>
      </c>
      <c r="AD133" s="185" t="n">
        <v>0</v>
      </c>
      <c r="AE133" s="185" t="n">
        <v>0</v>
      </c>
      <c r="AF133" s="185" t="n">
        <v>0</v>
      </c>
      <c r="AG133" s="185" t="n">
        <v>0</v>
      </c>
      <c r="AH133" s="185" t="n">
        <v>732.3</v>
      </c>
      <c r="AI133" s="185" t="n">
        <v>801.29</v>
      </c>
      <c r="AJ133" s="185" t="n">
        <v>1914.35</v>
      </c>
      <c r="AK133" s="185" t="n">
        <v>1031.21</v>
      </c>
      <c r="AL133" s="186" t="n">
        <v>0</v>
      </c>
      <c r="AM133" s="222" t="n">
        <v>1083.95</v>
      </c>
      <c r="AN133" s="187">
        <f>IF(L133=0,0,Z133/L133)</f>
        <v/>
      </c>
      <c r="AO133" s="57">
        <f>IF(AN133&gt;=1,"🟢",IF(AN133&gt;=0.7,"🟡",IF(AN133&gt;=0.4,"🟠","🔴")))</f>
        <v/>
      </c>
      <c r="AP133" s="185">
        <f>L133-Z133</f>
        <v/>
      </c>
      <c r="AQ133" s="55">
        <f>RANK(Z133,$Z$4:$Z$503,0)</f>
        <v/>
      </c>
      <c r="AR133" s="39" t="inlineStr">
        <is>
          <t>.</t>
        </is>
      </c>
      <c r="AS133" s="27" t="n"/>
      <c r="AT133" s="27" t="n"/>
      <c r="AU133" s="27" t="n"/>
      <c r="AV133" s="27" t="n"/>
      <c r="AW133" s="27" t="n"/>
      <c r="AX133" s="27" t="n"/>
      <c r="AY133" s="204" t="n"/>
      <c r="AZ133" s="204" t="n"/>
      <c r="BA133" s="38" t="inlineStr">
        <is>
          <t>.</t>
        </is>
      </c>
      <c r="BB133" s="190">
        <f>SUM(BC133:BN133)</f>
        <v/>
      </c>
      <c r="BC133" s="191">
        <f>L133*0.0702730030</f>
        <v/>
      </c>
      <c r="BD133" s="191">
        <f>L133*0.0734327604</f>
        <v/>
      </c>
      <c r="BE133" s="191">
        <f>L133*0.0752022245</f>
        <v/>
      </c>
      <c r="BF133" s="191">
        <f>L133*0.0771612740</f>
        <v/>
      </c>
      <c r="BG133" s="191">
        <f>L133*0.0796890799</f>
        <v/>
      </c>
      <c r="BH133" s="191">
        <f>L133*0.0817745197</f>
        <v/>
      </c>
      <c r="BI133" s="191">
        <f>L133*0.0849342770</f>
        <v/>
      </c>
      <c r="BJ133" s="191">
        <f>L133*0.0870197169</f>
        <v/>
      </c>
      <c r="BK133" s="191">
        <f>L133*0.0889787664</f>
        <v/>
      </c>
      <c r="BL133" s="191">
        <f>L133*0.0911905966</f>
        <v/>
      </c>
      <c r="BM133" s="191">
        <f>L133*0.0935920121</f>
        <v/>
      </c>
      <c r="BN133" s="192">
        <f>L133*0.0967517695</f>
        <v/>
      </c>
      <c r="BO133" s="36" t="inlineStr">
        <is>
          <t>.</t>
        </is>
      </c>
      <c r="BP133" s="193">
        <f>SUM(BQ133:CB133)</f>
        <v/>
      </c>
      <c r="BQ133" s="191">
        <f>MAX(0,BC133-AA133)</f>
        <v/>
      </c>
      <c r="BR133" s="191">
        <f>MAX(0,BD133-AB133)</f>
        <v/>
      </c>
      <c r="BS133" s="191">
        <f>MAX(0,BE133-AC133)</f>
        <v/>
      </c>
      <c r="BT133" s="191">
        <f>MAX(0,BF133-AD133)</f>
        <v/>
      </c>
      <c r="BU133" s="191">
        <f>MAX(0,BG133-AE133)</f>
        <v/>
      </c>
      <c r="BV133" s="191">
        <f>MAX(0,BH133-AF133)</f>
        <v/>
      </c>
      <c r="BW133" s="191">
        <f>MAX(0,BI133-AG133)</f>
        <v/>
      </c>
      <c r="BX133" s="191">
        <f>MAX(0,BJ133-AH133)</f>
        <v/>
      </c>
      <c r="BY133" s="191">
        <f>MAX(0,BK133-AI133)</f>
        <v/>
      </c>
      <c r="BZ133" s="191">
        <f>MAX(0,BL133-AJ133)</f>
        <v/>
      </c>
      <c r="CA133" s="191">
        <f>MAX(0,BM133-AK133)</f>
        <v/>
      </c>
      <c r="CB133" s="192">
        <f>MAX(0,BN133-AL133)</f>
        <v/>
      </c>
    </row>
    <row r="134">
      <c r="A134" s="64" t="inlineStr">
        <is>
          <t>21450286000187</t>
        </is>
      </c>
      <c r="B134" s="57" t="inlineStr">
        <is>
          <t>SR INDUSTRIA E COMERCIO DE ALIMENTOS LTD</t>
        </is>
      </c>
      <c r="C134" s="57" t="inlineStr">
        <is>
          <t>SEM GRUPO</t>
        </is>
      </c>
      <c r="D134" s="61" t="inlineStr">
        <is>
          <t>HEMANUELE DITZEL (MANU)</t>
        </is>
      </c>
      <c r="E134" s="30" t="inlineStr">
        <is>
          <t>.</t>
        </is>
      </c>
      <c r="F134" s="63" t="n"/>
      <c r="G134" s="179" t="n"/>
      <c r="H134" s="57" t="n"/>
      <c r="I134" s="57" t="n"/>
      <c r="J134" s="61" t="n"/>
      <c r="K134" s="30" t="inlineStr">
        <is>
          <t>.</t>
        </is>
      </c>
      <c r="L134" s="180" t="n">
        <v>8784.890000000001</v>
      </c>
      <c r="M134" s="181" t="n">
        <v>617.34</v>
      </c>
      <c r="N134" s="181" t="n">
        <v>645.1</v>
      </c>
      <c r="O134" s="181" t="n">
        <v>660.64</v>
      </c>
      <c r="P134" s="181" t="n">
        <v>677.85</v>
      </c>
      <c r="Q134" s="181" t="n">
        <v>700.0599999999999</v>
      </c>
      <c r="R134" s="181" t="n">
        <v>718.38</v>
      </c>
      <c r="S134" s="181" t="n">
        <v>746.14</v>
      </c>
      <c r="T134" s="181" t="n">
        <v>764.46</v>
      </c>
      <c r="U134" s="181" t="n">
        <v>781.67</v>
      </c>
      <c r="V134" s="181" t="n">
        <v>801.1</v>
      </c>
      <c r="W134" s="181" t="n">
        <v>822.2</v>
      </c>
      <c r="X134" s="182" t="n">
        <v>849.95</v>
      </c>
      <c r="Y134" s="183" t="inlineStr">
        <is>
          <t>.</t>
        </is>
      </c>
      <c r="Z134" s="184">
        <f>SUM(AA134:AL134)</f>
        <v/>
      </c>
      <c r="AA134" s="185" t="n">
        <v>0</v>
      </c>
      <c r="AB134" s="185" t="n">
        <v>0</v>
      </c>
      <c r="AC134" s="185" t="n">
        <v>0</v>
      </c>
      <c r="AD134" s="185" t="n">
        <v>0</v>
      </c>
      <c r="AE134" s="185" t="n">
        <v>0</v>
      </c>
      <c r="AF134" s="185" t="n">
        <v>0</v>
      </c>
      <c r="AG134" s="185" t="n">
        <v>0</v>
      </c>
      <c r="AH134" s="185" t="n">
        <v>0</v>
      </c>
      <c r="AI134" s="185" t="n">
        <v>0</v>
      </c>
      <c r="AJ134" s="185" t="n">
        <v>3336.91</v>
      </c>
      <c r="AK134" s="185" t="n">
        <v>581.77</v>
      </c>
      <c r="AL134" s="186" t="n">
        <v>805.78</v>
      </c>
      <c r="AM134" s="30" t="inlineStr">
        <is>
          <t>.</t>
        </is>
      </c>
      <c r="AN134" s="187">
        <f>IF(L134=0,0,Z134/L134)</f>
        <v/>
      </c>
      <c r="AO134" s="57">
        <f>IF(AN134&gt;=1,"🟢",IF(AN134&gt;=0.7,"🟡",IF(AN134&gt;=0.4,"🟠","🔴")))</f>
        <v/>
      </c>
      <c r="AP134" s="185">
        <f>L134-Z134</f>
        <v/>
      </c>
      <c r="AQ134" s="55">
        <f>RANK(Z134,$Z$4:$Z$503,0)</f>
        <v/>
      </c>
      <c r="AR134" s="39" t="inlineStr">
        <is>
          <t>.</t>
        </is>
      </c>
      <c r="AS134" s="27" t="n"/>
      <c r="AT134" s="27" t="n"/>
      <c r="AU134" s="27" t="n"/>
      <c r="AV134" s="27" t="n"/>
      <c r="AW134" s="27" t="n"/>
      <c r="AX134" s="27" t="n"/>
      <c r="AY134" s="204" t="n"/>
      <c r="AZ134" s="204" t="n"/>
      <c r="BA134" s="38" t="inlineStr">
        <is>
          <t>.</t>
        </is>
      </c>
      <c r="BB134" s="190">
        <f>SUM(BC134:BN134)</f>
        <v/>
      </c>
      <c r="BC134" s="191">
        <f>L134*0.0702730030</f>
        <v/>
      </c>
      <c r="BD134" s="191">
        <f>L134*0.0734327604</f>
        <v/>
      </c>
      <c r="BE134" s="191">
        <f>L134*0.0752022245</f>
        <v/>
      </c>
      <c r="BF134" s="191">
        <f>L134*0.0771612740</f>
        <v/>
      </c>
      <c r="BG134" s="191">
        <f>L134*0.0796890799</f>
        <v/>
      </c>
      <c r="BH134" s="191">
        <f>L134*0.0817745197</f>
        <v/>
      </c>
      <c r="BI134" s="191">
        <f>L134*0.0849342770</f>
        <v/>
      </c>
      <c r="BJ134" s="191">
        <f>L134*0.0870197169</f>
        <v/>
      </c>
      <c r="BK134" s="191">
        <f>L134*0.0889787664</f>
        <v/>
      </c>
      <c r="BL134" s="191">
        <f>L134*0.0911905966</f>
        <v/>
      </c>
      <c r="BM134" s="191">
        <f>L134*0.0935920121</f>
        <v/>
      </c>
      <c r="BN134" s="192">
        <f>L134*0.0967517695</f>
        <v/>
      </c>
      <c r="BO134" s="36" t="inlineStr">
        <is>
          <t>.</t>
        </is>
      </c>
      <c r="BP134" s="193">
        <f>SUM(BQ134:CB134)</f>
        <v/>
      </c>
      <c r="BQ134" s="191">
        <f>MAX(0,BC134-AA134)</f>
        <v/>
      </c>
      <c r="BR134" s="191">
        <f>MAX(0,BD134-AB134)</f>
        <v/>
      </c>
      <c r="BS134" s="191">
        <f>MAX(0,BE134-AC134)</f>
        <v/>
      </c>
      <c r="BT134" s="191">
        <f>MAX(0,BF134-AD134)</f>
        <v/>
      </c>
      <c r="BU134" s="191">
        <f>MAX(0,BG134-AE134)</f>
        <v/>
      </c>
      <c r="BV134" s="191">
        <f>MAX(0,BH134-AF134)</f>
        <v/>
      </c>
      <c r="BW134" s="191">
        <f>MAX(0,BI134-AG134)</f>
        <v/>
      </c>
      <c r="BX134" s="191">
        <f>MAX(0,BJ134-AH134)</f>
        <v/>
      </c>
      <c r="BY134" s="191">
        <f>MAX(0,BK134-AI134)</f>
        <v/>
      </c>
      <c r="BZ134" s="191">
        <f>MAX(0,BL134-AJ134)</f>
        <v/>
      </c>
      <c r="CA134" s="191">
        <f>MAX(0,BM134-AK134)</f>
        <v/>
      </c>
      <c r="CB134" s="192">
        <f>MAX(0,BN134-AL134)</f>
        <v/>
      </c>
    </row>
    <row r="135">
      <c r="A135" s="64" t="inlineStr">
        <is>
          <t>00211115000206</t>
        </is>
      </c>
      <c r="B135" s="57" t="inlineStr">
        <is>
          <t>PRODUTOS DA TERRA COM DE CEREAIS PRODNAT</t>
        </is>
      </c>
      <c r="C135" s="57" t="inlineStr">
        <is>
          <t>SEM GRUPO</t>
        </is>
      </c>
      <c r="D135" s="61" t="inlineStr">
        <is>
          <t>HEMANUELE DITZEL (MANU)</t>
        </is>
      </c>
      <c r="E135" s="30" t="inlineStr">
        <is>
          <t>.</t>
        </is>
      </c>
      <c r="F135" s="63" t="n"/>
      <c r="G135" s="179" t="n"/>
      <c r="H135" s="57" t="n"/>
      <c r="I135" s="57" t="n"/>
      <c r="J135" s="61" t="n"/>
      <c r="K135" s="30" t="inlineStr">
        <is>
          <t>.</t>
        </is>
      </c>
      <c r="L135" s="180" t="n">
        <v>8745.51</v>
      </c>
      <c r="M135" s="181" t="n">
        <v>614.5700000000001</v>
      </c>
      <c r="N135" s="181" t="n">
        <v>642.21</v>
      </c>
      <c r="O135" s="181" t="n">
        <v>657.6799999999999</v>
      </c>
      <c r="P135" s="181" t="n">
        <v>674.8200000000001</v>
      </c>
      <c r="Q135" s="181" t="n">
        <v>696.92</v>
      </c>
      <c r="R135" s="181" t="n">
        <v>715.16</v>
      </c>
      <c r="S135" s="181" t="n">
        <v>742.79</v>
      </c>
      <c r="T135" s="181" t="n">
        <v>761.03</v>
      </c>
      <c r="U135" s="181" t="n">
        <v>778.17</v>
      </c>
      <c r="V135" s="181" t="n">
        <v>797.51</v>
      </c>
      <c r="W135" s="181" t="n">
        <v>818.51</v>
      </c>
      <c r="X135" s="182" t="n">
        <v>846.14</v>
      </c>
      <c r="Y135" s="183" t="inlineStr">
        <is>
          <t>.</t>
        </is>
      </c>
      <c r="Z135" s="184">
        <f>SUM(AA135:AL135)</f>
        <v/>
      </c>
      <c r="AA135" s="185" t="n">
        <v>0</v>
      </c>
      <c r="AB135" s="185" t="n">
        <v>0</v>
      </c>
      <c r="AC135" s="185" t="n">
        <v>0</v>
      </c>
      <c r="AD135" s="185" t="n">
        <v>0</v>
      </c>
      <c r="AE135" s="185" t="n">
        <v>0</v>
      </c>
      <c r="AF135" s="185" t="n">
        <v>0</v>
      </c>
      <c r="AG135" s="185" t="n">
        <v>0</v>
      </c>
      <c r="AH135" s="185" t="n">
        <v>940.92</v>
      </c>
      <c r="AI135" s="185" t="n">
        <v>802.13</v>
      </c>
      <c r="AJ135" s="185" t="n">
        <v>1861.09</v>
      </c>
      <c r="AK135" s="185" t="n">
        <v>784.1799999999999</v>
      </c>
      <c r="AL135" s="186" t="n">
        <v>0</v>
      </c>
      <c r="AM135" s="30" t="inlineStr">
        <is>
          <t>.</t>
        </is>
      </c>
      <c r="AN135" s="187">
        <f>IF(L135=0,0,Z135/L135)</f>
        <v/>
      </c>
      <c r="AO135" s="57">
        <f>IF(AN135&gt;=1,"🟢",IF(AN135&gt;=0.7,"🟡",IF(AN135&gt;=0.4,"🟠","🔴")))</f>
        <v/>
      </c>
      <c r="AP135" s="185">
        <f>L135-Z135</f>
        <v/>
      </c>
      <c r="AQ135" s="55">
        <f>RANK(Z135,$Z$4:$Z$503,0)</f>
        <v/>
      </c>
      <c r="AR135" s="39" t="inlineStr">
        <is>
          <t>.</t>
        </is>
      </c>
      <c r="AS135" s="27" t="n"/>
      <c r="AT135" s="27" t="n"/>
      <c r="AU135" s="27" t="n"/>
      <c r="AV135" s="27" t="n"/>
      <c r="AW135" s="27" t="n"/>
      <c r="AX135" s="27" t="n"/>
      <c r="AY135" s="204" t="n"/>
      <c r="AZ135" s="204" t="n"/>
      <c r="BA135" s="38" t="inlineStr">
        <is>
          <t>.</t>
        </is>
      </c>
      <c r="BB135" s="190">
        <f>SUM(BC135:BN135)</f>
        <v/>
      </c>
      <c r="BC135" s="191">
        <f>L135*0.0702730030</f>
        <v/>
      </c>
      <c r="BD135" s="191">
        <f>L135*0.0734327604</f>
        <v/>
      </c>
      <c r="BE135" s="191">
        <f>L135*0.0752022245</f>
        <v/>
      </c>
      <c r="BF135" s="191">
        <f>L135*0.0771612740</f>
        <v/>
      </c>
      <c r="BG135" s="191">
        <f>L135*0.0796890799</f>
        <v/>
      </c>
      <c r="BH135" s="191">
        <f>L135*0.0817745197</f>
        <v/>
      </c>
      <c r="BI135" s="191">
        <f>L135*0.0849342770</f>
        <v/>
      </c>
      <c r="BJ135" s="191">
        <f>L135*0.0870197169</f>
        <v/>
      </c>
      <c r="BK135" s="191">
        <f>L135*0.0889787664</f>
        <v/>
      </c>
      <c r="BL135" s="191">
        <f>L135*0.0911905966</f>
        <v/>
      </c>
      <c r="BM135" s="191">
        <f>L135*0.0935920121</f>
        <v/>
      </c>
      <c r="BN135" s="192">
        <f>L135*0.0967517695</f>
        <v/>
      </c>
      <c r="BO135" s="36" t="inlineStr">
        <is>
          <t>.</t>
        </is>
      </c>
      <c r="BP135" s="193">
        <f>SUM(BQ135:CB135)</f>
        <v/>
      </c>
      <c r="BQ135" s="191">
        <f>MAX(0,BC135-AA135)</f>
        <v/>
      </c>
      <c r="BR135" s="191">
        <f>MAX(0,BD135-AB135)</f>
        <v/>
      </c>
      <c r="BS135" s="191">
        <f>MAX(0,BE135-AC135)</f>
        <v/>
      </c>
      <c r="BT135" s="191">
        <f>MAX(0,BF135-AD135)</f>
        <v/>
      </c>
      <c r="BU135" s="191">
        <f>MAX(0,BG135-AE135)</f>
        <v/>
      </c>
      <c r="BV135" s="191">
        <f>MAX(0,BH135-AF135)</f>
        <v/>
      </c>
      <c r="BW135" s="191">
        <f>MAX(0,BI135-AG135)</f>
        <v/>
      </c>
      <c r="BX135" s="191">
        <f>MAX(0,BJ135-AH135)</f>
        <v/>
      </c>
      <c r="BY135" s="191">
        <f>MAX(0,BK135-AI135)</f>
        <v/>
      </c>
      <c r="BZ135" s="191">
        <f>MAX(0,BL135-AJ135)</f>
        <v/>
      </c>
      <c r="CA135" s="191">
        <f>MAX(0,BM135-AK135)</f>
        <v/>
      </c>
      <c r="CB135" s="192">
        <f>MAX(0,BN135-AL135)</f>
        <v/>
      </c>
    </row>
    <row r="136">
      <c r="A136" s="64" t="inlineStr">
        <is>
          <t>58188486000113</t>
        </is>
      </c>
      <c r="B136" s="57" t="inlineStr">
        <is>
          <t>58.188.486 TERESINHA PEREIRA DA SILVA NE</t>
        </is>
      </c>
      <c r="C136" s="57" t="inlineStr">
        <is>
          <t>SEM GRUPO</t>
        </is>
      </c>
      <c r="D136" s="61" t="inlineStr">
        <is>
          <t>LARISSA PADILHA</t>
        </is>
      </c>
      <c r="E136" s="30" t="inlineStr">
        <is>
          <t>.</t>
        </is>
      </c>
      <c r="F136" s="63" t="n"/>
      <c r="G136" s="179" t="n"/>
      <c r="H136" s="57" t="n"/>
      <c r="I136" s="57" t="n"/>
      <c r="J136" s="61" t="n"/>
      <c r="K136" s="30" t="inlineStr">
        <is>
          <t>.</t>
        </is>
      </c>
      <c r="L136" s="180" t="n">
        <v>8636.710000000001</v>
      </c>
      <c r="M136" s="181" t="n">
        <v>606.9299999999999</v>
      </c>
      <c r="N136" s="181" t="n">
        <v>634.22</v>
      </c>
      <c r="O136" s="181" t="n">
        <v>649.5</v>
      </c>
      <c r="P136" s="181" t="n">
        <v>666.42</v>
      </c>
      <c r="Q136" s="181" t="n">
        <v>688.25</v>
      </c>
      <c r="R136" s="181" t="n">
        <v>706.26</v>
      </c>
      <c r="S136" s="181" t="n">
        <v>733.55</v>
      </c>
      <c r="T136" s="181" t="n">
        <v>751.5599999999999</v>
      </c>
      <c r="U136" s="181" t="n">
        <v>768.48</v>
      </c>
      <c r="V136" s="181" t="n">
        <v>787.59</v>
      </c>
      <c r="W136" s="181" t="n">
        <v>808.33</v>
      </c>
      <c r="X136" s="182" t="n">
        <v>835.62</v>
      </c>
      <c r="Y136" s="183" t="inlineStr">
        <is>
          <t>.</t>
        </is>
      </c>
      <c r="Z136" s="184">
        <f>SUM(AA136:AL136)</f>
        <v/>
      </c>
      <c r="AA136" s="185" t="n">
        <v>1288.6</v>
      </c>
      <c r="AB136" s="185" t="n">
        <v>2367.17</v>
      </c>
      <c r="AC136" s="185" t="n">
        <v>0</v>
      </c>
      <c r="AD136" s="185" t="n">
        <v>0</v>
      </c>
      <c r="AE136" s="185" t="n">
        <v>0</v>
      </c>
      <c r="AF136" s="185" t="n">
        <v>0</v>
      </c>
      <c r="AG136" s="185" t="n">
        <v>1372.44</v>
      </c>
      <c r="AH136" s="185" t="n">
        <v>0</v>
      </c>
      <c r="AI136" s="185" t="n">
        <v>0</v>
      </c>
      <c r="AJ136" s="185" t="n">
        <v>0</v>
      </c>
      <c r="AK136" s="185" t="n">
        <v>0</v>
      </c>
      <c r="AL136" s="186" t="n">
        <v>812.34</v>
      </c>
      <c r="AM136" s="30" t="inlineStr">
        <is>
          <t>.</t>
        </is>
      </c>
      <c r="AN136" s="187">
        <f>IF(L136=0,0,Z136/L136)</f>
        <v/>
      </c>
      <c r="AO136" s="57">
        <f>IF(AN136&gt;=1,"🟢",IF(AN136&gt;=0.7,"🟡",IF(AN136&gt;=0.4,"🟠","🔴")))</f>
        <v/>
      </c>
      <c r="AP136" s="185">
        <f>L136-Z136</f>
        <v/>
      </c>
      <c r="AQ136" s="55">
        <f>RANK(Z136,$Z$4:$Z$503,0)</f>
        <v/>
      </c>
      <c r="AR136" s="39" t="inlineStr">
        <is>
          <t>.</t>
        </is>
      </c>
      <c r="AS136" s="27" t="n"/>
      <c r="AT136" s="27" t="n"/>
      <c r="AU136" s="27" t="n"/>
      <c r="AV136" s="27" t="n"/>
      <c r="AW136" s="27" t="n"/>
      <c r="AX136" s="27" t="n"/>
      <c r="AY136" s="204" t="n"/>
      <c r="AZ136" s="204" t="n"/>
      <c r="BA136" s="38" t="inlineStr">
        <is>
          <t>.</t>
        </is>
      </c>
      <c r="BB136" s="190">
        <f>SUM(BC136:BN136)</f>
        <v/>
      </c>
      <c r="BC136" s="191">
        <f>L136*0.0702730030</f>
        <v/>
      </c>
      <c r="BD136" s="191">
        <f>L136*0.0734327604</f>
        <v/>
      </c>
      <c r="BE136" s="191">
        <f>L136*0.0752022245</f>
        <v/>
      </c>
      <c r="BF136" s="191">
        <f>L136*0.0771612740</f>
        <v/>
      </c>
      <c r="BG136" s="191">
        <f>L136*0.0796890799</f>
        <v/>
      </c>
      <c r="BH136" s="191">
        <f>L136*0.0817745197</f>
        <v/>
      </c>
      <c r="BI136" s="191">
        <f>L136*0.0849342770</f>
        <v/>
      </c>
      <c r="BJ136" s="191">
        <f>L136*0.0870197169</f>
        <v/>
      </c>
      <c r="BK136" s="191">
        <f>L136*0.0889787664</f>
        <v/>
      </c>
      <c r="BL136" s="191">
        <f>L136*0.0911905966</f>
        <v/>
      </c>
      <c r="BM136" s="191">
        <f>L136*0.0935920121</f>
        <v/>
      </c>
      <c r="BN136" s="192">
        <f>L136*0.0967517695</f>
        <v/>
      </c>
      <c r="BO136" s="36" t="inlineStr">
        <is>
          <t>.</t>
        </is>
      </c>
      <c r="BP136" s="193">
        <f>SUM(BQ136:CB136)</f>
        <v/>
      </c>
      <c r="BQ136" s="191">
        <f>MAX(0,BC136-AA136)</f>
        <v/>
      </c>
      <c r="BR136" s="191">
        <f>MAX(0,BD136-AB136)</f>
        <v/>
      </c>
      <c r="BS136" s="191">
        <f>MAX(0,BE136-AC136)</f>
        <v/>
      </c>
      <c r="BT136" s="191">
        <f>MAX(0,BF136-AD136)</f>
        <v/>
      </c>
      <c r="BU136" s="191">
        <f>MAX(0,BG136-AE136)</f>
        <v/>
      </c>
      <c r="BV136" s="191">
        <f>MAX(0,BH136-AF136)</f>
        <v/>
      </c>
      <c r="BW136" s="191">
        <f>MAX(0,BI136-AG136)</f>
        <v/>
      </c>
      <c r="BX136" s="191">
        <f>MAX(0,BJ136-AH136)</f>
        <v/>
      </c>
      <c r="BY136" s="191">
        <f>MAX(0,BK136-AI136)</f>
        <v/>
      </c>
      <c r="BZ136" s="191">
        <f>MAX(0,BL136-AJ136)</f>
        <v/>
      </c>
      <c r="CA136" s="191">
        <f>MAX(0,BM136-AK136)</f>
        <v/>
      </c>
      <c r="CB136" s="192">
        <f>MAX(0,BN136-AL136)</f>
        <v/>
      </c>
    </row>
    <row r="137">
      <c r="A137" s="64" t="inlineStr">
        <is>
          <t>52916686000169</t>
        </is>
      </c>
      <c r="B137" s="57" t="inlineStr">
        <is>
          <t>JRCM EMPREENDIMENTOS MINIMERCADO LTDA -</t>
        </is>
      </c>
      <c r="C137" s="57" t="inlineStr">
        <is>
          <t>SEM GRUPO</t>
        </is>
      </c>
      <c r="D137" s="61" t="inlineStr">
        <is>
          <t>LARISSA PADILHA</t>
        </is>
      </c>
      <c r="E137" s="30" t="inlineStr">
        <is>
          <t>.</t>
        </is>
      </c>
      <c r="F137" s="63" t="n"/>
      <c r="G137" s="179" t="n"/>
      <c r="H137" s="57" t="n"/>
      <c r="I137" s="57" t="n"/>
      <c r="J137" s="61" t="n"/>
      <c r="K137" s="30" t="inlineStr">
        <is>
          <t>.</t>
        </is>
      </c>
      <c r="L137" s="180" t="n">
        <v>8591.249999999998</v>
      </c>
      <c r="M137" s="181" t="n">
        <v>603.73</v>
      </c>
      <c r="N137" s="181" t="n">
        <v>630.88</v>
      </c>
      <c r="O137" s="181" t="n">
        <v>646.08</v>
      </c>
      <c r="P137" s="181" t="n">
        <v>662.91</v>
      </c>
      <c r="Q137" s="181" t="n">
        <v>684.63</v>
      </c>
      <c r="R137" s="181" t="n">
        <v>702.55</v>
      </c>
      <c r="S137" s="181" t="n">
        <v>729.6900000000001</v>
      </c>
      <c r="T137" s="181" t="n">
        <v>747.61</v>
      </c>
      <c r="U137" s="181" t="n">
        <v>764.4400000000001</v>
      </c>
      <c r="V137" s="181" t="n">
        <v>783.4400000000001</v>
      </c>
      <c r="W137" s="181" t="n">
        <v>804.0700000000001</v>
      </c>
      <c r="X137" s="182" t="n">
        <v>831.22</v>
      </c>
      <c r="Y137" s="183" t="inlineStr">
        <is>
          <t>.</t>
        </is>
      </c>
      <c r="Z137" s="184">
        <f>SUM(AA137:AL137)</f>
        <v/>
      </c>
      <c r="AA137" s="185" t="n">
        <v>0</v>
      </c>
      <c r="AB137" s="185" t="n">
        <v>0</v>
      </c>
      <c r="AC137" s="185" t="n">
        <v>0</v>
      </c>
      <c r="AD137" s="185" t="n">
        <v>0</v>
      </c>
      <c r="AE137" s="185" t="n">
        <v>0</v>
      </c>
      <c r="AF137" s="185" t="n">
        <v>1439.96</v>
      </c>
      <c r="AG137" s="185" t="n">
        <v>0</v>
      </c>
      <c r="AH137" s="185" t="n">
        <v>975.45</v>
      </c>
      <c r="AI137" s="185" t="n">
        <v>0</v>
      </c>
      <c r="AJ137" s="185" t="n">
        <v>0</v>
      </c>
      <c r="AK137" s="185" t="n">
        <v>1576</v>
      </c>
      <c r="AL137" s="186" t="n">
        <v>0</v>
      </c>
      <c r="AM137" s="222" t="n">
        <v>880.47</v>
      </c>
      <c r="AN137" s="187">
        <f>IF(L137=0,0,Z137/L137)</f>
        <v/>
      </c>
      <c r="AO137" s="57">
        <f>IF(AN137&gt;=1,"🟢",IF(AN137&gt;=0.7,"🟡",IF(AN137&gt;=0.4,"🟠","🔴")))</f>
        <v/>
      </c>
      <c r="AP137" s="185">
        <f>L137-Z137</f>
        <v/>
      </c>
      <c r="AQ137" s="55">
        <f>RANK(Z137,$Z$4:$Z$503,0)</f>
        <v/>
      </c>
      <c r="AR137" s="39" t="inlineStr">
        <is>
          <t>.</t>
        </is>
      </c>
      <c r="AS137" s="27" t="n"/>
      <c r="AT137" s="27" t="n"/>
      <c r="AU137" s="27" t="n"/>
      <c r="AV137" s="27" t="n"/>
      <c r="AW137" s="27" t="n"/>
      <c r="AX137" s="27" t="n"/>
      <c r="AY137" s="204" t="n"/>
      <c r="AZ137" s="204" t="n"/>
      <c r="BA137" s="38" t="inlineStr">
        <is>
          <t>.</t>
        </is>
      </c>
      <c r="BB137" s="190">
        <f>SUM(BC137:BN137)</f>
        <v/>
      </c>
      <c r="BC137" s="191">
        <f>L137*0.0702730030</f>
        <v/>
      </c>
      <c r="BD137" s="191">
        <f>L137*0.0734327604</f>
        <v/>
      </c>
      <c r="BE137" s="191">
        <f>L137*0.0752022245</f>
        <v/>
      </c>
      <c r="BF137" s="191">
        <f>L137*0.0771612740</f>
        <v/>
      </c>
      <c r="BG137" s="191">
        <f>L137*0.0796890799</f>
        <v/>
      </c>
      <c r="BH137" s="191">
        <f>L137*0.0817745197</f>
        <v/>
      </c>
      <c r="BI137" s="191">
        <f>L137*0.0849342770</f>
        <v/>
      </c>
      <c r="BJ137" s="191">
        <f>L137*0.0870197169</f>
        <v/>
      </c>
      <c r="BK137" s="191">
        <f>L137*0.0889787664</f>
        <v/>
      </c>
      <c r="BL137" s="191">
        <f>L137*0.0911905966</f>
        <v/>
      </c>
      <c r="BM137" s="191">
        <f>L137*0.0935920121</f>
        <v/>
      </c>
      <c r="BN137" s="192">
        <f>L137*0.0967517695</f>
        <v/>
      </c>
      <c r="BO137" s="36" t="inlineStr">
        <is>
          <t>.</t>
        </is>
      </c>
      <c r="BP137" s="193">
        <f>SUM(BQ137:CB137)</f>
        <v/>
      </c>
      <c r="BQ137" s="191">
        <f>MAX(0,BC137-AA137)</f>
        <v/>
      </c>
      <c r="BR137" s="191">
        <f>MAX(0,BD137-AB137)</f>
        <v/>
      </c>
      <c r="BS137" s="191">
        <f>MAX(0,BE137-AC137)</f>
        <v/>
      </c>
      <c r="BT137" s="191">
        <f>MAX(0,BF137-AD137)</f>
        <v/>
      </c>
      <c r="BU137" s="191">
        <f>MAX(0,BG137-AE137)</f>
        <v/>
      </c>
      <c r="BV137" s="191">
        <f>MAX(0,BH137-AF137)</f>
        <v/>
      </c>
      <c r="BW137" s="191">
        <f>MAX(0,BI137-AG137)</f>
        <v/>
      </c>
      <c r="BX137" s="191">
        <f>MAX(0,BJ137-AH137)</f>
        <v/>
      </c>
      <c r="BY137" s="191">
        <f>MAX(0,BK137-AI137)</f>
        <v/>
      </c>
      <c r="BZ137" s="191">
        <f>MAX(0,BL137-AJ137)</f>
        <v/>
      </c>
      <c r="CA137" s="191">
        <f>MAX(0,BM137-AK137)</f>
        <v/>
      </c>
      <c r="CB137" s="192">
        <f>MAX(0,BN137-AL137)</f>
        <v/>
      </c>
    </row>
    <row r="138">
      <c r="A138" s="64" t="inlineStr">
        <is>
          <t>54758201000181</t>
        </is>
      </c>
      <c r="B138" s="57" t="inlineStr">
        <is>
          <t>54.758.201 MICAELLE DE MORAES BALDUCI -</t>
        </is>
      </c>
      <c r="C138" s="57" t="inlineStr">
        <is>
          <t>SEM GRUPO</t>
        </is>
      </c>
      <c r="D138" s="61" t="inlineStr">
        <is>
          <t>LARISSA PADILHA</t>
        </is>
      </c>
      <c r="E138" s="30" t="inlineStr">
        <is>
          <t>.</t>
        </is>
      </c>
      <c r="F138" s="63" t="n"/>
      <c r="G138" s="179" t="n"/>
      <c r="H138" s="57" t="n"/>
      <c r="I138" s="57" t="n"/>
      <c r="J138" s="61" t="n"/>
      <c r="K138" s="30" t="inlineStr">
        <is>
          <t>.</t>
        </is>
      </c>
      <c r="L138" s="180" t="n">
        <v>8472.690000000001</v>
      </c>
      <c r="M138" s="181" t="n">
        <v>595.4</v>
      </c>
      <c r="N138" s="181" t="n">
        <v>622.17</v>
      </c>
      <c r="O138" s="181" t="n">
        <v>637.17</v>
      </c>
      <c r="P138" s="181" t="n">
        <v>653.76</v>
      </c>
      <c r="Q138" s="181" t="n">
        <v>675.1799999999999</v>
      </c>
      <c r="R138" s="181" t="n">
        <v>692.85</v>
      </c>
      <c r="S138" s="181" t="n">
        <v>719.62</v>
      </c>
      <c r="T138" s="181" t="n">
        <v>737.29</v>
      </c>
      <c r="U138" s="181" t="n">
        <v>753.89</v>
      </c>
      <c r="V138" s="181" t="n">
        <v>772.63</v>
      </c>
      <c r="W138" s="181" t="n">
        <v>792.98</v>
      </c>
      <c r="X138" s="182" t="n">
        <v>819.75</v>
      </c>
      <c r="Y138" s="183" t="inlineStr">
        <is>
          <t>.</t>
        </is>
      </c>
      <c r="Z138" s="184">
        <f>SUM(AA138:AL138)</f>
        <v/>
      </c>
      <c r="AA138" s="185" t="n">
        <v>0</v>
      </c>
      <c r="AB138" s="185" t="n">
        <v>0</v>
      </c>
      <c r="AC138" s="185" t="n">
        <v>0</v>
      </c>
      <c r="AD138" s="185" t="n">
        <v>0</v>
      </c>
      <c r="AE138" s="185" t="n">
        <v>0</v>
      </c>
      <c r="AF138" s="185" t="n">
        <v>0</v>
      </c>
      <c r="AG138" s="185" t="n">
        <v>0</v>
      </c>
      <c r="AH138" s="185" t="n">
        <v>0</v>
      </c>
      <c r="AI138" s="185" t="n">
        <v>0</v>
      </c>
      <c r="AJ138" s="185" t="n">
        <v>0</v>
      </c>
      <c r="AK138" s="185" t="n">
        <v>0</v>
      </c>
      <c r="AL138" s="186" t="n">
        <v>3734.16</v>
      </c>
      <c r="AM138" s="30" t="inlineStr">
        <is>
          <t>.</t>
        </is>
      </c>
      <c r="AN138" s="187">
        <f>IF(L138=0,0,Z138/L138)</f>
        <v/>
      </c>
      <c r="AO138" s="57">
        <f>IF(AN138&gt;=1,"🟢",IF(AN138&gt;=0.7,"🟡",IF(AN138&gt;=0.4,"🟠","🔴")))</f>
        <v/>
      </c>
      <c r="AP138" s="185">
        <f>L138-Z138</f>
        <v/>
      </c>
      <c r="AQ138" s="55">
        <f>RANK(Z138,$Z$4:$Z$503,0)</f>
        <v/>
      </c>
      <c r="AR138" s="39" t="inlineStr">
        <is>
          <t>.</t>
        </is>
      </c>
      <c r="AS138" s="27" t="n"/>
      <c r="AT138" s="27" t="n"/>
      <c r="AU138" s="27" t="n"/>
      <c r="AV138" s="27" t="n"/>
      <c r="AW138" s="27" t="n"/>
      <c r="AX138" s="27" t="n"/>
      <c r="AY138" s="204" t="n"/>
      <c r="AZ138" s="204" t="n"/>
      <c r="BA138" s="38" t="inlineStr">
        <is>
          <t>.</t>
        </is>
      </c>
      <c r="BB138" s="190">
        <f>SUM(BC138:BN138)</f>
        <v/>
      </c>
      <c r="BC138" s="191">
        <f>L138*0.0702730030</f>
        <v/>
      </c>
      <c r="BD138" s="191">
        <f>L138*0.0734327604</f>
        <v/>
      </c>
      <c r="BE138" s="191">
        <f>L138*0.0752022245</f>
        <v/>
      </c>
      <c r="BF138" s="191">
        <f>L138*0.0771612740</f>
        <v/>
      </c>
      <c r="BG138" s="191">
        <f>L138*0.0796890799</f>
        <v/>
      </c>
      <c r="BH138" s="191">
        <f>L138*0.0817745197</f>
        <v/>
      </c>
      <c r="BI138" s="191">
        <f>L138*0.0849342770</f>
        <v/>
      </c>
      <c r="BJ138" s="191">
        <f>L138*0.0870197169</f>
        <v/>
      </c>
      <c r="BK138" s="191">
        <f>L138*0.0889787664</f>
        <v/>
      </c>
      <c r="BL138" s="191">
        <f>L138*0.0911905966</f>
        <v/>
      </c>
      <c r="BM138" s="191">
        <f>L138*0.0935920121</f>
        <v/>
      </c>
      <c r="BN138" s="192">
        <f>L138*0.0967517695</f>
        <v/>
      </c>
      <c r="BO138" s="36" t="inlineStr">
        <is>
          <t>.</t>
        </is>
      </c>
      <c r="BP138" s="193">
        <f>SUM(BQ138:CB138)</f>
        <v/>
      </c>
      <c r="BQ138" s="191">
        <f>MAX(0,BC138-AA138)</f>
        <v/>
      </c>
      <c r="BR138" s="191">
        <f>MAX(0,BD138-AB138)</f>
        <v/>
      </c>
      <c r="BS138" s="191">
        <f>MAX(0,BE138-AC138)</f>
        <v/>
      </c>
      <c r="BT138" s="191">
        <f>MAX(0,BF138-AD138)</f>
        <v/>
      </c>
      <c r="BU138" s="191">
        <f>MAX(0,BG138-AE138)</f>
        <v/>
      </c>
      <c r="BV138" s="191">
        <f>MAX(0,BH138-AF138)</f>
        <v/>
      </c>
      <c r="BW138" s="191">
        <f>MAX(0,BI138-AG138)</f>
        <v/>
      </c>
      <c r="BX138" s="191">
        <f>MAX(0,BJ138-AH138)</f>
        <v/>
      </c>
      <c r="BY138" s="191">
        <f>MAX(0,BK138-AI138)</f>
        <v/>
      </c>
      <c r="BZ138" s="191">
        <f>MAX(0,BL138-AJ138)</f>
        <v/>
      </c>
      <c r="CA138" s="191">
        <f>MAX(0,BM138-AK138)</f>
        <v/>
      </c>
      <c r="CB138" s="192">
        <f>MAX(0,BN138-AL138)</f>
        <v/>
      </c>
    </row>
    <row r="139">
      <c r="A139" s="64" t="inlineStr">
        <is>
          <t>24583557000675</t>
        </is>
      </c>
      <c r="B139" s="57" t="inlineStr">
        <is>
          <t>SHOPPER COMERCIO ALIMENTICIO LTDA</t>
        </is>
      </c>
      <c r="C139" s="57" t="inlineStr">
        <is>
          <t>SEM GRUPO</t>
        </is>
      </c>
      <c r="D139" s="61" t="inlineStr">
        <is>
          <t>LARISSA PADILHA</t>
        </is>
      </c>
      <c r="E139" s="30" t="inlineStr">
        <is>
          <t>.</t>
        </is>
      </c>
      <c r="F139" s="63" t="n"/>
      <c r="G139" s="179" t="n"/>
      <c r="H139" s="57" t="n"/>
      <c r="I139" s="57" t="n"/>
      <c r="J139" s="61" t="n"/>
      <c r="K139" s="30" t="inlineStr">
        <is>
          <t>.</t>
        </is>
      </c>
      <c r="L139" s="180" t="n">
        <v>8464.679999999998</v>
      </c>
      <c r="M139" s="181" t="n">
        <v>594.84</v>
      </c>
      <c r="N139" s="181" t="n">
        <v>621.58</v>
      </c>
      <c r="O139" s="181" t="n">
        <v>636.5599999999999</v>
      </c>
      <c r="P139" s="181" t="n">
        <v>653.15</v>
      </c>
      <c r="Q139" s="181" t="n">
        <v>674.54</v>
      </c>
      <c r="R139" s="181" t="n">
        <v>692.2</v>
      </c>
      <c r="S139" s="181" t="n">
        <v>718.9400000000001</v>
      </c>
      <c r="T139" s="181" t="n">
        <v>736.59</v>
      </c>
      <c r="U139" s="181" t="n">
        <v>753.1799999999999</v>
      </c>
      <c r="V139" s="181" t="n">
        <v>771.9</v>
      </c>
      <c r="W139" s="181" t="n">
        <v>792.23</v>
      </c>
      <c r="X139" s="182" t="n">
        <v>818.97</v>
      </c>
      <c r="Y139" s="183" t="inlineStr">
        <is>
          <t>.</t>
        </is>
      </c>
      <c r="Z139" s="184">
        <f>SUM(AA139:AL139)</f>
        <v/>
      </c>
      <c r="AA139" s="185" t="n">
        <v>0</v>
      </c>
      <c r="AB139" s="185" t="n">
        <v>0</v>
      </c>
      <c r="AC139" s="185" t="n">
        <v>0</v>
      </c>
      <c r="AD139" s="185" t="n">
        <v>0</v>
      </c>
      <c r="AE139" s="185" t="n">
        <v>0</v>
      </c>
      <c r="AF139" s="185" t="n">
        <v>0</v>
      </c>
      <c r="AG139" s="185" t="n">
        <v>1895.28</v>
      </c>
      <c r="AH139" s="185" t="n">
        <v>677.8</v>
      </c>
      <c r="AI139" s="185" t="n">
        <v>0</v>
      </c>
      <c r="AJ139" s="185" t="n">
        <v>2287.62</v>
      </c>
      <c r="AK139" s="185" t="n">
        <v>0</v>
      </c>
      <c r="AL139" s="186" t="n">
        <v>0</v>
      </c>
      <c r="AM139" s="30" t="inlineStr">
        <is>
          <t>.</t>
        </is>
      </c>
      <c r="AN139" s="187">
        <f>IF(L139=0,0,Z139/L139)</f>
        <v/>
      </c>
      <c r="AO139" s="57">
        <f>IF(AN139&gt;=1,"🟢",IF(AN139&gt;=0.7,"🟡",IF(AN139&gt;=0.4,"🟠","🔴")))</f>
        <v/>
      </c>
      <c r="AP139" s="185">
        <f>L139-Z139</f>
        <v/>
      </c>
      <c r="AQ139" s="55">
        <f>RANK(Z139,$Z$4:$Z$503,0)</f>
        <v/>
      </c>
      <c r="AR139" s="39" t="inlineStr">
        <is>
          <t>.</t>
        </is>
      </c>
      <c r="AS139" s="27" t="n"/>
      <c r="AT139" s="27" t="n"/>
      <c r="AU139" s="27" t="n"/>
      <c r="AV139" s="27" t="n"/>
      <c r="AW139" s="27" t="n"/>
      <c r="AX139" s="27" t="n"/>
      <c r="AY139" s="204" t="n"/>
      <c r="AZ139" s="204" t="n"/>
      <c r="BA139" s="38" t="inlineStr">
        <is>
          <t>.</t>
        </is>
      </c>
      <c r="BB139" s="190">
        <f>SUM(BC139:BN139)</f>
        <v/>
      </c>
      <c r="BC139" s="191">
        <f>L139*0.0702730030</f>
        <v/>
      </c>
      <c r="BD139" s="191">
        <f>L139*0.0734327604</f>
        <v/>
      </c>
      <c r="BE139" s="191">
        <f>L139*0.0752022245</f>
        <v/>
      </c>
      <c r="BF139" s="191">
        <f>L139*0.0771612740</f>
        <v/>
      </c>
      <c r="BG139" s="191">
        <f>L139*0.0796890799</f>
        <v/>
      </c>
      <c r="BH139" s="191">
        <f>L139*0.0817745197</f>
        <v/>
      </c>
      <c r="BI139" s="191">
        <f>L139*0.0849342770</f>
        <v/>
      </c>
      <c r="BJ139" s="191">
        <f>L139*0.0870197169</f>
        <v/>
      </c>
      <c r="BK139" s="191">
        <f>L139*0.0889787664</f>
        <v/>
      </c>
      <c r="BL139" s="191">
        <f>L139*0.0911905966</f>
        <v/>
      </c>
      <c r="BM139" s="191">
        <f>L139*0.0935920121</f>
        <v/>
      </c>
      <c r="BN139" s="192">
        <f>L139*0.0967517695</f>
        <v/>
      </c>
      <c r="BO139" s="36" t="inlineStr">
        <is>
          <t>.</t>
        </is>
      </c>
      <c r="BP139" s="193">
        <f>SUM(BQ139:CB139)</f>
        <v/>
      </c>
      <c r="BQ139" s="191">
        <f>MAX(0,BC139-AA139)</f>
        <v/>
      </c>
      <c r="BR139" s="191">
        <f>MAX(0,BD139-AB139)</f>
        <v/>
      </c>
      <c r="BS139" s="191">
        <f>MAX(0,BE139-AC139)</f>
        <v/>
      </c>
      <c r="BT139" s="191">
        <f>MAX(0,BF139-AD139)</f>
        <v/>
      </c>
      <c r="BU139" s="191">
        <f>MAX(0,BG139-AE139)</f>
        <v/>
      </c>
      <c r="BV139" s="191">
        <f>MAX(0,BH139-AF139)</f>
        <v/>
      </c>
      <c r="BW139" s="191">
        <f>MAX(0,BI139-AG139)</f>
        <v/>
      </c>
      <c r="BX139" s="191">
        <f>MAX(0,BJ139-AH139)</f>
        <v/>
      </c>
      <c r="BY139" s="191">
        <f>MAX(0,BK139-AI139)</f>
        <v/>
      </c>
      <c r="BZ139" s="191">
        <f>MAX(0,BL139-AJ139)</f>
        <v/>
      </c>
      <c r="CA139" s="191">
        <f>MAX(0,BM139-AK139)</f>
        <v/>
      </c>
      <c r="CB139" s="192">
        <f>MAX(0,BN139-AL139)</f>
        <v/>
      </c>
    </row>
    <row r="140">
      <c r="A140" s="64" t="inlineStr">
        <is>
          <t>36833981000103</t>
        </is>
      </c>
      <c r="B140" s="57" t="inlineStr">
        <is>
          <t>R DE S MENESES LTDA - EPP</t>
        </is>
      </c>
      <c r="C140" s="57" t="inlineStr">
        <is>
          <t>SEM GRUPO</t>
        </is>
      </c>
      <c r="D140" s="61" t="inlineStr">
        <is>
          <t>LARISSA PADILHA</t>
        </is>
      </c>
      <c r="E140" s="30" t="inlineStr">
        <is>
          <t>.</t>
        </is>
      </c>
      <c r="F140" s="63" t="n"/>
      <c r="G140" s="179" t="n"/>
      <c r="H140" s="57" t="n"/>
      <c r="I140" s="57" t="n"/>
      <c r="J140" s="61" t="n"/>
      <c r="K140" s="30" t="inlineStr">
        <is>
          <t>.</t>
        </is>
      </c>
      <c r="L140" s="180" t="n">
        <v>8461.939999999999</v>
      </c>
      <c r="M140" s="181" t="n">
        <v>594.65</v>
      </c>
      <c r="N140" s="181" t="n">
        <v>621.38</v>
      </c>
      <c r="O140" s="181" t="n">
        <v>636.36</v>
      </c>
      <c r="P140" s="181" t="n">
        <v>652.9299999999999</v>
      </c>
      <c r="Q140" s="181" t="n">
        <v>674.3200000000001</v>
      </c>
      <c r="R140" s="181" t="n">
        <v>691.97</v>
      </c>
      <c r="S140" s="181" t="n">
        <v>718.71</v>
      </c>
      <c r="T140" s="181" t="n">
        <v>736.36</v>
      </c>
      <c r="U140" s="181" t="n">
        <v>752.9299999999999</v>
      </c>
      <c r="V140" s="181" t="n">
        <v>771.65</v>
      </c>
      <c r="W140" s="181" t="n">
        <v>791.97</v>
      </c>
      <c r="X140" s="182" t="n">
        <v>818.71</v>
      </c>
      <c r="Y140" s="183" t="inlineStr">
        <is>
          <t>.</t>
        </is>
      </c>
      <c r="Z140" s="184">
        <f>SUM(AA140:AL140)</f>
        <v/>
      </c>
      <c r="AA140" s="185" t="n">
        <v>0</v>
      </c>
      <c r="AB140" s="185" t="n">
        <v>0</v>
      </c>
      <c r="AC140" s="185" t="n">
        <v>0</v>
      </c>
      <c r="AD140" s="185" t="n">
        <v>0</v>
      </c>
      <c r="AE140" s="185" t="n">
        <v>0</v>
      </c>
      <c r="AF140" s="185" t="n">
        <v>3398.12</v>
      </c>
      <c r="AG140" s="185" t="n">
        <v>0</v>
      </c>
      <c r="AH140" s="185" t="n">
        <v>0</v>
      </c>
      <c r="AI140" s="185" t="n">
        <v>0</v>
      </c>
      <c r="AJ140" s="185" t="n">
        <v>0</v>
      </c>
      <c r="AK140" s="185" t="n">
        <v>0</v>
      </c>
      <c r="AL140" s="186" t="n">
        <v>0</v>
      </c>
      <c r="AM140" s="30" t="inlineStr">
        <is>
          <t>.</t>
        </is>
      </c>
      <c r="AN140" s="187">
        <f>IF(L140=0,0,Z140/L140)</f>
        <v/>
      </c>
      <c r="AO140" s="57">
        <f>IF(AN140&gt;=1,"🟢",IF(AN140&gt;=0.7,"🟡",IF(AN140&gt;=0.4,"🟠","🔴")))</f>
        <v/>
      </c>
      <c r="AP140" s="185">
        <f>L140-Z140</f>
        <v/>
      </c>
      <c r="AQ140" s="55">
        <f>RANK(Z140,$Z$4:$Z$503,0)</f>
        <v/>
      </c>
      <c r="AR140" s="39" t="inlineStr">
        <is>
          <t>.</t>
        </is>
      </c>
      <c r="AS140" s="27" t="n"/>
      <c r="AT140" s="27" t="n"/>
      <c r="AU140" s="27" t="n"/>
      <c r="AV140" s="27" t="n"/>
      <c r="AW140" s="27" t="n"/>
      <c r="AX140" s="27" t="n"/>
      <c r="AY140" s="204" t="n"/>
      <c r="AZ140" s="204" t="n"/>
      <c r="BA140" s="38" t="inlineStr">
        <is>
          <t>.</t>
        </is>
      </c>
      <c r="BB140" s="190">
        <f>SUM(BC140:BN140)</f>
        <v/>
      </c>
      <c r="BC140" s="191">
        <f>L140*0.0702730030</f>
        <v/>
      </c>
      <c r="BD140" s="191">
        <f>L140*0.0734327604</f>
        <v/>
      </c>
      <c r="BE140" s="191">
        <f>L140*0.0752022245</f>
        <v/>
      </c>
      <c r="BF140" s="191">
        <f>L140*0.0771612740</f>
        <v/>
      </c>
      <c r="BG140" s="191">
        <f>L140*0.0796890799</f>
        <v/>
      </c>
      <c r="BH140" s="191">
        <f>L140*0.0817745197</f>
        <v/>
      </c>
      <c r="BI140" s="191">
        <f>L140*0.0849342770</f>
        <v/>
      </c>
      <c r="BJ140" s="191">
        <f>L140*0.0870197169</f>
        <v/>
      </c>
      <c r="BK140" s="191">
        <f>L140*0.0889787664</f>
        <v/>
      </c>
      <c r="BL140" s="191">
        <f>L140*0.0911905966</f>
        <v/>
      </c>
      <c r="BM140" s="191">
        <f>L140*0.0935920121</f>
        <v/>
      </c>
      <c r="BN140" s="192">
        <f>L140*0.0967517695</f>
        <v/>
      </c>
      <c r="BO140" s="36" t="inlineStr">
        <is>
          <t>.</t>
        </is>
      </c>
      <c r="BP140" s="193">
        <f>SUM(BQ140:CB140)</f>
        <v/>
      </c>
      <c r="BQ140" s="191">
        <f>MAX(0,BC140-AA140)</f>
        <v/>
      </c>
      <c r="BR140" s="191">
        <f>MAX(0,BD140-AB140)</f>
        <v/>
      </c>
      <c r="BS140" s="191">
        <f>MAX(0,BE140-AC140)</f>
        <v/>
      </c>
      <c r="BT140" s="191">
        <f>MAX(0,BF140-AD140)</f>
        <v/>
      </c>
      <c r="BU140" s="191">
        <f>MAX(0,BG140-AE140)</f>
        <v/>
      </c>
      <c r="BV140" s="191">
        <f>MAX(0,BH140-AF140)</f>
        <v/>
      </c>
      <c r="BW140" s="191">
        <f>MAX(0,BI140-AG140)</f>
        <v/>
      </c>
      <c r="BX140" s="191">
        <f>MAX(0,BJ140-AH140)</f>
        <v/>
      </c>
      <c r="BY140" s="191">
        <f>MAX(0,BK140-AI140)</f>
        <v/>
      </c>
      <c r="BZ140" s="191">
        <f>MAX(0,BL140-AJ140)</f>
        <v/>
      </c>
      <c r="CA140" s="191">
        <f>MAX(0,BM140-AK140)</f>
        <v/>
      </c>
      <c r="CB140" s="192">
        <f>MAX(0,BN140-AL140)</f>
        <v/>
      </c>
    </row>
    <row r="141">
      <c r="A141" s="64" t="inlineStr">
        <is>
          <t>06905607000105</t>
        </is>
      </c>
      <c r="B141" s="57" t="inlineStr">
        <is>
          <t>ESMERALDA CONVENIENCIAS LTDA - EPP</t>
        </is>
      </c>
      <c r="C141" s="57" t="inlineStr">
        <is>
          <t>SEM GRUPO</t>
        </is>
      </c>
      <c r="D141" s="61" t="inlineStr">
        <is>
          <t>HEMANUELE DITZEL (MANU)</t>
        </is>
      </c>
      <c r="E141" s="30" t="inlineStr">
        <is>
          <t>.</t>
        </is>
      </c>
      <c r="F141" s="63" t="n"/>
      <c r="G141" s="179" t="n"/>
      <c r="H141" s="57" t="n"/>
      <c r="I141" s="57" t="n"/>
      <c r="J141" s="61" t="n"/>
      <c r="K141" s="30" t="inlineStr">
        <is>
          <t>.</t>
        </is>
      </c>
      <c r="L141" s="180" t="n">
        <v>8441.33</v>
      </c>
      <c r="M141" s="181" t="n">
        <v>593.2</v>
      </c>
      <c r="N141" s="181" t="n">
        <v>619.87</v>
      </c>
      <c r="O141" s="181" t="n">
        <v>634.8099999999999</v>
      </c>
      <c r="P141" s="181" t="n">
        <v>651.34</v>
      </c>
      <c r="Q141" s="181" t="n">
        <v>672.6799999999999</v>
      </c>
      <c r="R141" s="181" t="n">
        <v>690.29</v>
      </c>
      <c r="S141" s="181" t="n">
        <v>716.96</v>
      </c>
      <c r="T141" s="181" t="n">
        <v>734.5599999999999</v>
      </c>
      <c r="U141" s="181" t="n">
        <v>751.1</v>
      </c>
      <c r="V141" s="181" t="n">
        <v>769.77</v>
      </c>
      <c r="W141" s="181" t="n">
        <v>790.04</v>
      </c>
      <c r="X141" s="182" t="n">
        <v>816.71</v>
      </c>
      <c r="Y141" s="183" t="inlineStr">
        <is>
          <t>.</t>
        </is>
      </c>
      <c r="Z141" s="184">
        <f>SUM(AA141:AL141)</f>
        <v/>
      </c>
      <c r="AA141" s="185" t="n">
        <v>0</v>
      </c>
      <c r="AB141" s="185" t="n">
        <v>0</v>
      </c>
      <c r="AC141" s="185" t="n">
        <v>0</v>
      </c>
      <c r="AD141" s="185" t="n">
        <v>0</v>
      </c>
      <c r="AE141" s="185" t="n">
        <v>3546.05</v>
      </c>
      <c r="AF141" s="185" t="n">
        <v>0</v>
      </c>
      <c r="AG141" s="185" t="n">
        <v>0</v>
      </c>
      <c r="AH141" s="185" t="n">
        <v>0</v>
      </c>
      <c r="AI141" s="185" t="n">
        <v>0</v>
      </c>
      <c r="AJ141" s="185" t="n">
        <v>0</v>
      </c>
      <c r="AK141" s="185" t="n">
        <v>0</v>
      </c>
      <c r="AL141" s="186" t="n">
        <v>0</v>
      </c>
      <c r="AM141" s="30" t="inlineStr">
        <is>
          <t>.</t>
        </is>
      </c>
      <c r="AN141" s="187">
        <f>IF(L141=0,0,Z141/L141)</f>
        <v/>
      </c>
      <c r="AO141" s="57">
        <f>IF(AN141&gt;=1,"🟢",IF(AN141&gt;=0.7,"🟡",IF(AN141&gt;=0.4,"🟠","🔴")))</f>
        <v/>
      </c>
      <c r="AP141" s="185">
        <f>L141-Z141</f>
        <v/>
      </c>
      <c r="AQ141" s="55">
        <f>RANK(Z141,$Z$4:$Z$503,0)</f>
        <v/>
      </c>
      <c r="AR141" s="39" t="inlineStr">
        <is>
          <t>.</t>
        </is>
      </c>
      <c r="AS141" s="27" t="n"/>
      <c r="AT141" s="27" t="n"/>
      <c r="AU141" s="27" t="n"/>
      <c r="AV141" s="27" t="n"/>
      <c r="AW141" s="27" t="n"/>
      <c r="AX141" s="27" t="n"/>
      <c r="AY141" s="204" t="n"/>
      <c r="AZ141" s="204" t="n"/>
      <c r="BA141" s="38" t="inlineStr">
        <is>
          <t>.</t>
        </is>
      </c>
      <c r="BB141" s="190">
        <f>SUM(BC141:BN141)</f>
        <v/>
      </c>
      <c r="BC141" s="191">
        <f>L141*0.0702730030</f>
        <v/>
      </c>
      <c r="BD141" s="191">
        <f>L141*0.0734327604</f>
        <v/>
      </c>
      <c r="BE141" s="191">
        <f>L141*0.0752022245</f>
        <v/>
      </c>
      <c r="BF141" s="191">
        <f>L141*0.0771612740</f>
        <v/>
      </c>
      <c r="BG141" s="191">
        <f>L141*0.0796890799</f>
        <v/>
      </c>
      <c r="BH141" s="191">
        <f>L141*0.0817745197</f>
        <v/>
      </c>
      <c r="BI141" s="191">
        <f>L141*0.0849342770</f>
        <v/>
      </c>
      <c r="BJ141" s="191">
        <f>L141*0.0870197169</f>
        <v/>
      </c>
      <c r="BK141" s="191">
        <f>L141*0.0889787664</f>
        <v/>
      </c>
      <c r="BL141" s="191">
        <f>L141*0.0911905966</f>
        <v/>
      </c>
      <c r="BM141" s="191">
        <f>L141*0.0935920121</f>
        <v/>
      </c>
      <c r="BN141" s="192">
        <f>L141*0.0967517695</f>
        <v/>
      </c>
      <c r="BO141" s="36" t="inlineStr">
        <is>
          <t>.</t>
        </is>
      </c>
      <c r="BP141" s="193">
        <f>SUM(BQ141:CB141)</f>
        <v/>
      </c>
      <c r="BQ141" s="191">
        <f>MAX(0,BC141-AA141)</f>
        <v/>
      </c>
      <c r="BR141" s="191">
        <f>MAX(0,BD141-AB141)</f>
        <v/>
      </c>
      <c r="BS141" s="191">
        <f>MAX(0,BE141-AC141)</f>
        <v/>
      </c>
      <c r="BT141" s="191">
        <f>MAX(0,BF141-AD141)</f>
        <v/>
      </c>
      <c r="BU141" s="191">
        <f>MAX(0,BG141-AE141)</f>
        <v/>
      </c>
      <c r="BV141" s="191">
        <f>MAX(0,BH141-AF141)</f>
        <v/>
      </c>
      <c r="BW141" s="191">
        <f>MAX(0,BI141-AG141)</f>
        <v/>
      </c>
      <c r="BX141" s="191">
        <f>MAX(0,BJ141-AH141)</f>
        <v/>
      </c>
      <c r="BY141" s="191">
        <f>MAX(0,BK141-AI141)</f>
        <v/>
      </c>
      <c r="BZ141" s="191">
        <f>MAX(0,BL141-AJ141)</f>
        <v/>
      </c>
      <c r="CA141" s="191">
        <f>MAX(0,BM141-AK141)</f>
        <v/>
      </c>
      <c r="CB141" s="192">
        <f>MAX(0,BN141-AL141)</f>
        <v/>
      </c>
    </row>
    <row r="142">
      <c r="A142" s="64" t="inlineStr">
        <is>
          <t>06905607000440</t>
        </is>
      </c>
      <c r="B142" s="57" t="inlineStr">
        <is>
          <t>ESMERALDA CONVENIENCIAS LTDA - EPP</t>
        </is>
      </c>
      <c r="C142" s="57" t="inlineStr">
        <is>
          <t>SEM GRUPO</t>
        </is>
      </c>
      <c r="D142" s="61" t="inlineStr">
        <is>
          <t>HEMANUELE DITZEL (MANU)</t>
        </is>
      </c>
      <c r="E142" s="30" t="inlineStr">
        <is>
          <t>.</t>
        </is>
      </c>
      <c r="F142" s="63" t="n"/>
      <c r="G142" s="179" t="n"/>
      <c r="H142" s="57" t="n"/>
      <c r="I142" s="57" t="n"/>
      <c r="J142" s="61" t="n"/>
      <c r="K142" s="30" t="inlineStr">
        <is>
          <t>.</t>
        </is>
      </c>
      <c r="L142" s="180" t="n">
        <v>8441.33</v>
      </c>
      <c r="M142" s="181" t="n">
        <v>593.2</v>
      </c>
      <c r="N142" s="181" t="n">
        <v>619.87</v>
      </c>
      <c r="O142" s="181" t="n">
        <v>634.8099999999999</v>
      </c>
      <c r="P142" s="181" t="n">
        <v>651.34</v>
      </c>
      <c r="Q142" s="181" t="n">
        <v>672.6799999999999</v>
      </c>
      <c r="R142" s="181" t="n">
        <v>690.29</v>
      </c>
      <c r="S142" s="181" t="n">
        <v>716.96</v>
      </c>
      <c r="T142" s="181" t="n">
        <v>734.5599999999999</v>
      </c>
      <c r="U142" s="181" t="n">
        <v>751.1</v>
      </c>
      <c r="V142" s="181" t="n">
        <v>769.77</v>
      </c>
      <c r="W142" s="181" t="n">
        <v>790.04</v>
      </c>
      <c r="X142" s="182" t="n">
        <v>816.71</v>
      </c>
      <c r="Y142" s="183" t="inlineStr">
        <is>
          <t>.</t>
        </is>
      </c>
      <c r="Z142" s="184">
        <f>SUM(AA142:AL142)</f>
        <v/>
      </c>
      <c r="AA142" s="185" t="n">
        <v>0</v>
      </c>
      <c r="AB142" s="185" t="n">
        <v>0</v>
      </c>
      <c r="AC142" s="185" t="n">
        <v>0</v>
      </c>
      <c r="AD142" s="185" t="n">
        <v>0</v>
      </c>
      <c r="AE142" s="185" t="n">
        <v>3546.05</v>
      </c>
      <c r="AF142" s="185" t="n">
        <v>0</v>
      </c>
      <c r="AG142" s="185" t="n">
        <v>0</v>
      </c>
      <c r="AH142" s="185" t="n">
        <v>0</v>
      </c>
      <c r="AI142" s="185" t="n">
        <v>0</v>
      </c>
      <c r="AJ142" s="185" t="n">
        <v>0</v>
      </c>
      <c r="AK142" s="185" t="n">
        <v>0</v>
      </c>
      <c r="AL142" s="186" t="n">
        <v>0</v>
      </c>
      <c r="AM142" s="30" t="inlineStr">
        <is>
          <t>.</t>
        </is>
      </c>
      <c r="AN142" s="187">
        <f>IF(L142=0,0,Z142/L142)</f>
        <v/>
      </c>
      <c r="AO142" s="57">
        <f>IF(AN142&gt;=1,"🟢",IF(AN142&gt;=0.7,"🟡",IF(AN142&gt;=0.4,"🟠","🔴")))</f>
        <v/>
      </c>
      <c r="AP142" s="185">
        <f>L142-Z142</f>
        <v/>
      </c>
      <c r="AQ142" s="55">
        <f>RANK(Z142,$Z$4:$Z$503,0)</f>
        <v/>
      </c>
      <c r="AR142" s="39" t="inlineStr">
        <is>
          <t>.</t>
        </is>
      </c>
      <c r="AS142" s="27" t="n"/>
      <c r="AT142" s="27" t="n"/>
      <c r="AU142" s="27" t="n"/>
      <c r="AV142" s="27" t="n"/>
      <c r="AW142" s="27" t="n"/>
      <c r="AX142" s="27" t="n"/>
      <c r="AY142" s="204" t="n"/>
      <c r="AZ142" s="204" t="n"/>
      <c r="BA142" s="38" t="inlineStr">
        <is>
          <t>.</t>
        </is>
      </c>
      <c r="BB142" s="190">
        <f>SUM(BC142:BN142)</f>
        <v/>
      </c>
      <c r="BC142" s="191">
        <f>L142*0.0702730030</f>
        <v/>
      </c>
      <c r="BD142" s="191">
        <f>L142*0.0734327604</f>
        <v/>
      </c>
      <c r="BE142" s="191">
        <f>L142*0.0752022245</f>
        <v/>
      </c>
      <c r="BF142" s="191">
        <f>L142*0.0771612740</f>
        <v/>
      </c>
      <c r="BG142" s="191">
        <f>L142*0.0796890799</f>
        <v/>
      </c>
      <c r="BH142" s="191">
        <f>L142*0.0817745197</f>
        <v/>
      </c>
      <c r="BI142" s="191">
        <f>L142*0.0849342770</f>
        <v/>
      </c>
      <c r="BJ142" s="191">
        <f>L142*0.0870197169</f>
        <v/>
      </c>
      <c r="BK142" s="191">
        <f>L142*0.0889787664</f>
        <v/>
      </c>
      <c r="BL142" s="191">
        <f>L142*0.0911905966</f>
        <v/>
      </c>
      <c r="BM142" s="191">
        <f>L142*0.0935920121</f>
        <v/>
      </c>
      <c r="BN142" s="192">
        <f>L142*0.0967517695</f>
        <v/>
      </c>
      <c r="BO142" s="36" t="inlineStr">
        <is>
          <t>.</t>
        </is>
      </c>
      <c r="BP142" s="193">
        <f>SUM(BQ142:CB142)</f>
        <v/>
      </c>
      <c r="BQ142" s="191">
        <f>MAX(0,BC142-AA142)</f>
        <v/>
      </c>
      <c r="BR142" s="191">
        <f>MAX(0,BD142-AB142)</f>
        <v/>
      </c>
      <c r="BS142" s="191">
        <f>MAX(0,BE142-AC142)</f>
        <v/>
      </c>
      <c r="BT142" s="191">
        <f>MAX(0,BF142-AD142)</f>
        <v/>
      </c>
      <c r="BU142" s="191">
        <f>MAX(0,BG142-AE142)</f>
        <v/>
      </c>
      <c r="BV142" s="191">
        <f>MAX(0,BH142-AF142)</f>
        <v/>
      </c>
      <c r="BW142" s="191">
        <f>MAX(0,BI142-AG142)</f>
        <v/>
      </c>
      <c r="BX142" s="191">
        <f>MAX(0,BJ142-AH142)</f>
        <v/>
      </c>
      <c r="BY142" s="191">
        <f>MAX(0,BK142-AI142)</f>
        <v/>
      </c>
      <c r="BZ142" s="191">
        <f>MAX(0,BL142-AJ142)</f>
        <v/>
      </c>
      <c r="CA142" s="191">
        <f>MAX(0,BM142-AK142)</f>
        <v/>
      </c>
      <c r="CB142" s="192">
        <f>MAX(0,BN142-AL142)</f>
        <v/>
      </c>
    </row>
    <row r="143">
      <c r="A143" s="64" t="inlineStr">
        <is>
          <t>06905607000369</t>
        </is>
      </c>
      <c r="B143" s="57" t="inlineStr">
        <is>
          <t>ESMERALDA CONVENIENCIAS LTDA - EPP</t>
        </is>
      </c>
      <c r="C143" s="57" t="inlineStr">
        <is>
          <t>SEM GRUPO</t>
        </is>
      </c>
      <c r="D143" s="61" t="inlineStr">
        <is>
          <t>HEMANUELE DITZEL (MANU)</t>
        </is>
      </c>
      <c r="E143" s="30" t="inlineStr">
        <is>
          <t>.</t>
        </is>
      </c>
      <c r="F143" s="63" t="n"/>
      <c r="G143" s="179" t="n"/>
      <c r="H143" s="57" t="n"/>
      <c r="I143" s="57" t="n"/>
      <c r="J143" s="61" t="n"/>
      <c r="K143" s="30" t="inlineStr">
        <is>
          <t>.</t>
        </is>
      </c>
      <c r="L143" s="180" t="n">
        <v>8435.419999999998</v>
      </c>
      <c r="M143" s="181" t="n">
        <v>592.78</v>
      </c>
      <c r="N143" s="181" t="n">
        <v>619.4400000000001</v>
      </c>
      <c r="O143" s="181" t="n">
        <v>634.36</v>
      </c>
      <c r="P143" s="181" t="n">
        <v>650.89</v>
      </c>
      <c r="Q143" s="181" t="n">
        <v>672.21</v>
      </c>
      <c r="R143" s="181" t="n">
        <v>689.8</v>
      </c>
      <c r="S143" s="181" t="n">
        <v>716.46</v>
      </c>
      <c r="T143" s="181" t="n">
        <v>734.05</v>
      </c>
      <c r="U143" s="181" t="n">
        <v>750.5700000000001</v>
      </c>
      <c r="V143" s="181" t="n">
        <v>769.23</v>
      </c>
      <c r="W143" s="181" t="n">
        <v>789.49</v>
      </c>
      <c r="X143" s="182" t="n">
        <v>816.14</v>
      </c>
      <c r="Y143" s="183" t="inlineStr">
        <is>
          <t>.</t>
        </is>
      </c>
      <c r="Z143" s="184">
        <f>SUM(AA143:AL143)</f>
        <v/>
      </c>
      <c r="AA143" s="185" t="n">
        <v>0</v>
      </c>
      <c r="AB143" s="185" t="n">
        <v>0</v>
      </c>
      <c r="AC143" s="185" t="n">
        <v>0</v>
      </c>
      <c r="AD143" s="185" t="n">
        <v>0</v>
      </c>
      <c r="AE143" s="185" t="n">
        <v>3543.66</v>
      </c>
      <c r="AF143" s="185" t="n">
        <v>0</v>
      </c>
      <c r="AG143" s="185" t="n">
        <v>0</v>
      </c>
      <c r="AH143" s="185" t="n">
        <v>0</v>
      </c>
      <c r="AI143" s="185" t="n">
        <v>0</v>
      </c>
      <c r="AJ143" s="185" t="n">
        <v>0</v>
      </c>
      <c r="AK143" s="185" t="n">
        <v>0</v>
      </c>
      <c r="AL143" s="186" t="n">
        <v>0</v>
      </c>
      <c r="AM143" s="30" t="inlineStr">
        <is>
          <t>.</t>
        </is>
      </c>
      <c r="AN143" s="187">
        <f>IF(L143=0,0,Z143/L143)</f>
        <v/>
      </c>
      <c r="AO143" s="57">
        <f>IF(AN143&gt;=1,"🟢",IF(AN143&gt;=0.7,"🟡",IF(AN143&gt;=0.4,"🟠","🔴")))</f>
        <v/>
      </c>
      <c r="AP143" s="185">
        <f>L143-Z143</f>
        <v/>
      </c>
      <c r="AQ143" s="55">
        <f>RANK(Z143,$Z$4:$Z$503,0)</f>
        <v/>
      </c>
      <c r="AR143" s="39" t="inlineStr">
        <is>
          <t>.</t>
        </is>
      </c>
      <c r="AS143" s="27" t="n"/>
      <c r="AT143" s="27" t="n"/>
      <c r="AU143" s="27" t="n"/>
      <c r="AV143" s="27" t="n"/>
      <c r="AW143" s="27" t="n"/>
      <c r="AX143" s="27" t="n"/>
      <c r="AY143" s="204" t="n"/>
      <c r="AZ143" s="204" t="n"/>
      <c r="BA143" s="38" t="inlineStr">
        <is>
          <t>.</t>
        </is>
      </c>
      <c r="BB143" s="190">
        <f>SUM(BC143:BN143)</f>
        <v/>
      </c>
      <c r="BC143" s="191">
        <f>L143*0.0702730030</f>
        <v/>
      </c>
      <c r="BD143" s="191">
        <f>L143*0.0734327604</f>
        <v/>
      </c>
      <c r="BE143" s="191">
        <f>L143*0.0752022245</f>
        <v/>
      </c>
      <c r="BF143" s="191">
        <f>L143*0.0771612740</f>
        <v/>
      </c>
      <c r="BG143" s="191">
        <f>L143*0.0796890799</f>
        <v/>
      </c>
      <c r="BH143" s="191">
        <f>L143*0.0817745197</f>
        <v/>
      </c>
      <c r="BI143" s="191">
        <f>L143*0.0849342770</f>
        <v/>
      </c>
      <c r="BJ143" s="191">
        <f>L143*0.0870197169</f>
        <v/>
      </c>
      <c r="BK143" s="191">
        <f>L143*0.0889787664</f>
        <v/>
      </c>
      <c r="BL143" s="191">
        <f>L143*0.0911905966</f>
        <v/>
      </c>
      <c r="BM143" s="191">
        <f>L143*0.0935920121</f>
        <v/>
      </c>
      <c r="BN143" s="192">
        <f>L143*0.0967517695</f>
        <v/>
      </c>
      <c r="BO143" s="36" t="inlineStr">
        <is>
          <t>.</t>
        </is>
      </c>
      <c r="BP143" s="193">
        <f>SUM(BQ143:CB143)</f>
        <v/>
      </c>
      <c r="BQ143" s="191">
        <f>MAX(0,BC143-AA143)</f>
        <v/>
      </c>
      <c r="BR143" s="191">
        <f>MAX(0,BD143-AB143)</f>
        <v/>
      </c>
      <c r="BS143" s="191">
        <f>MAX(0,BE143-AC143)</f>
        <v/>
      </c>
      <c r="BT143" s="191">
        <f>MAX(0,BF143-AD143)</f>
        <v/>
      </c>
      <c r="BU143" s="191">
        <f>MAX(0,BG143-AE143)</f>
        <v/>
      </c>
      <c r="BV143" s="191">
        <f>MAX(0,BH143-AF143)</f>
        <v/>
      </c>
      <c r="BW143" s="191">
        <f>MAX(0,BI143-AG143)</f>
        <v/>
      </c>
      <c r="BX143" s="191">
        <f>MAX(0,BJ143-AH143)</f>
        <v/>
      </c>
      <c r="BY143" s="191">
        <f>MAX(0,BK143-AI143)</f>
        <v/>
      </c>
      <c r="BZ143" s="191">
        <f>MAX(0,BL143-AJ143)</f>
        <v/>
      </c>
      <c r="CA143" s="191">
        <f>MAX(0,BM143-AK143)</f>
        <v/>
      </c>
      <c r="CB143" s="192">
        <f>MAX(0,BN143-AL143)</f>
        <v/>
      </c>
    </row>
    <row r="144">
      <c r="A144" s="64" t="inlineStr">
        <is>
          <t>79725255000171</t>
        </is>
      </c>
      <c r="B144" s="57" t="inlineStr">
        <is>
          <t>ALAVER &amp; REZENDE LTDA - ME</t>
        </is>
      </c>
      <c r="C144" s="57" t="inlineStr">
        <is>
          <t>SEM GRUPO</t>
        </is>
      </c>
      <c r="D144" s="61" t="inlineStr">
        <is>
          <t>HEMANUELE DITZEL (MANU)</t>
        </is>
      </c>
      <c r="E144" s="30" t="inlineStr">
        <is>
          <t>.</t>
        </is>
      </c>
      <c r="F144" s="63" t="n"/>
      <c r="G144" s="179" t="n"/>
      <c r="H144" s="57" t="n"/>
      <c r="I144" s="57" t="n"/>
      <c r="J144" s="61" t="n"/>
      <c r="K144" s="30" t="inlineStr">
        <is>
          <t>.</t>
        </is>
      </c>
      <c r="L144" s="180" t="n">
        <v>8288.560000000001</v>
      </c>
      <c r="M144" s="181" t="n">
        <v>582.46</v>
      </c>
      <c r="N144" s="181" t="n">
        <v>608.65</v>
      </c>
      <c r="O144" s="181" t="n">
        <v>623.3200000000001</v>
      </c>
      <c r="P144" s="181" t="n">
        <v>639.5599999999999</v>
      </c>
      <c r="Q144" s="181" t="n">
        <v>660.51</v>
      </c>
      <c r="R144" s="181" t="n">
        <v>677.79</v>
      </c>
      <c r="S144" s="181" t="n">
        <v>703.98</v>
      </c>
      <c r="T144" s="181" t="n">
        <v>721.27</v>
      </c>
      <c r="U144" s="181" t="n">
        <v>737.51</v>
      </c>
      <c r="V144" s="181" t="n">
        <v>755.84</v>
      </c>
      <c r="W144" s="181" t="n">
        <v>775.74</v>
      </c>
      <c r="X144" s="182" t="n">
        <v>801.9299999999999</v>
      </c>
      <c r="Y144" s="183" t="inlineStr">
        <is>
          <t>.</t>
        </is>
      </c>
      <c r="Z144" s="184">
        <f>SUM(AA144:AL144)</f>
        <v/>
      </c>
      <c r="AA144" s="185" t="n">
        <v>0</v>
      </c>
      <c r="AB144" s="185" t="n">
        <v>0</v>
      </c>
      <c r="AC144" s="185" t="n">
        <v>0</v>
      </c>
      <c r="AD144" s="185" t="n">
        <v>0</v>
      </c>
      <c r="AE144" s="185" t="n">
        <v>1078.44</v>
      </c>
      <c r="AF144" s="185" t="n">
        <v>785.64</v>
      </c>
      <c r="AG144" s="185" t="n">
        <v>0</v>
      </c>
      <c r="AH144" s="185" t="n">
        <v>783.75</v>
      </c>
      <c r="AI144" s="185" t="n">
        <v>0</v>
      </c>
      <c r="AJ144" s="185" t="n">
        <v>1032.05</v>
      </c>
      <c r="AK144" s="185" t="n">
        <v>0</v>
      </c>
      <c r="AL144" s="186" t="n">
        <v>0</v>
      </c>
      <c r="AM144" s="30" t="inlineStr">
        <is>
          <t>.</t>
        </is>
      </c>
      <c r="AN144" s="187">
        <f>IF(L144=0,0,Z144/L144)</f>
        <v/>
      </c>
      <c r="AO144" s="57">
        <f>IF(AN144&gt;=1,"🟢",IF(AN144&gt;=0.7,"🟡",IF(AN144&gt;=0.4,"🟠","🔴")))</f>
        <v/>
      </c>
      <c r="AP144" s="185">
        <f>L144-Z144</f>
        <v/>
      </c>
      <c r="AQ144" s="55">
        <f>RANK(Z144,$Z$4:$Z$503,0)</f>
        <v/>
      </c>
      <c r="AR144" s="39" t="inlineStr">
        <is>
          <t>.</t>
        </is>
      </c>
      <c r="AS144" s="27" t="n"/>
      <c r="AT144" s="27" t="n"/>
      <c r="AU144" s="27" t="n"/>
      <c r="AV144" s="27" t="n"/>
      <c r="AW144" s="27" t="n"/>
      <c r="AX144" s="27" t="n"/>
      <c r="AY144" s="204" t="n"/>
      <c r="AZ144" s="204" t="n"/>
      <c r="BA144" s="38" t="inlineStr">
        <is>
          <t>.</t>
        </is>
      </c>
      <c r="BB144" s="190">
        <f>SUM(BC144:BN144)</f>
        <v/>
      </c>
      <c r="BC144" s="191">
        <f>L144*0.0702730030</f>
        <v/>
      </c>
      <c r="BD144" s="191">
        <f>L144*0.0734327604</f>
        <v/>
      </c>
      <c r="BE144" s="191">
        <f>L144*0.0752022245</f>
        <v/>
      </c>
      <c r="BF144" s="191">
        <f>L144*0.0771612740</f>
        <v/>
      </c>
      <c r="BG144" s="191">
        <f>L144*0.0796890799</f>
        <v/>
      </c>
      <c r="BH144" s="191">
        <f>L144*0.0817745197</f>
        <v/>
      </c>
      <c r="BI144" s="191">
        <f>L144*0.0849342770</f>
        <v/>
      </c>
      <c r="BJ144" s="191">
        <f>L144*0.0870197169</f>
        <v/>
      </c>
      <c r="BK144" s="191">
        <f>L144*0.0889787664</f>
        <v/>
      </c>
      <c r="BL144" s="191">
        <f>L144*0.0911905966</f>
        <v/>
      </c>
      <c r="BM144" s="191">
        <f>L144*0.0935920121</f>
        <v/>
      </c>
      <c r="BN144" s="192">
        <f>L144*0.0967517695</f>
        <v/>
      </c>
      <c r="BO144" s="36" t="inlineStr">
        <is>
          <t>.</t>
        </is>
      </c>
      <c r="BP144" s="193">
        <f>SUM(BQ144:CB144)</f>
        <v/>
      </c>
      <c r="BQ144" s="191">
        <f>MAX(0,BC144-AA144)</f>
        <v/>
      </c>
      <c r="BR144" s="191">
        <f>MAX(0,BD144-AB144)</f>
        <v/>
      </c>
      <c r="BS144" s="191">
        <f>MAX(0,BE144-AC144)</f>
        <v/>
      </c>
      <c r="BT144" s="191">
        <f>MAX(0,BF144-AD144)</f>
        <v/>
      </c>
      <c r="BU144" s="191">
        <f>MAX(0,BG144-AE144)</f>
        <v/>
      </c>
      <c r="BV144" s="191">
        <f>MAX(0,BH144-AF144)</f>
        <v/>
      </c>
      <c r="BW144" s="191">
        <f>MAX(0,BI144-AG144)</f>
        <v/>
      </c>
      <c r="BX144" s="191">
        <f>MAX(0,BJ144-AH144)</f>
        <v/>
      </c>
      <c r="BY144" s="191">
        <f>MAX(0,BK144-AI144)</f>
        <v/>
      </c>
      <c r="BZ144" s="191">
        <f>MAX(0,BL144-AJ144)</f>
        <v/>
      </c>
      <c r="CA144" s="191">
        <f>MAX(0,BM144-AK144)</f>
        <v/>
      </c>
      <c r="CB144" s="192">
        <f>MAX(0,BN144-AL144)</f>
        <v/>
      </c>
    </row>
    <row r="145">
      <c r="A145" s="64" t="inlineStr">
        <is>
          <t>62288560000140</t>
        </is>
      </c>
      <c r="B145" s="57" t="inlineStr">
        <is>
          <t>EMPORIO E HORTIFRUTI SEMENTE DE LUZ LTDA</t>
        </is>
      </c>
      <c r="C145" s="57" t="inlineStr">
        <is>
          <t>SEM GRUPO</t>
        </is>
      </c>
      <c r="D145" s="61" t="inlineStr">
        <is>
          <t>LARISSA PADILHA</t>
        </is>
      </c>
      <c r="E145" s="30" t="inlineStr">
        <is>
          <t>.</t>
        </is>
      </c>
      <c r="F145" s="63" t="n"/>
      <c r="G145" s="179" t="n"/>
      <c r="H145" s="57" t="n"/>
      <c r="I145" s="57" t="n"/>
      <c r="J145" s="61" t="n"/>
      <c r="K145" s="30" t="inlineStr">
        <is>
          <t>.</t>
        </is>
      </c>
      <c r="L145" s="180" t="n">
        <v>8270.52</v>
      </c>
      <c r="M145" s="181" t="n">
        <v>581.1900000000001</v>
      </c>
      <c r="N145" s="181" t="n">
        <v>607.33</v>
      </c>
      <c r="O145" s="181" t="n">
        <v>621.96</v>
      </c>
      <c r="P145" s="181" t="n">
        <v>638.16</v>
      </c>
      <c r="Q145" s="181" t="n">
        <v>659.0700000000001</v>
      </c>
      <c r="R145" s="181" t="n">
        <v>676.3200000000001</v>
      </c>
      <c r="S145" s="181" t="n">
        <v>702.45</v>
      </c>
      <c r="T145" s="181" t="n">
        <v>719.7</v>
      </c>
      <c r="U145" s="181" t="n">
        <v>735.9</v>
      </c>
      <c r="V145" s="181" t="n">
        <v>754.1900000000001</v>
      </c>
      <c r="W145" s="181" t="n">
        <v>774.0599999999999</v>
      </c>
      <c r="X145" s="182" t="n">
        <v>800.1900000000001</v>
      </c>
      <c r="Y145" s="183" t="inlineStr">
        <is>
          <t>.</t>
        </is>
      </c>
      <c r="Z145" s="184">
        <f>SUM(AA145:AL145)</f>
        <v/>
      </c>
      <c r="AA145" s="185" t="n">
        <v>0</v>
      </c>
      <c r="AB145" s="185" t="n">
        <v>0</v>
      </c>
      <c r="AC145" s="185" t="n">
        <v>0</v>
      </c>
      <c r="AD145" s="185" t="n">
        <v>0</v>
      </c>
      <c r="AE145" s="185" t="n">
        <v>0</v>
      </c>
      <c r="AF145" s="185" t="n">
        <v>0</v>
      </c>
      <c r="AG145" s="185" t="n">
        <v>0</v>
      </c>
      <c r="AH145" s="185" t="n">
        <v>0</v>
      </c>
      <c r="AI145" s="185" t="n">
        <v>0</v>
      </c>
      <c r="AJ145" s="185" t="n">
        <v>0</v>
      </c>
      <c r="AK145" s="185" t="n">
        <v>4411.67</v>
      </c>
      <c r="AL145" s="186" t="n">
        <v>0</v>
      </c>
      <c r="AM145" s="222" t="n">
        <v>2501.31</v>
      </c>
      <c r="AN145" s="187">
        <f>IF(L145=0,0,Z145/L145)</f>
        <v/>
      </c>
      <c r="AO145" s="57">
        <f>IF(AN145&gt;=1,"🟢",IF(AN145&gt;=0.7,"🟡",IF(AN145&gt;=0.4,"🟠","🔴")))</f>
        <v/>
      </c>
      <c r="AP145" s="185">
        <f>L145-Z145</f>
        <v/>
      </c>
      <c r="AQ145" s="55">
        <f>RANK(Z145,$Z$4:$Z$503,0)</f>
        <v/>
      </c>
      <c r="AR145" s="39" t="inlineStr">
        <is>
          <t>.</t>
        </is>
      </c>
      <c r="AS145" s="27" t="n"/>
      <c r="AT145" s="27" t="n"/>
      <c r="AU145" s="27" t="n"/>
      <c r="AV145" s="27" t="n"/>
      <c r="AW145" s="27" t="n"/>
      <c r="AX145" s="27" t="n"/>
      <c r="AY145" s="204" t="n"/>
      <c r="AZ145" s="204" t="n"/>
      <c r="BA145" s="38" t="inlineStr">
        <is>
          <t>.</t>
        </is>
      </c>
      <c r="BB145" s="190">
        <f>SUM(BC145:BN145)</f>
        <v/>
      </c>
      <c r="BC145" s="191">
        <f>L145*0.0702730030</f>
        <v/>
      </c>
      <c r="BD145" s="191">
        <f>L145*0.0734327604</f>
        <v/>
      </c>
      <c r="BE145" s="191">
        <f>L145*0.0752022245</f>
        <v/>
      </c>
      <c r="BF145" s="191">
        <f>L145*0.0771612740</f>
        <v/>
      </c>
      <c r="BG145" s="191">
        <f>L145*0.0796890799</f>
        <v/>
      </c>
      <c r="BH145" s="191">
        <f>L145*0.0817745197</f>
        <v/>
      </c>
      <c r="BI145" s="191">
        <f>L145*0.0849342770</f>
        <v/>
      </c>
      <c r="BJ145" s="191">
        <f>L145*0.0870197169</f>
        <v/>
      </c>
      <c r="BK145" s="191">
        <f>L145*0.0889787664</f>
        <v/>
      </c>
      <c r="BL145" s="191">
        <f>L145*0.0911905966</f>
        <v/>
      </c>
      <c r="BM145" s="191">
        <f>L145*0.0935920121</f>
        <v/>
      </c>
      <c r="BN145" s="192">
        <f>L145*0.0967517695</f>
        <v/>
      </c>
      <c r="BO145" s="36" t="inlineStr">
        <is>
          <t>.</t>
        </is>
      </c>
      <c r="BP145" s="193">
        <f>SUM(BQ145:CB145)</f>
        <v/>
      </c>
      <c r="BQ145" s="191">
        <f>MAX(0,BC145-AA145)</f>
        <v/>
      </c>
      <c r="BR145" s="191">
        <f>MAX(0,BD145-AB145)</f>
        <v/>
      </c>
      <c r="BS145" s="191">
        <f>MAX(0,BE145-AC145)</f>
        <v/>
      </c>
      <c r="BT145" s="191">
        <f>MAX(0,BF145-AD145)</f>
        <v/>
      </c>
      <c r="BU145" s="191">
        <f>MAX(0,BG145-AE145)</f>
        <v/>
      </c>
      <c r="BV145" s="191">
        <f>MAX(0,BH145-AF145)</f>
        <v/>
      </c>
      <c r="BW145" s="191">
        <f>MAX(0,BI145-AG145)</f>
        <v/>
      </c>
      <c r="BX145" s="191">
        <f>MAX(0,BJ145-AH145)</f>
        <v/>
      </c>
      <c r="BY145" s="191">
        <f>MAX(0,BK145-AI145)</f>
        <v/>
      </c>
      <c r="BZ145" s="191">
        <f>MAX(0,BL145-AJ145)</f>
        <v/>
      </c>
      <c r="CA145" s="191">
        <f>MAX(0,BM145-AK145)</f>
        <v/>
      </c>
      <c r="CB145" s="192">
        <f>MAX(0,BN145-AL145)</f>
        <v/>
      </c>
    </row>
    <row r="146">
      <c r="A146" s="64" t="inlineStr">
        <is>
          <t>22105950000113</t>
        </is>
      </c>
      <c r="B146" s="57" t="inlineStr">
        <is>
          <t>TEMPEROS &amp; MEL LTDA - ME</t>
        </is>
      </c>
      <c r="C146" s="57" t="inlineStr">
        <is>
          <t>SEM GRUPO</t>
        </is>
      </c>
      <c r="D146" s="61" t="inlineStr">
        <is>
          <t>LARISSA PADILHA</t>
        </is>
      </c>
      <c r="E146" s="30" t="inlineStr">
        <is>
          <t>.</t>
        </is>
      </c>
      <c r="F146" s="63" t="n"/>
      <c r="G146" s="179" t="n"/>
      <c r="H146" s="57" t="n"/>
      <c r="I146" s="57" t="n"/>
      <c r="J146" s="61" t="n"/>
      <c r="K146" s="30" t="inlineStr">
        <is>
          <t>.</t>
        </is>
      </c>
      <c r="L146" s="180" t="n">
        <v>8261.25</v>
      </c>
      <c r="M146" s="181" t="n">
        <v>580.54</v>
      </c>
      <c r="N146" s="181" t="n">
        <v>606.65</v>
      </c>
      <c r="O146" s="181" t="n">
        <v>621.26</v>
      </c>
      <c r="P146" s="181" t="n">
        <v>637.45</v>
      </c>
      <c r="Q146" s="181" t="n">
        <v>658.33</v>
      </c>
      <c r="R146" s="181" t="n">
        <v>675.5599999999999</v>
      </c>
      <c r="S146" s="181" t="n">
        <v>701.66</v>
      </c>
      <c r="T146" s="181" t="n">
        <v>718.89</v>
      </c>
      <c r="U146" s="181" t="n">
        <v>735.08</v>
      </c>
      <c r="V146" s="181" t="n">
        <v>753.35</v>
      </c>
      <c r="W146" s="181" t="n">
        <v>773.1900000000001</v>
      </c>
      <c r="X146" s="182" t="n">
        <v>799.29</v>
      </c>
      <c r="Y146" s="183" t="inlineStr">
        <is>
          <t>.</t>
        </is>
      </c>
      <c r="Z146" s="184">
        <f>SUM(AA146:AL146)</f>
        <v/>
      </c>
      <c r="AA146" s="185" t="n">
        <v>0</v>
      </c>
      <c r="AB146" s="185" t="n">
        <v>0</v>
      </c>
      <c r="AC146" s="185" t="n">
        <v>0</v>
      </c>
      <c r="AD146" s="185" t="n">
        <v>0</v>
      </c>
      <c r="AE146" s="185" t="n">
        <v>0</v>
      </c>
      <c r="AF146" s="185" t="n">
        <v>1627.84</v>
      </c>
      <c r="AG146" s="185" t="n">
        <v>0</v>
      </c>
      <c r="AH146" s="185" t="n">
        <v>1772.97</v>
      </c>
      <c r="AI146" s="185" t="n">
        <v>0</v>
      </c>
      <c r="AJ146" s="185" t="n">
        <v>0</v>
      </c>
      <c r="AK146" s="185" t="n">
        <v>0</v>
      </c>
      <c r="AL146" s="186" t="n">
        <v>0</v>
      </c>
      <c r="AM146" s="30" t="inlineStr">
        <is>
          <t>.</t>
        </is>
      </c>
      <c r="AN146" s="187">
        <f>IF(L146=0,0,Z146/L146)</f>
        <v/>
      </c>
      <c r="AO146" s="57">
        <f>IF(AN146&gt;=1,"🟢",IF(AN146&gt;=0.7,"🟡",IF(AN146&gt;=0.4,"🟠","🔴")))</f>
        <v/>
      </c>
      <c r="AP146" s="185">
        <f>L146-Z146</f>
        <v/>
      </c>
      <c r="AQ146" s="55">
        <f>RANK(Z146,$Z$4:$Z$503,0)</f>
        <v/>
      </c>
      <c r="AR146" s="39" t="inlineStr">
        <is>
          <t>.</t>
        </is>
      </c>
      <c r="AS146" s="27" t="n"/>
      <c r="AT146" s="27" t="n"/>
      <c r="AU146" s="27" t="n"/>
      <c r="AV146" s="27" t="n"/>
      <c r="AW146" s="27" t="n"/>
      <c r="AX146" s="27" t="n"/>
      <c r="AY146" s="204" t="n"/>
      <c r="AZ146" s="204" t="n"/>
      <c r="BA146" s="38" t="inlineStr">
        <is>
          <t>.</t>
        </is>
      </c>
      <c r="BB146" s="190">
        <f>SUM(BC146:BN146)</f>
        <v/>
      </c>
      <c r="BC146" s="191">
        <f>L146*0.0702730030</f>
        <v/>
      </c>
      <c r="BD146" s="191">
        <f>L146*0.0734327604</f>
        <v/>
      </c>
      <c r="BE146" s="191">
        <f>L146*0.0752022245</f>
        <v/>
      </c>
      <c r="BF146" s="191">
        <f>L146*0.0771612740</f>
        <v/>
      </c>
      <c r="BG146" s="191">
        <f>L146*0.0796890799</f>
        <v/>
      </c>
      <c r="BH146" s="191">
        <f>L146*0.0817745197</f>
        <v/>
      </c>
      <c r="BI146" s="191">
        <f>L146*0.0849342770</f>
        <v/>
      </c>
      <c r="BJ146" s="191">
        <f>L146*0.0870197169</f>
        <v/>
      </c>
      <c r="BK146" s="191">
        <f>L146*0.0889787664</f>
        <v/>
      </c>
      <c r="BL146" s="191">
        <f>L146*0.0911905966</f>
        <v/>
      </c>
      <c r="BM146" s="191">
        <f>L146*0.0935920121</f>
        <v/>
      </c>
      <c r="BN146" s="192">
        <f>L146*0.0967517695</f>
        <v/>
      </c>
      <c r="BO146" s="36" t="inlineStr">
        <is>
          <t>.</t>
        </is>
      </c>
      <c r="BP146" s="193">
        <f>SUM(BQ146:CB146)</f>
        <v/>
      </c>
      <c r="BQ146" s="191">
        <f>MAX(0,BC146-AA146)</f>
        <v/>
      </c>
      <c r="BR146" s="191">
        <f>MAX(0,BD146-AB146)</f>
        <v/>
      </c>
      <c r="BS146" s="191">
        <f>MAX(0,BE146-AC146)</f>
        <v/>
      </c>
      <c r="BT146" s="191">
        <f>MAX(0,BF146-AD146)</f>
        <v/>
      </c>
      <c r="BU146" s="191">
        <f>MAX(0,BG146-AE146)</f>
        <v/>
      </c>
      <c r="BV146" s="191">
        <f>MAX(0,BH146-AF146)</f>
        <v/>
      </c>
      <c r="BW146" s="191">
        <f>MAX(0,BI146-AG146)</f>
        <v/>
      </c>
      <c r="BX146" s="191">
        <f>MAX(0,BJ146-AH146)</f>
        <v/>
      </c>
      <c r="BY146" s="191">
        <f>MAX(0,BK146-AI146)</f>
        <v/>
      </c>
      <c r="BZ146" s="191">
        <f>MAX(0,BL146-AJ146)</f>
        <v/>
      </c>
      <c r="CA146" s="191">
        <f>MAX(0,BM146-AK146)</f>
        <v/>
      </c>
      <c r="CB146" s="192">
        <f>MAX(0,BN146-AL146)</f>
        <v/>
      </c>
    </row>
    <row r="147">
      <c r="A147" s="64" t="inlineStr">
        <is>
          <t>22746850000176</t>
        </is>
      </c>
      <c r="B147" s="57" t="inlineStr">
        <is>
          <t>EMPORIO JAYA DISTRIBUICAO DE ALIMENTOS L</t>
        </is>
      </c>
      <c r="C147" s="57" t="inlineStr">
        <is>
          <t>SEM GRUPO</t>
        </is>
      </c>
      <c r="D147" s="61" t="inlineStr">
        <is>
          <t>LARISSA PADILHA</t>
        </is>
      </c>
      <c r="E147" s="30" t="inlineStr">
        <is>
          <t>.</t>
        </is>
      </c>
      <c r="F147" s="63" t="n"/>
      <c r="G147" s="179" t="n"/>
      <c r="H147" s="57" t="n"/>
      <c r="I147" s="57" t="n"/>
      <c r="J147" s="61" t="n"/>
      <c r="K147" s="30" t="inlineStr">
        <is>
          <t>.</t>
        </is>
      </c>
      <c r="L147" s="180" t="n">
        <v>8206.440000000001</v>
      </c>
      <c r="M147" s="181" t="n">
        <v>576.6900000000001</v>
      </c>
      <c r="N147" s="181" t="n">
        <v>602.62</v>
      </c>
      <c r="O147" s="181" t="n">
        <v>617.14</v>
      </c>
      <c r="P147" s="181" t="n">
        <v>633.22</v>
      </c>
      <c r="Q147" s="181" t="n">
        <v>653.96</v>
      </c>
      <c r="R147" s="181" t="n">
        <v>671.08</v>
      </c>
      <c r="S147" s="181" t="n">
        <v>697.01</v>
      </c>
      <c r="T147" s="181" t="n">
        <v>714.12</v>
      </c>
      <c r="U147" s="181" t="n">
        <v>730.2</v>
      </c>
      <c r="V147" s="181" t="n">
        <v>748.35</v>
      </c>
      <c r="W147" s="181" t="n">
        <v>768.0599999999999</v>
      </c>
      <c r="X147" s="182" t="n">
        <v>793.99</v>
      </c>
      <c r="Y147" s="183" t="inlineStr">
        <is>
          <t>.</t>
        </is>
      </c>
      <c r="Z147" s="184">
        <f>SUM(AA147:AL147)</f>
        <v/>
      </c>
      <c r="AA147" s="185" t="n">
        <v>0</v>
      </c>
      <c r="AB147" s="185" t="n">
        <v>0</v>
      </c>
      <c r="AC147" s="185" t="n">
        <v>0</v>
      </c>
      <c r="AD147" s="185" t="n">
        <v>956.71</v>
      </c>
      <c r="AE147" s="185" t="n">
        <v>0</v>
      </c>
      <c r="AF147" s="185" t="n">
        <v>1579.78</v>
      </c>
      <c r="AG147" s="185" t="n">
        <v>0</v>
      </c>
      <c r="AH147" s="185" t="n">
        <v>0</v>
      </c>
      <c r="AI147" s="185" t="n">
        <v>0</v>
      </c>
      <c r="AJ147" s="185" t="n">
        <v>0</v>
      </c>
      <c r="AK147" s="185" t="n">
        <v>839.76</v>
      </c>
      <c r="AL147" s="186" t="n">
        <v>0</v>
      </c>
      <c r="AM147" s="30" t="inlineStr">
        <is>
          <t>.</t>
        </is>
      </c>
      <c r="AN147" s="187">
        <f>IF(L147=0,0,Z147/L147)</f>
        <v/>
      </c>
      <c r="AO147" s="57">
        <f>IF(AN147&gt;=1,"🟢",IF(AN147&gt;=0.7,"🟡",IF(AN147&gt;=0.4,"🟠","🔴")))</f>
        <v/>
      </c>
      <c r="AP147" s="185">
        <f>L147-Z147</f>
        <v/>
      </c>
      <c r="AQ147" s="55">
        <f>RANK(Z147,$Z$4:$Z$503,0)</f>
        <v/>
      </c>
      <c r="AR147" s="39" t="inlineStr">
        <is>
          <t>.</t>
        </is>
      </c>
      <c r="AS147" s="27" t="n"/>
      <c r="AT147" s="27" t="n"/>
      <c r="AU147" s="27" t="n"/>
      <c r="AV147" s="27" t="n"/>
      <c r="AW147" s="27" t="n"/>
      <c r="AX147" s="27" t="n"/>
      <c r="AY147" s="204" t="n"/>
      <c r="AZ147" s="204" t="n"/>
      <c r="BA147" s="38" t="inlineStr">
        <is>
          <t>.</t>
        </is>
      </c>
      <c r="BB147" s="190">
        <f>SUM(BC147:BN147)</f>
        <v/>
      </c>
      <c r="BC147" s="191">
        <f>L147*0.0702730030</f>
        <v/>
      </c>
      <c r="BD147" s="191">
        <f>L147*0.0734327604</f>
        <v/>
      </c>
      <c r="BE147" s="191">
        <f>L147*0.0752022245</f>
        <v/>
      </c>
      <c r="BF147" s="191">
        <f>L147*0.0771612740</f>
        <v/>
      </c>
      <c r="BG147" s="191">
        <f>L147*0.0796890799</f>
        <v/>
      </c>
      <c r="BH147" s="191">
        <f>L147*0.0817745197</f>
        <v/>
      </c>
      <c r="BI147" s="191">
        <f>L147*0.0849342770</f>
        <v/>
      </c>
      <c r="BJ147" s="191">
        <f>L147*0.0870197169</f>
        <v/>
      </c>
      <c r="BK147" s="191">
        <f>L147*0.0889787664</f>
        <v/>
      </c>
      <c r="BL147" s="191">
        <f>L147*0.0911905966</f>
        <v/>
      </c>
      <c r="BM147" s="191">
        <f>L147*0.0935920121</f>
        <v/>
      </c>
      <c r="BN147" s="192">
        <f>L147*0.0967517695</f>
        <v/>
      </c>
      <c r="BO147" s="36" t="inlineStr">
        <is>
          <t>.</t>
        </is>
      </c>
      <c r="BP147" s="193">
        <f>SUM(BQ147:CB147)</f>
        <v/>
      </c>
      <c r="BQ147" s="191">
        <f>MAX(0,BC147-AA147)</f>
        <v/>
      </c>
      <c r="BR147" s="191">
        <f>MAX(0,BD147-AB147)</f>
        <v/>
      </c>
      <c r="BS147" s="191">
        <f>MAX(0,BE147-AC147)</f>
        <v/>
      </c>
      <c r="BT147" s="191">
        <f>MAX(0,BF147-AD147)</f>
        <v/>
      </c>
      <c r="BU147" s="191">
        <f>MAX(0,BG147-AE147)</f>
        <v/>
      </c>
      <c r="BV147" s="191">
        <f>MAX(0,BH147-AF147)</f>
        <v/>
      </c>
      <c r="BW147" s="191">
        <f>MAX(0,BI147-AG147)</f>
        <v/>
      </c>
      <c r="BX147" s="191">
        <f>MAX(0,BJ147-AH147)</f>
        <v/>
      </c>
      <c r="BY147" s="191">
        <f>MAX(0,BK147-AI147)</f>
        <v/>
      </c>
      <c r="BZ147" s="191">
        <f>MAX(0,BL147-AJ147)</f>
        <v/>
      </c>
      <c r="CA147" s="191">
        <f>MAX(0,BM147-AK147)</f>
        <v/>
      </c>
      <c r="CB147" s="192">
        <f>MAX(0,BN147-AL147)</f>
        <v/>
      </c>
    </row>
    <row r="148">
      <c r="A148" s="64" t="inlineStr">
        <is>
          <t>03300974003870</t>
        </is>
      </c>
      <c r="B148" s="57" t="inlineStr">
        <is>
          <t>ELASA - ELO ALIMENTACAO S/A.</t>
        </is>
      </c>
      <c r="C148" s="57" t="inlineStr">
        <is>
          <t>SEM GRUPO</t>
        </is>
      </c>
      <c r="D148" s="61" t="inlineStr">
        <is>
          <t>LARISSA PADILHA</t>
        </is>
      </c>
      <c r="E148" s="30" t="inlineStr">
        <is>
          <t>.</t>
        </is>
      </c>
      <c r="F148" s="63" t="n"/>
      <c r="G148" s="179" t="n"/>
      <c r="H148" s="57" t="n"/>
      <c r="I148" s="57" t="n"/>
      <c r="J148" s="61" t="n"/>
      <c r="K148" s="30" t="inlineStr">
        <is>
          <t>.</t>
        </is>
      </c>
      <c r="L148" s="180" t="n">
        <v>8205.869999999999</v>
      </c>
      <c r="M148" s="181" t="n">
        <v>576.65</v>
      </c>
      <c r="N148" s="181" t="n">
        <v>602.58</v>
      </c>
      <c r="O148" s="181" t="n">
        <v>617.1</v>
      </c>
      <c r="P148" s="181" t="n">
        <v>633.1799999999999</v>
      </c>
      <c r="Q148" s="181" t="n">
        <v>653.92</v>
      </c>
      <c r="R148" s="181" t="n">
        <v>671.03</v>
      </c>
      <c r="S148" s="181" t="n">
        <v>696.96</v>
      </c>
      <c r="T148" s="181" t="n">
        <v>714.0700000000001</v>
      </c>
      <c r="U148" s="181" t="n">
        <v>730.15</v>
      </c>
      <c r="V148" s="181" t="n">
        <v>748.3</v>
      </c>
      <c r="W148" s="181" t="n">
        <v>768</v>
      </c>
      <c r="X148" s="182" t="n">
        <v>793.9299999999999</v>
      </c>
      <c r="Y148" s="183" t="inlineStr">
        <is>
          <t>.</t>
        </is>
      </c>
      <c r="Z148" s="184">
        <f>SUM(AA148:AL148)</f>
        <v/>
      </c>
      <c r="AA148" s="185" t="n">
        <v>0</v>
      </c>
      <c r="AB148" s="185" t="n">
        <v>0</v>
      </c>
      <c r="AC148" s="185" t="n">
        <v>0</v>
      </c>
      <c r="AD148" s="185" t="n">
        <v>0</v>
      </c>
      <c r="AE148" s="185" t="n">
        <v>0</v>
      </c>
      <c r="AF148" s="185" t="n">
        <v>3295.29</v>
      </c>
      <c r="AG148" s="185" t="n">
        <v>0</v>
      </c>
      <c r="AH148" s="185" t="n">
        <v>0</v>
      </c>
      <c r="AI148" s="185" t="n">
        <v>0</v>
      </c>
      <c r="AJ148" s="185" t="n">
        <v>0</v>
      </c>
      <c r="AK148" s="185" t="n">
        <v>0</v>
      </c>
      <c r="AL148" s="186" t="n">
        <v>0</v>
      </c>
      <c r="AM148" s="30" t="inlineStr">
        <is>
          <t>.</t>
        </is>
      </c>
      <c r="AN148" s="187">
        <f>IF(L148=0,0,Z148/L148)</f>
        <v/>
      </c>
      <c r="AO148" s="57">
        <f>IF(AN148&gt;=1,"🟢",IF(AN148&gt;=0.7,"🟡",IF(AN148&gt;=0.4,"🟠","🔴")))</f>
        <v/>
      </c>
      <c r="AP148" s="185">
        <f>L148-Z148</f>
        <v/>
      </c>
      <c r="AQ148" s="55">
        <f>RANK(Z148,$Z$4:$Z$503,0)</f>
        <v/>
      </c>
      <c r="AR148" s="39" t="inlineStr">
        <is>
          <t>.</t>
        </is>
      </c>
      <c r="AS148" s="27" t="n"/>
      <c r="AT148" s="27" t="n"/>
      <c r="AU148" s="27" t="n"/>
      <c r="AV148" s="27" t="n"/>
      <c r="AW148" s="27" t="n"/>
      <c r="AX148" s="27" t="n"/>
      <c r="AY148" s="204" t="n"/>
      <c r="AZ148" s="204" t="n"/>
      <c r="BA148" s="38" t="inlineStr">
        <is>
          <t>.</t>
        </is>
      </c>
      <c r="BB148" s="190">
        <f>SUM(BC148:BN148)</f>
        <v/>
      </c>
      <c r="BC148" s="191">
        <f>L148*0.0702730030</f>
        <v/>
      </c>
      <c r="BD148" s="191">
        <f>L148*0.0734327604</f>
        <v/>
      </c>
      <c r="BE148" s="191">
        <f>L148*0.0752022245</f>
        <v/>
      </c>
      <c r="BF148" s="191">
        <f>L148*0.0771612740</f>
        <v/>
      </c>
      <c r="BG148" s="191">
        <f>L148*0.0796890799</f>
        <v/>
      </c>
      <c r="BH148" s="191">
        <f>L148*0.0817745197</f>
        <v/>
      </c>
      <c r="BI148" s="191">
        <f>L148*0.0849342770</f>
        <v/>
      </c>
      <c r="BJ148" s="191">
        <f>L148*0.0870197169</f>
        <v/>
      </c>
      <c r="BK148" s="191">
        <f>L148*0.0889787664</f>
        <v/>
      </c>
      <c r="BL148" s="191">
        <f>L148*0.0911905966</f>
        <v/>
      </c>
      <c r="BM148" s="191">
        <f>L148*0.0935920121</f>
        <v/>
      </c>
      <c r="BN148" s="192">
        <f>L148*0.0967517695</f>
        <v/>
      </c>
      <c r="BO148" s="36" t="inlineStr">
        <is>
          <t>.</t>
        </is>
      </c>
      <c r="BP148" s="193">
        <f>SUM(BQ148:CB148)</f>
        <v/>
      </c>
      <c r="BQ148" s="191">
        <f>MAX(0,BC148-AA148)</f>
        <v/>
      </c>
      <c r="BR148" s="191">
        <f>MAX(0,BD148-AB148)</f>
        <v/>
      </c>
      <c r="BS148" s="191">
        <f>MAX(0,BE148-AC148)</f>
        <v/>
      </c>
      <c r="BT148" s="191">
        <f>MAX(0,BF148-AD148)</f>
        <v/>
      </c>
      <c r="BU148" s="191">
        <f>MAX(0,BG148-AE148)</f>
        <v/>
      </c>
      <c r="BV148" s="191">
        <f>MAX(0,BH148-AF148)</f>
        <v/>
      </c>
      <c r="BW148" s="191">
        <f>MAX(0,BI148-AG148)</f>
        <v/>
      </c>
      <c r="BX148" s="191">
        <f>MAX(0,BJ148-AH148)</f>
        <v/>
      </c>
      <c r="BY148" s="191">
        <f>MAX(0,BK148-AI148)</f>
        <v/>
      </c>
      <c r="BZ148" s="191">
        <f>MAX(0,BL148-AJ148)</f>
        <v/>
      </c>
      <c r="CA148" s="191">
        <f>MAX(0,BM148-AK148)</f>
        <v/>
      </c>
      <c r="CB148" s="192">
        <f>MAX(0,BN148-AL148)</f>
        <v/>
      </c>
    </row>
    <row r="149">
      <c r="A149" s="64" t="inlineStr">
        <is>
          <t>07192414001261</t>
        </is>
      </c>
      <c r="B149" s="57" t="inlineStr">
        <is>
          <t>COSTA OESTE SERVICOS LTDA</t>
        </is>
      </c>
      <c r="C149" s="57" t="inlineStr">
        <is>
          <t>SEM GRUPO</t>
        </is>
      </c>
      <c r="D149" s="61" t="inlineStr">
        <is>
          <t>HEMANUELE DITZEL (MANU)</t>
        </is>
      </c>
      <c r="E149" s="30" t="inlineStr">
        <is>
          <t>.</t>
        </is>
      </c>
      <c r="F149" s="63" t="n"/>
      <c r="G149" s="179" t="n"/>
      <c r="H149" s="57" t="n"/>
      <c r="I149" s="57" t="n"/>
      <c r="J149" s="61" t="n"/>
      <c r="K149" s="30" t="inlineStr">
        <is>
          <t>.</t>
        </is>
      </c>
      <c r="L149" s="180" t="n">
        <v>8179.370000000002</v>
      </c>
      <c r="M149" s="181" t="n">
        <v>574.79</v>
      </c>
      <c r="N149" s="181" t="n">
        <v>600.63</v>
      </c>
      <c r="O149" s="181" t="n">
        <v>615.11</v>
      </c>
      <c r="P149" s="181" t="n">
        <v>631.13</v>
      </c>
      <c r="Q149" s="181" t="n">
        <v>651.8099999999999</v>
      </c>
      <c r="R149" s="181" t="n">
        <v>668.86</v>
      </c>
      <c r="S149" s="181" t="n">
        <v>694.71</v>
      </c>
      <c r="T149" s="181" t="n">
        <v>711.77</v>
      </c>
      <c r="U149" s="181" t="n">
        <v>727.79</v>
      </c>
      <c r="V149" s="181" t="n">
        <v>745.88</v>
      </c>
      <c r="W149" s="181" t="n">
        <v>765.52</v>
      </c>
      <c r="X149" s="182" t="n">
        <v>791.37</v>
      </c>
      <c r="Y149" s="183" t="inlineStr">
        <is>
          <t>.</t>
        </is>
      </c>
      <c r="Z149" s="184">
        <f>SUM(AA149:AL149)</f>
        <v/>
      </c>
      <c r="AA149" s="185" t="n">
        <v>0</v>
      </c>
      <c r="AB149" s="185" t="n">
        <v>0</v>
      </c>
      <c r="AC149" s="185" t="n">
        <v>2319.63</v>
      </c>
      <c r="AD149" s="185" t="n">
        <v>0</v>
      </c>
      <c r="AE149" s="185" t="n">
        <v>926.1900000000001</v>
      </c>
      <c r="AF149" s="185" t="n">
        <v>0</v>
      </c>
      <c r="AG149" s="185" t="n">
        <v>0</v>
      </c>
      <c r="AH149" s="185" t="n">
        <v>0</v>
      </c>
      <c r="AI149" s="185" t="n">
        <v>0</v>
      </c>
      <c r="AJ149" s="185" t="n">
        <v>0</v>
      </c>
      <c r="AK149" s="185" t="n">
        <v>0</v>
      </c>
      <c r="AL149" s="186" t="n">
        <v>0</v>
      </c>
      <c r="AM149" s="30" t="inlineStr">
        <is>
          <t>.</t>
        </is>
      </c>
      <c r="AN149" s="187">
        <f>IF(L149=0,0,Z149/L149)</f>
        <v/>
      </c>
      <c r="AO149" s="57">
        <f>IF(AN149&gt;=1,"🟢",IF(AN149&gt;=0.7,"🟡",IF(AN149&gt;=0.4,"🟠","🔴")))</f>
        <v/>
      </c>
      <c r="AP149" s="185">
        <f>L149-Z149</f>
        <v/>
      </c>
      <c r="AQ149" s="55">
        <f>RANK(Z149,$Z$4:$Z$503,0)</f>
        <v/>
      </c>
      <c r="AR149" s="39" t="inlineStr">
        <is>
          <t>.</t>
        </is>
      </c>
      <c r="AS149" s="27" t="n"/>
      <c r="AT149" s="27" t="n"/>
      <c r="AU149" s="27" t="n"/>
      <c r="AV149" s="27" t="n"/>
      <c r="AW149" s="27" t="n"/>
      <c r="AX149" s="27" t="n"/>
      <c r="AY149" s="204" t="n"/>
      <c r="AZ149" s="204" t="n"/>
      <c r="BA149" s="38" t="inlineStr">
        <is>
          <t>.</t>
        </is>
      </c>
      <c r="BB149" s="190">
        <f>SUM(BC149:BN149)</f>
        <v/>
      </c>
      <c r="BC149" s="191">
        <f>L149*0.0702730030</f>
        <v/>
      </c>
      <c r="BD149" s="191">
        <f>L149*0.0734327604</f>
        <v/>
      </c>
      <c r="BE149" s="191">
        <f>L149*0.0752022245</f>
        <v/>
      </c>
      <c r="BF149" s="191">
        <f>L149*0.0771612740</f>
        <v/>
      </c>
      <c r="BG149" s="191">
        <f>L149*0.0796890799</f>
        <v/>
      </c>
      <c r="BH149" s="191">
        <f>L149*0.0817745197</f>
        <v/>
      </c>
      <c r="BI149" s="191">
        <f>L149*0.0849342770</f>
        <v/>
      </c>
      <c r="BJ149" s="191">
        <f>L149*0.0870197169</f>
        <v/>
      </c>
      <c r="BK149" s="191">
        <f>L149*0.0889787664</f>
        <v/>
      </c>
      <c r="BL149" s="191">
        <f>L149*0.0911905966</f>
        <v/>
      </c>
      <c r="BM149" s="191">
        <f>L149*0.0935920121</f>
        <v/>
      </c>
      <c r="BN149" s="192">
        <f>L149*0.0967517695</f>
        <v/>
      </c>
      <c r="BO149" s="36" t="inlineStr">
        <is>
          <t>.</t>
        </is>
      </c>
      <c r="BP149" s="193">
        <f>SUM(BQ149:CB149)</f>
        <v/>
      </c>
      <c r="BQ149" s="191">
        <f>MAX(0,BC149-AA149)</f>
        <v/>
      </c>
      <c r="BR149" s="191">
        <f>MAX(0,BD149-AB149)</f>
        <v/>
      </c>
      <c r="BS149" s="191">
        <f>MAX(0,BE149-AC149)</f>
        <v/>
      </c>
      <c r="BT149" s="191">
        <f>MAX(0,BF149-AD149)</f>
        <v/>
      </c>
      <c r="BU149" s="191">
        <f>MAX(0,BG149-AE149)</f>
        <v/>
      </c>
      <c r="BV149" s="191">
        <f>MAX(0,BH149-AF149)</f>
        <v/>
      </c>
      <c r="BW149" s="191">
        <f>MAX(0,BI149-AG149)</f>
        <v/>
      </c>
      <c r="BX149" s="191">
        <f>MAX(0,BJ149-AH149)</f>
        <v/>
      </c>
      <c r="BY149" s="191">
        <f>MAX(0,BK149-AI149)</f>
        <v/>
      </c>
      <c r="BZ149" s="191">
        <f>MAX(0,BL149-AJ149)</f>
        <v/>
      </c>
      <c r="CA149" s="191">
        <f>MAX(0,BM149-AK149)</f>
        <v/>
      </c>
      <c r="CB149" s="192">
        <f>MAX(0,BN149-AL149)</f>
        <v/>
      </c>
    </row>
    <row r="150">
      <c r="A150" s="64" t="inlineStr">
        <is>
          <t>26240684000273</t>
        </is>
      </c>
      <c r="B150" s="57" t="inlineStr">
        <is>
          <t>FORCE SUPLEMENTOS E PRODUTOS NATURAIS LT</t>
        </is>
      </c>
      <c r="C150" s="57" t="inlineStr">
        <is>
          <t>SEM GRUPO</t>
        </is>
      </c>
      <c r="D150" s="61" t="inlineStr">
        <is>
          <t>HEMANUELE DITZEL (MANU)</t>
        </is>
      </c>
      <c r="E150" s="30" t="inlineStr">
        <is>
          <t>.</t>
        </is>
      </c>
      <c r="F150" s="63" t="n"/>
      <c r="G150" s="179" t="n"/>
      <c r="H150" s="57" t="n"/>
      <c r="I150" s="57" t="n"/>
      <c r="J150" s="61" t="n"/>
      <c r="K150" s="30" t="inlineStr">
        <is>
          <t>.</t>
        </is>
      </c>
      <c r="L150" s="180" t="n">
        <v>8144.619999999999</v>
      </c>
      <c r="M150" s="181" t="n">
        <v>572.35</v>
      </c>
      <c r="N150" s="181" t="n">
        <v>598.08</v>
      </c>
      <c r="O150" s="181" t="n">
        <v>612.49</v>
      </c>
      <c r="P150" s="181" t="n">
        <v>628.45</v>
      </c>
      <c r="Q150" s="181" t="n">
        <v>649.04</v>
      </c>
      <c r="R150" s="181" t="n">
        <v>666.02</v>
      </c>
      <c r="S150" s="181" t="n">
        <v>691.76</v>
      </c>
      <c r="T150" s="181" t="n">
        <v>708.74</v>
      </c>
      <c r="U150" s="181" t="n">
        <v>724.7</v>
      </c>
      <c r="V150" s="181" t="n">
        <v>742.71</v>
      </c>
      <c r="W150" s="181" t="n">
        <v>762.27</v>
      </c>
      <c r="X150" s="182" t="n">
        <v>788.01</v>
      </c>
      <c r="Y150" s="183" t="inlineStr">
        <is>
          <t>.</t>
        </is>
      </c>
      <c r="Z150" s="184">
        <f>SUM(AA150:AL150)</f>
        <v/>
      </c>
      <c r="AA150" s="185" t="n">
        <v>0</v>
      </c>
      <c r="AB150" s="185" t="n">
        <v>0</v>
      </c>
      <c r="AC150" s="185" t="n">
        <v>0</v>
      </c>
      <c r="AD150" s="185" t="n">
        <v>0</v>
      </c>
      <c r="AE150" s="185" t="n">
        <v>0</v>
      </c>
      <c r="AF150" s="185" t="n">
        <v>0</v>
      </c>
      <c r="AG150" s="185" t="n">
        <v>0</v>
      </c>
      <c r="AH150" s="185" t="n">
        <v>0</v>
      </c>
      <c r="AI150" s="185" t="n">
        <v>2266.01</v>
      </c>
      <c r="AJ150" s="185" t="n">
        <v>0</v>
      </c>
      <c r="AK150" s="185" t="n">
        <v>1676.02</v>
      </c>
      <c r="AL150" s="186" t="n">
        <v>0</v>
      </c>
      <c r="AM150" s="30" t="inlineStr">
        <is>
          <t>.</t>
        </is>
      </c>
      <c r="AN150" s="187">
        <f>IF(L150=0,0,Z150/L150)</f>
        <v/>
      </c>
      <c r="AO150" s="57">
        <f>IF(AN150&gt;=1,"🟢",IF(AN150&gt;=0.7,"🟡",IF(AN150&gt;=0.4,"🟠","🔴")))</f>
        <v/>
      </c>
      <c r="AP150" s="185">
        <f>L150-Z150</f>
        <v/>
      </c>
      <c r="AQ150" s="55">
        <f>RANK(Z150,$Z$4:$Z$503,0)</f>
        <v/>
      </c>
      <c r="AR150" s="39" t="inlineStr">
        <is>
          <t>.</t>
        </is>
      </c>
      <c r="AS150" s="27" t="n"/>
      <c r="AT150" s="27" t="n"/>
      <c r="AU150" s="27" t="n"/>
      <c r="AV150" s="27" t="n"/>
      <c r="AW150" s="27" t="n"/>
      <c r="AX150" s="27" t="n"/>
      <c r="AY150" s="204" t="n"/>
      <c r="AZ150" s="204" t="n"/>
      <c r="BA150" s="38" t="inlineStr">
        <is>
          <t>.</t>
        </is>
      </c>
      <c r="BB150" s="190">
        <f>SUM(BC150:BN150)</f>
        <v/>
      </c>
      <c r="BC150" s="191">
        <f>L150*0.0702730030</f>
        <v/>
      </c>
      <c r="BD150" s="191">
        <f>L150*0.0734327604</f>
        <v/>
      </c>
      <c r="BE150" s="191">
        <f>L150*0.0752022245</f>
        <v/>
      </c>
      <c r="BF150" s="191">
        <f>L150*0.0771612740</f>
        <v/>
      </c>
      <c r="BG150" s="191">
        <f>L150*0.0796890799</f>
        <v/>
      </c>
      <c r="BH150" s="191">
        <f>L150*0.0817745197</f>
        <v/>
      </c>
      <c r="BI150" s="191">
        <f>L150*0.0849342770</f>
        <v/>
      </c>
      <c r="BJ150" s="191">
        <f>L150*0.0870197169</f>
        <v/>
      </c>
      <c r="BK150" s="191">
        <f>L150*0.0889787664</f>
        <v/>
      </c>
      <c r="BL150" s="191">
        <f>L150*0.0911905966</f>
        <v/>
      </c>
      <c r="BM150" s="191">
        <f>L150*0.0935920121</f>
        <v/>
      </c>
      <c r="BN150" s="192">
        <f>L150*0.0967517695</f>
        <v/>
      </c>
      <c r="BO150" s="36" t="inlineStr">
        <is>
          <t>.</t>
        </is>
      </c>
      <c r="BP150" s="193">
        <f>SUM(BQ150:CB150)</f>
        <v/>
      </c>
      <c r="BQ150" s="191">
        <f>MAX(0,BC150-AA150)</f>
        <v/>
      </c>
      <c r="BR150" s="191">
        <f>MAX(0,BD150-AB150)</f>
        <v/>
      </c>
      <c r="BS150" s="191">
        <f>MAX(0,BE150-AC150)</f>
        <v/>
      </c>
      <c r="BT150" s="191">
        <f>MAX(0,BF150-AD150)</f>
        <v/>
      </c>
      <c r="BU150" s="191">
        <f>MAX(0,BG150-AE150)</f>
        <v/>
      </c>
      <c r="BV150" s="191">
        <f>MAX(0,BH150-AF150)</f>
        <v/>
      </c>
      <c r="BW150" s="191">
        <f>MAX(0,BI150-AG150)</f>
        <v/>
      </c>
      <c r="BX150" s="191">
        <f>MAX(0,BJ150-AH150)</f>
        <v/>
      </c>
      <c r="BY150" s="191">
        <f>MAX(0,BK150-AI150)</f>
        <v/>
      </c>
      <c r="BZ150" s="191">
        <f>MAX(0,BL150-AJ150)</f>
        <v/>
      </c>
      <c r="CA150" s="191">
        <f>MAX(0,BM150-AK150)</f>
        <v/>
      </c>
      <c r="CB150" s="192">
        <f>MAX(0,BN150-AL150)</f>
        <v/>
      </c>
    </row>
    <row r="151">
      <c r="A151" s="64" t="inlineStr">
        <is>
          <t>33778381000193</t>
        </is>
      </c>
      <c r="B151" s="57" t="inlineStr">
        <is>
          <t>GAMA COMERCIO LTDA - ME</t>
        </is>
      </c>
      <c r="C151" s="57" t="inlineStr">
        <is>
          <t>SEM GRUPO</t>
        </is>
      </c>
      <c r="D151" s="61" t="inlineStr">
        <is>
          <t>LARISSA PADILHA</t>
        </is>
      </c>
      <c r="E151" s="30" t="inlineStr">
        <is>
          <t>.</t>
        </is>
      </c>
      <c r="F151" s="63" t="n"/>
      <c r="G151" s="179" t="n"/>
      <c r="H151" s="57" t="n"/>
      <c r="I151" s="57" t="n"/>
      <c r="J151" s="61" t="n"/>
      <c r="K151" s="30" t="inlineStr">
        <is>
          <t>.</t>
        </is>
      </c>
      <c r="L151" s="180" t="n">
        <v>8080.26</v>
      </c>
      <c r="M151" s="181" t="n">
        <v>567.83</v>
      </c>
      <c r="N151" s="181" t="n">
        <v>593.36</v>
      </c>
      <c r="O151" s="181" t="n">
        <v>607.65</v>
      </c>
      <c r="P151" s="181" t="n">
        <v>623.48</v>
      </c>
      <c r="Q151" s="181" t="n">
        <v>643.91</v>
      </c>
      <c r="R151" s="181" t="n">
        <v>660.76</v>
      </c>
      <c r="S151" s="181" t="n">
        <v>686.29</v>
      </c>
      <c r="T151" s="181" t="n">
        <v>703.14</v>
      </c>
      <c r="U151" s="181" t="n">
        <v>718.97</v>
      </c>
      <c r="V151" s="181" t="n">
        <v>736.84</v>
      </c>
      <c r="W151" s="181" t="n">
        <v>756.25</v>
      </c>
      <c r="X151" s="182" t="n">
        <v>781.78</v>
      </c>
      <c r="Y151" s="183" t="inlineStr">
        <is>
          <t>.</t>
        </is>
      </c>
      <c r="Z151" s="184">
        <f>SUM(AA151:AL151)</f>
        <v/>
      </c>
      <c r="AA151" s="185" t="n">
        <v>0</v>
      </c>
      <c r="AB151" s="185" t="n">
        <v>0</v>
      </c>
      <c r="AC151" s="185" t="n">
        <v>0</v>
      </c>
      <c r="AD151" s="185" t="n">
        <v>0</v>
      </c>
      <c r="AE151" s="185" t="n">
        <v>971.24</v>
      </c>
      <c r="AF151" s="185" t="n">
        <v>793.91</v>
      </c>
      <c r="AG151" s="185" t="n">
        <v>0</v>
      </c>
      <c r="AH151" s="185" t="n">
        <v>0</v>
      </c>
      <c r="AI151" s="185" t="n">
        <v>0</v>
      </c>
      <c r="AJ151" s="185" t="n">
        <v>2110.22</v>
      </c>
      <c r="AK151" s="185" t="n">
        <v>0</v>
      </c>
      <c r="AL151" s="186" t="n">
        <v>0</v>
      </c>
      <c r="AM151" s="222" t="n">
        <v>934.5700000000001</v>
      </c>
      <c r="AN151" s="187">
        <f>IF(L151=0,0,Z151/L151)</f>
        <v/>
      </c>
      <c r="AO151" s="57">
        <f>IF(AN151&gt;=1,"🟢",IF(AN151&gt;=0.7,"🟡",IF(AN151&gt;=0.4,"🟠","🔴")))</f>
        <v/>
      </c>
      <c r="AP151" s="185">
        <f>L151-Z151</f>
        <v/>
      </c>
      <c r="AQ151" s="55">
        <f>RANK(Z151,$Z$4:$Z$503,0)</f>
        <v/>
      </c>
      <c r="AR151" s="39" t="inlineStr">
        <is>
          <t>.</t>
        </is>
      </c>
      <c r="AS151" s="27" t="n"/>
      <c r="AT151" s="27" t="n"/>
      <c r="AU151" s="27" t="n"/>
      <c r="AV151" s="27" t="n"/>
      <c r="AW151" s="27" t="n"/>
      <c r="AX151" s="27" t="n"/>
      <c r="AY151" s="204" t="n"/>
      <c r="AZ151" s="204" t="n"/>
      <c r="BA151" s="38" t="inlineStr">
        <is>
          <t>.</t>
        </is>
      </c>
      <c r="BB151" s="190">
        <f>SUM(BC151:BN151)</f>
        <v/>
      </c>
      <c r="BC151" s="191">
        <f>L151*0.0702730030</f>
        <v/>
      </c>
      <c r="BD151" s="191">
        <f>L151*0.0734327604</f>
        <v/>
      </c>
      <c r="BE151" s="191">
        <f>L151*0.0752022245</f>
        <v/>
      </c>
      <c r="BF151" s="191">
        <f>L151*0.0771612740</f>
        <v/>
      </c>
      <c r="BG151" s="191">
        <f>L151*0.0796890799</f>
        <v/>
      </c>
      <c r="BH151" s="191">
        <f>L151*0.0817745197</f>
        <v/>
      </c>
      <c r="BI151" s="191">
        <f>L151*0.0849342770</f>
        <v/>
      </c>
      <c r="BJ151" s="191">
        <f>L151*0.0870197169</f>
        <v/>
      </c>
      <c r="BK151" s="191">
        <f>L151*0.0889787664</f>
        <v/>
      </c>
      <c r="BL151" s="191">
        <f>L151*0.0911905966</f>
        <v/>
      </c>
      <c r="BM151" s="191">
        <f>L151*0.0935920121</f>
        <v/>
      </c>
      <c r="BN151" s="192">
        <f>L151*0.0967517695</f>
        <v/>
      </c>
      <c r="BO151" s="36" t="inlineStr">
        <is>
          <t>.</t>
        </is>
      </c>
      <c r="BP151" s="193">
        <f>SUM(BQ151:CB151)</f>
        <v/>
      </c>
      <c r="BQ151" s="191">
        <f>MAX(0,BC151-AA151)</f>
        <v/>
      </c>
      <c r="BR151" s="191">
        <f>MAX(0,BD151-AB151)</f>
        <v/>
      </c>
      <c r="BS151" s="191">
        <f>MAX(0,BE151-AC151)</f>
        <v/>
      </c>
      <c r="BT151" s="191">
        <f>MAX(0,BF151-AD151)</f>
        <v/>
      </c>
      <c r="BU151" s="191">
        <f>MAX(0,BG151-AE151)</f>
        <v/>
      </c>
      <c r="BV151" s="191">
        <f>MAX(0,BH151-AF151)</f>
        <v/>
      </c>
      <c r="BW151" s="191">
        <f>MAX(0,BI151-AG151)</f>
        <v/>
      </c>
      <c r="BX151" s="191">
        <f>MAX(0,BJ151-AH151)</f>
        <v/>
      </c>
      <c r="BY151" s="191">
        <f>MAX(0,BK151-AI151)</f>
        <v/>
      </c>
      <c r="BZ151" s="191">
        <f>MAX(0,BL151-AJ151)</f>
        <v/>
      </c>
      <c r="CA151" s="191">
        <f>MAX(0,BM151-AK151)</f>
        <v/>
      </c>
      <c r="CB151" s="192">
        <f>MAX(0,BN151-AL151)</f>
        <v/>
      </c>
    </row>
    <row r="152">
      <c r="A152" s="64" t="inlineStr">
        <is>
          <t>41920449000155</t>
        </is>
      </c>
      <c r="B152" s="57" t="inlineStr">
        <is>
          <t>ANNA PAULA LOPES DE OLIVEIRA 06115863120</t>
        </is>
      </c>
      <c r="C152" s="57" t="inlineStr">
        <is>
          <t>SEM GRUPO</t>
        </is>
      </c>
      <c r="D152" s="61" t="inlineStr">
        <is>
          <t>LARISSA PADILHA</t>
        </is>
      </c>
      <c r="E152" s="30" t="inlineStr">
        <is>
          <t>.</t>
        </is>
      </c>
      <c r="F152" s="63" t="n"/>
      <c r="G152" s="179" t="n"/>
      <c r="H152" s="57" t="n"/>
      <c r="I152" s="57" t="n"/>
      <c r="J152" s="61" t="n"/>
      <c r="K152" s="30" t="inlineStr">
        <is>
          <t>.</t>
        </is>
      </c>
      <c r="L152" s="180" t="n">
        <v>8073.240000000001</v>
      </c>
      <c r="M152" s="181" t="n">
        <v>567.33</v>
      </c>
      <c r="N152" s="181" t="n">
        <v>592.84</v>
      </c>
      <c r="O152" s="181" t="n">
        <v>607.13</v>
      </c>
      <c r="P152" s="181" t="n">
        <v>622.9400000000001</v>
      </c>
      <c r="Q152" s="181" t="n">
        <v>643.35</v>
      </c>
      <c r="R152" s="181" t="n">
        <v>660.1900000000001</v>
      </c>
      <c r="S152" s="181" t="n">
        <v>685.6900000000001</v>
      </c>
      <c r="T152" s="181" t="n">
        <v>702.53</v>
      </c>
      <c r="U152" s="181" t="n">
        <v>718.35</v>
      </c>
      <c r="V152" s="181" t="n">
        <v>736.2</v>
      </c>
      <c r="W152" s="181" t="n">
        <v>755.59</v>
      </c>
      <c r="X152" s="182" t="n">
        <v>781.1</v>
      </c>
      <c r="Y152" s="183" t="inlineStr">
        <is>
          <t>.</t>
        </is>
      </c>
      <c r="Z152" s="184">
        <f>SUM(AA152:AL152)</f>
        <v/>
      </c>
      <c r="AA152" s="185" t="n">
        <v>0</v>
      </c>
      <c r="AB152" s="185" t="n">
        <v>0</v>
      </c>
      <c r="AC152" s="185" t="n">
        <v>0</v>
      </c>
      <c r="AD152" s="185" t="n">
        <v>0</v>
      </c>
      <c r="AE152" s="185" t="n">
        <v>1734.23</v>
      </c>
      <c r="AF152" s="185" t="n">
        <v>0</v>
      </c>
      <c r="AG152" s="185" t="n">
        <v>1926.91</v>
      </c>
      <c r="AH152" s="185" t="n">
        <v>0</v>
      </c>
      <c r="AI152" s="185" t="n">
        <v>0</v>
      </c>
      <c r="AJ152" s="185" t="n">
        <v>0</v>
      </c>
      <c r="AK152" s="185" t="n">
        <v>0</v>
      </c>
      <c r="AL152" s="186" t="n">
        <v>0</v>
      </c>
      <c r="AM152" s="30" t="inlineStr">
        <is>
          <t>.</t>
        </is>
      </c>
      <c r="AN152" s="187">
        <f>IF(L152=0,0,Z152/L152)</f>
        <v/>
      </c>
      <c r="AO152" s="57">
        <f>IF(AN152&gt;=1,"🟢",IF(AN152&gt;=0.7,"🟡",IF(AN152&gt;=0.4,"🟠","🔴")))</f>
        <v/>
      </c>
      <c r="AP152" s="185">
        <f>L152-Z152</f>
        <v/>
      </c>
      <c r="AQ152" s="55">
        <f>RANK(Z152,$Z$4:$Z$503,0)</f>
        <v/>
      </c>
      <c r="AR152" s="39" t="inlineStr">
        <is>
          <t>.</t>
        </is>
      </c>
      <c r="AS152" s="27" t="n"/>
      <c r="AT152" s="27" t="n"/>
      <c r="AU152" s="27" t="n"/>
      <c r="AV152" s="27" t="n"/>
      <c r="AW152" s="27" t="n"/>
      <c r="AX152" s="27" t="n"/>
      <c r="AY152" s="204" t="n"/>
      <c r="AZ152" s="204" t="n"/>
      <c r="BA152" s="38" t="inlineStr">
        <is>
          <t>.</t>
        </is>
      </c>
      <c r="BB152" s="190">
        <f>SUM(BC152:BN152)</f>
        <v/>
      </c>
      <c r="BC152" s="191">
        <f>L152*0.0702730030</f>
        <v/>
      </c>
      <c r="BD152" s="191">
        <f>L152*0.0734327604</f>
        <v/>
      </c>
      <c r="BE152" s="191">
        <f>L152*0.0752022245</f>
        <v/>
      </c>
      <c r="BF152" s="191">
        <f>L152*0.0771612740</f>
        <v/>
      </c>
      <c r="BG152" s="191">
        <f>L152*0.0796890799</f>
        <v/>
      </c>
      <c r="BH152" s="191">
        <f>L152*0.0817745197</f>
        <v/>
      </c>
      <c r="BI152" s="191">
        <f>L152*0.0849342770</f>
        <v/>
      </c>
      <c r="BJ152" s="191">
        <f>L152*0.0870197169</f>
        <v/>
      </c>
      <c r="BK152" s="191">
        <f>L152*0.0889787664</f>
        <v/>
      </c>
      <c r="BL152" s="191">
        <f>L152*0.0911905966</f>
        <v/>
      </c>
      <c r="BM152" s="191">
        <f>L152*0.0935920121</f>
        <v/>
      </c>
      <c r="BN152" s="192">
        <f>L152*0.0967517695</f>
        <v/>
      </c>
      <c r="BO152" s="36" t="inlineStr">
        <is>
          <t>.</t>
        </is>
      </c>
      <c r="BP152" s="193">
        <f>SUM(BQ152:CB152)</f>
        <v/>
      </c>
      <c r="BQ152" s="191">
        <f>MAX(0,BC152-AA152)</f>
        <v/>
      </c>
      <c r="BR152" s="191">
        <f>MAX(0,BD152-AB152)</f>
        <v/>
      </c>
      <c r="BS152" s="191">
        <f>MAX(0,BE152-AC152)</f>
        <v/>
      </c>
      <c r="BT152" s="191">
        <f>MAX(0,BF152-AD152)</f>
        <v/>
      </c>
      <c r="BU152" s="191">
        <f>MAX(0,BG152-AE152)</f>
        <v/>
      </c>
      <c r="BV152" s="191">
        <f>MAX(0,BH152-AF152)</f>
        <v/>
      </c>
      <c r="BW152" s="191">
        <f>MAX(0,BI152-AG152)</f>
        <v/>
      </c>
      <c r="BX152" s="191">
        <f>MAX(0,BJ152-AH152)</f>
        <v/>
      </c>
      <c r="BY152" s="191">
        <f>MAX(0,BK152-AI152)</f>
        <v/>
      </c>
      <c r="BZ152" s="191">
        <f>MAX(0,BL152-AJ152)</f>
        <v/>
      </c>
      <c r="CA152" s="191">
        <f>MAX(0,BM152-AK152)</f>
        <v/>
      </c>
      <c r="CB152" s="192">
        <f>MAX(0,BN152-AL152)</f>
        <v/>
      </c>
    </row>
    <row r="153">
      <c r="A153" s="64" t="inlineStr">
        <is>
          <t>61637299000184</t>
        </is>
      </c>
      <c r="B153" s="57" t="inlineStr">
        <is>
          <t>SO GRANEL MINEIRO COMERCIO DE ALIMENTOS</t>
        </is>
      </c>
      <c r="C153" s="57" t="inlineStr">
        <is>
          <t>SEM GRUPO</t>
        </is>
      </c>
      <c r="D153" s="61" t="inlineStr">
        <is>
          <t>LARISSA PADILHA</t>
        </is>
      </c>
      <c r="E153" s="30" t="inlineStr">
        <is>
          <t>.</t>
        </is>
      </c>
      <c r="F153" s="63" t="n"/>
      <c r="G153" s="179" t="n"/>
      <c r="H153" s="57" t="n"/>
      <c r="I153" s="57" t="n"/>
      <c r="J153" s="61" t="n"/>
      <c r="K153" s="30" t="inlineStr">
        <is>
          <t>.</t>
        </is>
      </c>
      <c r="L153" s="180" t="n">
        <v>8014.67</v>
      </c>
      <c r="M153" s="181" t="n">
        <v>563.22</v>
      </c>
      <c r="N153" s="181" t="n">
        <v>588.54</v>
      </c>
      <c r="O153" s="181" t="n">
        <v>602.72</v>
      </c>
      <c r="P153" s="181" t="n">
        <v>618.42</v>
      </c>
      <c r="Q153" s="181" t="n">
        <v>638.6799999999999</v>
      </c>
      <c r="R153" s="181" t="n">
        <v>655.4</v>
      </c>
      <c r="S153" s="181" t="n">
        <v>680.72</v>
      </c>
      <c r="T153" s="181" t="n">
        <v>697.4299999999999</v>
      </c>
      <c r="U153" s="181" t="n">
        <v>713.14</v>
      </c>
      <c r="V153" s="181" t="n">
        <v>730.86</v>
      </c>
      <c r="W153" s="181" t="n">
        <v>750.11</v>
      </c>
      <c r="X153" s="182" t="n">
        <v>775.4299999999999</v>
      </c>
      <c r="Y153" s="183" t="inlineStr">
        <is>
          <t>.</t>
        </is>
      </c>
      <c r="Z153" s="184">
        <f>SUM(AA153:AL153)</f>
        <v/>
      </c>
      <c r="AA153" s="185" t="n">
        <v>0</v>
      </c>
      <c r="AB153" s="185" t="n">
        <v>0</v>
      </c>
      <c r="AC153" s="185" t="n">
        <v>0</v>
      </c>
      <c r="AD153" s="185" t="n">
        <v>0</v>
      </c>
      <c r="AE153" s="185" t="n">
        <v>0</v>
      </c>
      <c r="AF153" s="185" t="n">
        <v>0</v>
      </c>
      <c r="AG153" s="185" t="n">
        <v>0</v>
      </c>
      <c r="AH153" s="185" t="n">
        <v>0</v>
      </c>
      <c r="AI153" s="185" t="n">
        <v>0</v>
      </c>
      <c r="AJ153" s="185" t="n">
        <v>0</v>
      </c>
      <c r="AK153" s="185" t="n">
        <v>0</v>
      </c>
      <c r="AL153" s="186" t="n">
        <v>0</v>
      </c>
      <c r="AM153" s="30" t="inlineStr">
        <is>
          <t>.</t>
        </is>
      </c>
      <c r="AN153" s="187">
        <f>IF(L153=0,0,Z153/L153)</f>
        <v/>
      </c>
      <c r="AO153" s="57">
        <f>IF(AN153&gt;=1,"🟢",IF(AN153&gt;=0.7,"🟡",IF(AN153&gt;=0.4,"🟠","🔴")))</f>
        <v/>
      </c>
      <c r="AP153" s="185">
        <f>L153-Z153</f>
        <v/>
      </c>
      <c r="AQ153" s="55">
        <f>RANK(Z153,$Z$4:$Z$503,0)</f>
        <v/>
      </c>
      <c r="AR153" s="39" t="inlineStr">
        <is>
          <t>.</t>
        </is>
      </c>
      <c r="AS153" s="27" t="n"/>
      <c r="AT153" s="27" t="n"/>
      <c r="AU153" s="27" t="n"/>
      <c r="AV153" s="27" t="n"/>
      <c r="AW153" s="27" t="n"/>
      <c r="AX153" s="27" t="n"/>
      <c r="AY153" s="204" t="n"/>
      <c r="AZ153" s="204" t="n"/>
      <c r="BA153" s="38" t="inlineStr">
        <is>
          <t>.</t>
        </is>
      </c>
      <c r="BB153" s="190">
        <f>SUM(BC153:BN153)</f>
        <v/>
      </c>
      <c r="BC153" s="191">
        <f>L153*0.0702730030</f>
        <v/>
      </c>
      <c r="BD153" s="191">
        <f>L153*0.0734327604</f>
        <v/>
      </c>
      <c r="BE153" s="191">
        <f>L153*0.0752022245</f>
        <v/>
      </c>
      <c r="BF153" s="191">
        <f>L153*0.0771612740</f>
        <v/>
      </c>
      <c r="BG153" s="191">
        <f>L153*0.0796890799</f>
        <v/>
      </c>
      <c r="BH153" s="191">
        <f>L153*0.0817745197</f>
        <v/>
      </c>
      <c r="BI153" s="191">
        <f>L153*0.0849342770</f>
        <v/>
      </c>
      <c r="BJ153" s="191">
        <f>L153*0.0870197169</f>
        <v/>
      </c>
      <c r="BK153" s="191">
        <f>L153*0.0889787664</f>
        <v/>
      </c>
      <c r="BL153" s="191">
        <f>L153*0.0911905966</f>
        <v/>
      </c>
      <c r="BM153" s="191">
        <f>L153*0.0935920121</f>
        <v/>
      </c>
      <c r="BN153" s="192">
        <f>L153*0.0967517695</f>
        <v/>
      </c>
      <c r="BO153" s="36" t="inlineStr">
        <is>
          <t>.</t>
        </is>
      </c>
      <c r="BP153" s="193">
        <f>SUM(BQ153:CB153)</f>
        <v/>
      </c>
      <c r="BQ153" s="191">
        <f>MAX(0,BC153-AA153)</f>
        <v/>
      </c>
      <c r="BR153" s="191">
        <f>MAX(0,BD153-AB153)</f>
        <v/>
      </c>
      <c r="BS153" s="191">
        <f>MAX(0,BE153-AC153)</f>
        <v/>
      </c>
      <c r="BT153" s="191">
        <f>MAX(0,BF153-AD153)</f>
        <v/>
      </c>
      <c r="BU153" s="191">
        <f>MAX(0,BG153-AE153)</f>
        <v/>
      </c>
      <c r="BV153" s="191">
        <f>MAX(0,BH153-AF153)</f>
        <v/>
      </c>
      <c r="BW153" s="191">
        <f>MAX(0,BI153-AG153)</f>
        <v/>
      </c>
      <c r="BX153" s="191">
        <f>MAX(0,BJ153-AH153)</f>
        <v/>
      </c>
      <c r="BY153" s="191">
        <f>MAX(0,BK153-AI153)</f>
        <v/>
      </c>
      <c r="BZ153" s="191">
        <f>MAX(0,BL153-AJ153)</f>
        <v/>
      </c>
      <c r="CA153" s="191">
        <f>MAX(0,BM153-AK153)</f>
        <v/>
      </c>
      <c r="CB153" s="192">
        <f>MAX(0,BN153-AL153)</f>
        <v/>
      </c>
    </row>
    <row r="154">
      <c r="A154" s="64" t="inlineStr">
        <is>
          <t>60546169000173</t>
        </is>
      </c>
      <c r="B154" s="57" t="inlineStr">
        <is>
          <t>PEDRA BRANCA NUTRICAO LTDA - EPP</t>
        </is>
      </c>
      <c r="C154" s="57" t="inlineStr">
        <is>
          <t>SEM GRUPO</t>
        </is>
      </c>
      <c r="D154" s="61" t="inlineStr">
        <is>
          <t>HEMANUELE DITZEL (MANU)</t>
        </is>
      </c>
      <c r="E154" s="30" t="inlineStr">
        <is>
          <t>.</t>
        </is>
      </c>
      <c r="F154" s="63" t="n"/>
      <c r="G154" s="179" t="n"/>
      <c r="H154" s="57" t="n"/>
      <c r="I154" s="57" t="n"/>
      <c r="J154" s="61" t="n"/>
      <c r="K154" s="30" t="inlineStr">
        <is>
          <t>.</t>
        </is>
      </c>
      <c r="L154" s="180" t="n">
        <v>7995.199999999999</v>
      </c>
      <c r="M154" s="181" t="n">
        <v>561.85</v>
      </c>
      <c r="N154" s="181" t="n">
        <v>587.11</v>
      </c>
      <c r="O154" s="181" t="n">
        <v>601.26</v>
      </c>
      <c r="P154" s="181" t="n">
        <v>616.92</v>
      </c>
      <c r="Q154" s="181" t="n">
        <v>637.13</v>
      </c>
      <c r="R154" s="181" t="n">
        <v>653.8</v>
      </c>
      <c r="S154" s="181" t="n">
        <v>679.0599999999999</v>
      </c>
      <c r="T154" s="181" t="n">
        <v>695.74</v>
      </c>
      <c r="U154" s="181" t="n">
        <v>711.4</v>
      </c>
      <c r="V154" s="181" t="n">
        <v>729.09</v>
      </c>
      <c r="W154" s="181" t="n">
        <v>748.29</v>
      </c>
      <c r="X154" s="182" t="n">
        <v>773.55</v>
      </c>
      <c r="Y154" s="183" t="inlineStr">
        <is>
          <t>.</t>
        </is>
      </c>
      <c r="Z154" s="184">
        <f>SUM(AA154:AL154)</f>
        <v/>
      </c>
      <c r="AA154" s="185" t="n">
        <v>0</v>
      </c>
      <c r="AB154" s="185" t="n">
        <v>0</v>
      </c>
      <c r="AC154" s="185" t="n">
        <v>0</v>
      </c>
      <c r="AD154" s="185" t="n">
        <v>0</v>
      </c>
      <c r="AE154" s="185" t="n">
        <v>0</v>
      </c>
      <c r="AF154" s="185" t="n">
        <v>2211.43</v>
      </c>
      <c r="AG154" s="185" t="n">
        <v>0</v>
      </c>
      <c r="AH154" s="185" t="n">
        <v>0</v>
      </c>
      <c r="AI154" s="185" t="n">
        <v>0</v>
      </c>
      <c r="AJ154" s="185" t="n">
        <v>1415.51</v>
      </c>
      <c r="AK154" s="185" t="n">
        <v>0</v>
      </c>
      <c r="AL154" s="186" t="n">
        <v>0</v>
      </c>
      <c r="AM154" s="30" t="inlineStr">
        <is>
          <t>.</t>
        </is>
      </c>
      <c r="AN154" s="187">
        <f>IF(L154=0,0,Z154/L154)</f>
        <v/>
      </c>
      <c r="AO154" s="57">
        <f>IF(AN154&gt;=1,"🟢",IF(AN154&gt;=0.7,"🟡",IF(AN154&gt;=0.4,"🟠","🔴")))</f>
        <v/>
      </c>
      <c r="AP154" s="185">
        <f>L154-Z154</f>
        <v/>
      </c>
      <c r="AQ154" s="55">
        <f>RANK(Z154,$Z$4:$Z$503,0)</f>
        <v/>
      </c>
      <c r="AR154" s="39" t="inlineStr">
        <is>
          <t>.</t>
        </is>
      </c>
      <c r="AS154" s="27" t="n"/>
      <c r="AT154" s="27" t="n"/>
      <c r="AU154" s="27" t="n"/>
      <c r="AV154" s="27" t="n"/>
      <c r="AW154" s="27" t="n"/>
      <c r="AX154" s="27" t="n"/>
      <c r="AY154" s="204" t="n"/>
      <c r="AZ154" s="204" t="n"/>
      <c r="BA154" s="38" t="inlineStr">
        <is>
          <t>.</t>
        </is>
      </c>
      <c r="BB154" s="190">
        <f>SUM(BC154:BN154)</f>
        <v/>
      </c>
      <c r="BC154" s="191">
        <f>L154*0.0702730030</f>
        <v/>
      </c>
      <c r="BD154" s="191">
        <f>L154*0.0734327604</f>
        <v/>
      </c>
      <c r="BE154" s="191">
        <f>L154*0.0752022245</f>
        <v/>
      </c>
      <c r="BF154" s="191">
        <f>L154*0.0771612740</f>
        <v/>
      </c>
      <c r="BG154" s="191">
        <f>L154*0.0796890799</f>
        <v/>
      </c>
      <c r="BH154" s="191">
        <f>L154*0.0817745197</f>
        <v/>
      </c>
      <c r="BI154" s="191">
        <f>L154*0.0849342770</f>
        <v/>
      </c>
      <c r="BJ154" s="191">
        <f>L154*0.0870197169</f>
        <v/>
      </c>
      <c r="BK154" s="191">
        <f>L154*0.0889787664</f>
        <v/>
      </c>
      <c r="BL154" s="191">
        <f>L154*0.0911905966</f>
        <v/>
      </c>
      <c r="BM154" s="191">
        <f>L154*0.0935920121</f>
        <v/>
      </c>
      <c r="BN154" s="192">
        <f>L154*0.0967517695</f>
        <v/>
      </c>
      <c r="BO154" s="36" t="inlineStr">
        <is>
          <t>.</t>
        </is>
      </c>
      <c r="BP154" s="193">
        <f>SUM(BQ154:CB154)</f>
        <v/>
      </c>
      <c r="BQ154" s="191">
        <f>MAX(0,BC154-AA154)</f>
        <v/>
      </c>
      <c r="BR154" s="191">
        <f>MAX(0,BD154-AB154)</f>
        <v/>
      </c>
      <c r="BS154" s="191">
        <f>MAX(0,BE154-AC154)</f>
        <v/>
      </c>
      <c r="BT154" s="191">
        <f>MAX(0,BF154-AD154)</f>
        <v/>
      </c>
      <c r="BU154" s="191">
        <f>MAX(0,BG154-AE154)</f>
        <v/>
      </c>
      <c r="BV154" s="191">
        <f>MAX(0,BH154-AF154)</f>
        <v/>
      </c>
      <c r="BW154" s="191">
        <f>MAX(0,BI154-AG154)</f>
        <v/>
      </c>
      <c r="BX154" s="191">
        <f>MAX(0,BJ154-AH154)</f>
        <v/>
      </c>
      <c r="BY154" s="191">
        <f>MAX(0,BK154-AI154)</f>
        <v/>
      </c>
      <c r="BZ154" s="191">
        <f>MAX(0,BL154-AJ154)</f>
        <v/>
      </c>
      <c r="CA154" s="191">
        <f>MAX(0,BM154-AK154)</f>
        <v/>
      </c>
      <c r="CB154" s="192">
        <f>MAX(0,BN154-AL154)</f>
        <v/>
      </c>
    </row>
    <row r="155">
      <c r="A155" s="64" t="inlineStr">
        <is>
          <t>37680783000292</t>
        </is>
      </c>
      <c r="B155" s="57" t="inlineStr">
        <is>
          <t>PICADO S DA TERRA PRODUTOS NATURAIS LTDA</t>
        </is>
      </c>
      <c r="C155" s="57" t="inlineStr">
        <is>
          <t>SEM GRUPO</t>
        </is>
      </c>
      <c r="D155" s="61" t="inlineStr">
        <is>
          <t>HEMANUELE DITZEL (MANU)</t>
        </is>
      </c>
      <c r="E155" s="30" t="inlineStr">
        <is>
          <t>.</t>
        </is>
      </c>
      <c r="F155" s="63" t="n"/>
      <c r="G155" s="179" t="n"/>
      <c r="H155" s="57" t="n"/>
      <c r="I155" s="57" t="n"/>
      <c r="J155" s="61" t="n"/>
      <c r="K155" s="30" t="inlineStr">
        <is>
          <t>.</t>
        </is>
      </c>
      <c r="L155" s="180" t="n">
        <v>7982.080000000001</v>
      </c>
      <c r="M155" s="181" t="n">
        <v>560.92</v>
      </c>
      <c r="N155" s="181" t="n">
        <v>586.15</v>
      </c>
      <c r="O155" s="181" t="n">
        <v>600.27</v>
      </c>
      <c r="P155" s="181" t="n">
        <v>615.91</v>
      </c>
      <c r="Q155" s="181" t="n">
        <v>636.08</v>
      </c>
      <c r="R155" s="181" t="n">
        <v>652.73</v>
      </c>
      <c r="S155" s="181" t="n">
        <v>677.95</v>
      </c>
      <c r="T155" s="181" t="n">
        <v>694.6</v>
      </c>
      <c r="U155" s="181" t="n">
        <v>710.24</v>
      </c>
      <c r="V155" s="181" t="n">
        <v>727.89</v>
      </c>
      <c r="W155" s="181" t="n">
        <v>747.0599999999999</v>
      </c>
      <c r="X155" s="182" t="n">
        <v>772.28</v>
      </c>
      <c r="Y155" s="183" t="inlineStr">
        <is>
          <t>.</t>
        </is>
      </c>
      <c r="Z155" s="184">
        <f>SUM(AA155:AL155)</f>
        <v/>
      </c>
      <c r="AA155" s="185" t="n">
        <v>0</v>
      </c>
      <c r="AB155" s="185" t="n">
        <v>0</v>
      </c>
      <c r="AC155" s="185" t="n">
        <v>0</v>
      </c>
      <c r="AD155" s="185" t="n">
        <v>0</v>
      </c>
      <c r="AE155" s="185" t="n">
        <v>0</v>
      </c>
      <c r="AF155" s="185" t="n">
        <v>0</v>
      </c>
      <c r="AG155" s="185" t="n">
        <v>0</v>
      </c>
      <c r="AH155" s="185" t="n">
        <v>0</v>
      </c>
      <c r="AI155" s="185" t="n">
        <v>3615.62</v>
      </c>
      <c r="AJ155" s="185" t="n">
        <v>0</v>
      </c>
      <c r="AK155" s="185" t="n">
        <v>0</v>
      </c>
      <c r="AL155" s="186" t="n">
        <v>0</v>
      </c>
      <c r="AM155" s="30" t="inlineStr">
        <is>
          <t>.</t>
        </is>
      </c>
      <c r="AN155" s="187">
        <f>IF(L155=0,0,Z155/L155)</f>
        <v/>
      </c>
      <c r="AO155" s="57">
        <f>IF(AN155&gt;=1,"🟢",IF(AN155&gt;=0.7,"🟡",IF(AN155&gt;=0.4,"🟠","🔴")))</f>
        <v/>
      </c>
      <c r="AP155" s="185">
        <f>L155-Z155</f>
        <v/>
      </c>
      <c r="AQ155" s="55">
        <f>RANK(Z155,$Z$4:$Z$503,0)</f>
        <v/>
      </c>
      <c r="AR155" s="39" t="inlineStr">
        <is>
          <t>.</t>
        </is>
      </c>
      <c r="AS155" s="27" t="n"/>
      <c r="AT155" s="27" t="n"/>
      <c r="AU155" s="27" t="n"/>
      <c r="AV155" s="27" t="n"/>
      <c r="AW155" s="27" t="n"/>
      <c r="AX155" s="27" t="n"/>
      <c r="AY155" s="204" t="n"/>
      <c r="AZ155" s="204" t="n"/>
      <c r="BA155" s="38" t="inlineStr">
        <is>
          <t>.</t>
        </is>
      </c>
      <c r="BB155" s="190">
        <f>SUM(BC155:BN155)</f>
        <v/>
      </c>
      <c r="BC155" s="191">
        <f>L155*0.0702730030</f>
        <v/>
      </c>
      <c r="BD155" s="191">
        <f>L155*0.0734327604</f>
        <v/>
      </c>
      <c r="BE155" s="191">
        <f>L155*0.0752022245</f>
        <v/>
      </c>
      <c r="BF155" s="191">
        <f>L155*0.0771612740</f>
        <v/>
      </c>
      <c r="BG155" s="191">
        <f>L155*0.0796890799</f>
        <v/>
      </c>
      <c r="BH155" s="191">
        <f>L155*0.0817745197</f>
        <v/>
      </c>
      <c r="BI155" s="191">
        <f>L155*0.0849342770</f>
        <v/>
      </c>
      <c r="BJ155" s="191">
        <f>L155*0.0870197169</f>
        <v/>
      </c>
      <c r="BK155" s="191">
        <f>L155*0.0889787664</f>
        <v/>
      </c>
      <c r="BL155" s="191">
        <f>L155*0.0911905966</f>
        <v/>
      </c>
      <c r="BM155" s="191">
        <f>L155*0.0935920121</f>
        <v/>
      </c>
      <c r="BN155" s="192">
        <f>L155*0.0967517695</f>
        <v/>
      </c>
      <c r="BO155" s="36" t="inlineStr">
        <is>
          <t>.</t>
        </is>
      </c>
      <c r="BP155" s="193">
        <f>SUM(BQ155:CB155)</f>
        <v/>
      </c>
      <c r="BQ155" s="191">
        <f>MAX(0,BC155-AA155)</f>
        <v/>
      </c>
      <c r="BR155" s="191">
        <f>MAX(0,BD155-AB155)</f>
        <v/>
      </c>
      <c r="BS155" s="191">
        <f>MAX(0,BE155-AC155)</f>
        <v/>
      </c>
      <c r="BT155" s="191">
        <f>MAX(0,BF155-AD155)</f>
        <v/>
      </c>
      <c r="BU155" s="191">
        <f>MAX(0,BG155-AE155)</f>
        <v/>
      </c>
      <c r="BV155" s="191">
        <f>MAX(0,BH155-AF155)</f>
        <v/>
      </c>
      <c r="BW155" s="191">
        <f>MAX(0,BI155-AG155)</f>
        <v/>
      </c>
      <c r="BX155" s="191">
        <f>MAX(0,BJ155-AH155)</f>
        <v/>
      </c>
      <c r="BY155" s="191">
        <f>MAX(0,BK155-AI155)</f>
        <v/>
      </c>
      <c r="BZ155" s="191">
        <f>MAX(0,BL155-AJ155)</f>
        <v/>
      </c>
      <c r="CA155" s="191">
        <f>MAX(0,BM155-AK155)</f>
        <v/>
      </c>
      <c r="CB155" s="192">
        <f>MAX(0,BN155-AL155)</f>
        <v/>
      </c>
    </row>
    <row r="156">
      <c r="A156" s="64" t="inlineStr">
        <is>
          <t>59633825000196</t>
        </is>
      </c>
      <c r="B156" s="57" t="inlineStr">
        <is>
          <t>PICADO S DA TERRA COMERCIO DE PRODUTOS N</t>
        </is>
      </c>
      <c r="C156" s="57" t="inlineStr">
        <is>
          <t>SEM GRUPO</t>
        </is>
      </c>
      <c r="D156" s="61" t="inlineStr">
        <is>
          <t>HEMANUELE DITZEL (MANU)</t>
        </is>
      </c>
      <c r="E156" s="30" t="inlineStr">
        <is>
          <t>.</t>
        </is>
      </c>
      <c r="F156" s="63" t="n"/>
      <c r="G156" s="179" t="n"/>
      <c r="H156" s="57" t="n"/>
      <c r="I156" s="57" t="n"/>
      <c r="J156" s="61" t="n"/>
      <c r="K156" s="30" t="inlineStr">
        <is>
          <t>.</t>
        </is>
      </c>
      <c r="L156" s="180" t="n">
        <v>7982.080000000001</v>
      </c>
      <c r="M156" s="181" t="n">
        <v>560.92</v>
      </c>
      <c r="N156" s="181" t="n">
        <v>586.15</v>
      </c>
      <c r="O156" s="181" t="n">
        <v>600.27</v>
      </c>
      <c r="P156" s="181" t="n">
        <v>615.91</v>
      </c>
      <c r="Q156" s="181" t="n">
        <v>636.08</v>
      </c>
      <c r="R156" s="181" t="n">
        <v>652.73</v>
      </c>
      <c r="S156" s="181" t="n">
        <v>677.95</v>
      </c>
      <c r="T156" s="181" t="n">
        <v>694.6</v>
      </c>
      <c r="U156" s="181" t="n">
        <v>710.24</v>
      </c>
      <c r="V156" s="181" t="n">
        <v>727.89</v>
      </c>
      <c r="W156" s="181" t="n">
        <v>747.0599999999999</v>
      </c>
      <c r="X156" s="182" t="n">
        <v>772.28</v>
      </c>
      <c r="Y156" s="183" t="inlineStr">
        <is>
          <t>.</t>
        </is>
      </c>
      <c r="Z156" s="184">
        <f>SUM(AA156:AL156)</f>
        <v/>
      </c>
      <c r="AA156" s="185" t="n">
        <v>0</v>
      </c>
      <c r="AB156" s="185" t="n">
        <v>0</v>
      </c>
      <c r="AC156" s="185" t="n">
        <v>0</v>
      </c>
      <c r="AD156" s="185" t="n">
        <v>0</v>
      </c>
      <c r="AE156" s="185" t="n">
        <v>0</v>
      </c>
      <c r="AF156" s="185" t="n">
        <v>0</v>
      </c>
      <c r="AG156" s="185" t="n">
        <v>0</v>
      </c>
      <c r="AH156" s="185" t="n">
        <v>0</v>
      </c>
      <c r="AI156" s="185" t="n">
        <v>0</v>
      </c>
      <c r="AJ156" s="185" t="n">
        <v>4540.69</v>
      </c>
      <c r="AK156" s="185" t="n">
        <v>0</v>
      </c>
      <c r="AL156" s="186" t="n">
        <v>0</v>
      </c>
      <c r="AM156" s="30" t="inlineStr">
        <is>
          <t>.</t>
        </is>
      </c>
      <c r="AN156" s="187">
        <f>IF(L156=0,0,Z156/L156)</f>
        <v/>
      </c>
      <c r="AO156" s="57">
        <f>IF(AN156&gt;=1,"🟢",IF(AN156&gt;=0.7,"🟡",IF(AN156&gt;=0.4,"🟠","🔴")))</f>
        <v/>
      </c>
      <c r="AP156" s="185">
        <f>L156-Z156</f>
        <v/>
      </c>
      <c r="AQ156" s="55">
        <f>RANK(Z156,$Z$4:$Z$503,0)</f>
        <v/>
      </c>
      <c r="AR156" s="39" t="inlineStr">
        <is>
          <t>.</t>
        </is>
      </c>
      <c r="AS156" s="27" t="n"/>
      <c r="AT156" s="27" t="n"/>
      <c r="AU156" s="27" t="n"/>
      <c r="AV156" s="27" t="n"/>
      <c r="AW156" s="27" t="n"/>
      <c r="AX156" s="27" t="n"/>
      <c r="AY156" s="204" t="n"/>
      <c r="AZ156" s="204" t="n"/>
      <c r="BA156" s="38" t="inlineStr">
        <is>
          <t>.</t>
        </is>
      </c>
      <c r="BB156" s="190">
        <f>SUM(BC156:BN156)</f>
        <v/>
      </c>
      <c r="BC156" s="191">
        <f>L156*0.0702730030</f>
        <v/>
      </c>
      <c r="BD156" s="191">
        <f>L156*0.0734327604</f>
        <v/>
      </c>
      <c r="BE156" s="191">
        <f>L156*0.0752022245</f>
        <v/>
      </c>
      <c r="BF156" s="191">
        <f>L156*0.0771612740</f>
        <v/>
      </c>
      <c r="BG156" s="191">
        <f>L156*0.0796890799</f>
        <v/>
      </c>
      <c r="BH156" s="191">
        <f>L156*0.0817745197</f>
        <v/>
      </c>
      <c r="BI156" s="191">
        <f>L156*0.0849342770</f>
        <v/>
      </c>
      <c r="BJ156" s="191">
        <f>L156*0.0870197169</f>
        <v/>
      </c>
      <c r="BK156" s="191">
        <f>L156*0.0889787664</f>
        <v/>
      </c>
      <c r="BL156" s="191">
        <f>L156*0.0911905966</f>
        <v/>
      </c>
      <c r="BM156" s="191">
        <f>L156*0.0935920121</f>
        <v/>
      </c>
      <c r="BN156" s="192">
        <f>L156*0.0967517695</f>
        <v/>
      </c>
      <c r="BO156" s="36" t="inlineStr">
        <is>
          <t>.</t>
        </is>
      </c>
      <c r="BP156" s="193">
        <f>SUM(BQ156:CB156)</f>
        <v/>
      </c>
      <c r="BQ156" s="191">
        <f>MAX(0,BC156-AA156)</f>
        <v/>
      </c>
      <c r="BR156" s="191">
        <f>MAX(0,BD156-AB156)</f>
        <v/>
      </c>
      <c r="BS156" s="191">
        <f>MAX(0,BE156-AC156)</f>
        <v/>
      </c>
      <c r="BT156" s="191">
        <f>MAX(0,BF156-AD156)</f>
        <v/>
      </c>
      <c r="BU156" s="191">
        <f>MAX(0,BG156-AE156)</f>
        <v/>
      </c>
      <c r="BV156" s="191">
        <f>MAX(0,BH156-AF156)</f>
        <v/>
      </c>
      <c r="BW156" s="191">
        <f>MAX(0,BI156-AG156)</f>
        <v/>
      </c>
      <c r="BX156" s="191">
        <f>MAX(0,BJ156-AH156)</f>
        <v/>
      </c>
      <c r="BY156" s="191">
        <f>MAX(0,BK156-AI156)</f>
        <v/>
      </c>
      <c r="BZ156" s="191">
        <f>MAX(0,BL156-AJ156)</f>
        <v/>
      </c>
      <c r="CA156" s="191">
        <f>MAX(0,BM156-AK156)</f>
        <v/>
      </c>
      <c r="CB156" s="192">
        <f>MAX(0,BN156-AL156)</f>
        <v/>
      </c>
    </row>
    <row r="157">
      <c r="A157" s="64" t="inlineStr">
        <is>
          <t>22853928000151</t>
        </is>
      </c>
      <c r="B157" s="57" t="inlineStr">
        <is>
          <t>BIO FORCE NATURAIS E SUPLEMENTOS - ME</t>
        </is>
      </c>
      <c r="C157" s="57" t="inlineStr">
        <is>
          <t>SEM GRUPO</t>
        </is>
      </c>
      <c r="D157" s="61" t="inlineStr">
        <is>
          <t>HEMANUELE DITZEL (MANU)</t>
        </is>
      </c>
      <c r="E157" s="30" t="inlineStr">
        <is>
          <t>.</t>
        </is>
      </c>
      <c r="F157" s="63" t="n"/>
      <c r="G157" s="179" t="n"/>
      <c r="H157" s="57" t="n"/>
      <c r="I157" s="57" t="n"/>
      <c r="J157" s="61" t="n"/>
      <c r="K157" s="30" t="inlineStr">
        <is>
          <t>.</t>
        </is>
      </c>
      <c r="L157" s="180" t="n">
        <v>7978.35</v>
      </c>
      <c r="M157" s="181" t="n">
        <v>560.66</v>
      </c>
      <c r="N157" s="181" t="n">
        <v>585.87</v>
      </c>
      <c r="O157" s="181" t="n">
        <v>599.99</v>
      </c>
      <c r="P157" s="181" t="n">
        <v>615.62</v>
      </c>
      <c r="Q157" s="181" t="n">
        <v>635.79</v>
      </c>
      <c r="R157" s="181" t="n">
        <v>652.4299999999999</v>
      </c>
      <c r="S157" s="181" t="n">
        <v>677.64</v>
      </c>
      <c r="T157" s="181" t="n">
        <v>694.27</v>
      </c>
      <c r="U157" s="181" t="n">
        <v>709.9</v>
      </c>
      <c r="V157" s="181" t="n">
        <v>727.55</v>
      </c>
      <c r="W157" s="181" t="n">
        <v>746.71</v>
      </c>
      <c r="X157" s="182" t="n">
        <v>771.92</v>
      </c>
      <c r="Y157" s="183" t="inlineStr">
        <is>
          <t>.</t>
        </is>
      </c>
      <c r="Z157" s="184">
        <f>SUM(AA157:AL157)</f>
        <v/>
      </c>
      <c r="AA157" s="185" t="n">
        <v>0</v>
      </c>
      <c r="AB157" s="185" t="n">
        <v>0</v>
      </c>
      <c r="AC157" s="185" t="n">
        <v>0</v>
      </c>
      <c r="AD157" s="185" t="n">
        <v>2828.91</v>
      </c>
      <c r="AE157" s="185" t="n">
        <v>0</v>
      </c>
      <c r="AF157" s="185" t="n">
        <v>0</v>
      </c>
      <c r="AG157" s="185" t="n">
        <v>0</v>
      </c>
      <c r="AH157" s="185" t="n">
        <v>0</v>
      </c>
      <c r="AI157" s="185" t="n">
        <v>0</v>
      </c>
      <c r="AJ157" s="185" t="n">
        <v>0</v>
      </c>
      <c r="AK157" s="185" t="n">
        <v>0</v>
      </c>
      <c r="AL157" s="186" t="n">
        <v>0</v>
      </c>
      <c r="AM157" s="30" t="inlineStr">
        <is>
          <t>.</t>
        </is>
      </c>
      <c r="AN157" s="187">
        <f>IF(L157=0,0,Z157/L157)</f>
        <v/>
      </c>
      <c r="AO157" s="57">
        <f>IF(AN157&gt;=1,"🟢",IF(AN157&gt;=0.7,"🟡",IF(AN157&gt;=0.4,"🟠","🔴")))</f>
        <v/>
      </c>
      <c r="AP157" s="185">
        <f>L157-Z157</f>
        <v/>
      </c>
      <c r="AQ157" s="55">
        <f>RANK(Z157,$Z$4:$Z$503,0)</f>
        <v/>
      </c>
      <c r="AR157" s="39" t="inlineStr">
        <is>
          <t>.</t>
        </is>
      </c>
      <c r="AS157" s="27" t="n"/>
      <c r="AT157" s="27" t="n"/>
      <c r="AU157" s="27" t="n"/>
      <c r="AV157" s="27" t="n"/>
      <c r="AW157" s="27" t="n"/>
      <c r="AX157" s="27" t="n"/>
      <c r="AY157" s="204" t="n"/>
      <c r="AZ157" s="204" t="n"/>
      <c r="BA157" s="38" t="inlineStr">
        <is>
          <t>.</t>
        </is>
      </c>
      <c r="BB157" s="190">
        <f>SUM(BC157:BN157)</f>
        <v/>
      </c>
      <c r="BC157" s="191">
        <f>L157*0.0702730030</f>
        <v/>
      </c>
      <c r="BD157" s="191">
        <f>L157*0.0734327604</f>
        <v/>
      </c>
      <c r="BE157" s="191">
        <f>L157*0.0752022245</f>
        <v/>
      </c>
      <c r="BF157" s="191">
        <f>L157*0.0771612740</f>
        <v/>
      </c>
      <c r="BG157" s="191">
        <f>L157*0.0796890799</f>
        <v/>
      </c>
      <c r="BH157" s="191">
        <f>L157*0.0817745197</f>
        <v/>
      </c>
      <c r="BI157" s="191">
        <f>L157*0.0849342770</f>
        <v/>
      </c>
      <c r="BJ157" s="191">
        <f>L157*0.0870197169</f>
        <v/>
      </c>
      <c r="BK157" s="191">
        <f>L157*0.0889787664</f>
        <v/>
      </c>
      <c r="BL157" s="191">
        <f>L157*0.0911905966</f>
        <v/>
      </c>
      <c r="BM157" s="191">
        <f>L157*0.0935920121</f>
        <v/>
      </c>
      <c r="BN157" s="192">
        <f>L157*0.0967517695</f>
        <v/>
      </c>
      <c r="BO157" s="36" t="inlineStr">
        <is>
          <t>.</t>
        </is>
      </c>
      <c r="BP157" s="193">
        <f>SUM(BQ157:CB157)</f>
        <v/>
      </c>
      <c r="BQ157" s="191">
        <f>MAX(0,BC157-AA157)</f>
        <v/>
      </c>
      <c r="BR157" s="191">
        <f>MAX(0,BD157-AB157)</f>
        <v/>
      </c>
      <c r="BS157" s="191">
        <f>MAX(0,BE157-AC157)</f>
        <v/>
      </c>
      <c r="BT157" s="191">
        <f>MAX(0,BF157-AD157)</f>
        <v/>
      </c>
      <c r="BU157" s="191">
        <f>MAX(0,BG157-AE157)</f>
        <v/>
      </c>
      <c r="BV157" s="191">
        <f>MAX(0,BH157-AF157)</f>
        <v/>
      </c>
      <c r="BW157" s="191">
        <f>MAX(0,BI157-AG157)</f>
        <v/>
      </c>
      <c r="BX157" s="191">
        <f>MAX(0,BJ157-AH157)</f>
        <v/>
      </c>
      <c r="BY157" s="191">
        <f>MAX(0,BK157-AI157)</f>
        <v/>
      </c>
      <c r="BZ157" s="191">
        <f>MAX(0,BL157-AJ157)</f>
        <v/>
      </c>
      <c r="CA157" s="191">
        <f>MAX(0,BM157-AK157)</f>
        <v/>
      </c>
      <c r="CB157" s="192">
        <f>MAX(0,BN157-AL157)</f>
        <v/>
      </c>
    </row>
    <row r="158">
      <c r="A158" s="64" t="inlineStr">
        <is>
          <t>46992372000142</t>
        </is>
      </c>
      <c r="B158" s="57" t="inlineStr">
        <is>
          <t>H. S. PRODUTOS NATURAIS LTDA - ME</t>
        </is>
      </c>
      <c r="C158" s="57" t="inlineStr">
        <is>
          <t>SEM GRUPO</t>
        </is>
      </c>
      <c r="D158" s="61" t="inlineStr">
        <is>
          <t>LARISSA PADILHA</t>
        </is>
      </c>
      <c r="E158" s="30" t="inlineStr">
        <is>
          <t>.</t>
        </is>
      </c>
      <c r="F158" s="63" t="n"/>
      <c r="G158" s="179" t="n"/>
      <c r="H158" s="57" t="n"/>
      <c r="I158" s="57" t="n"/>
      <c r="J158" s="61" t="n"/>
      <c r="K158" s="30" t="inlineStr">
        <is>
          <t>.</t>
        </is>
      </c>
      <c r="L158" s="180" t="n">
        <v>7915.93</v>
      </c>
      <c r="M158" s="181" t="n">
        <v>556.28</v>
      </c>
      <c r="N158" s="181" t="n">
        <v>581.29</v>
      </c>
      <c r="O158" s="181" t="n">
        <v>595.3</v>
      </c>
      <c r="P158" s="181" t="n">
        <v>610.8</v>
      </c>
      <c r="Q158" s="181" t="n">
        <v>630.8099999999999</v>
      </c>
      <c r="R158" s="181" t="n">
        <v>647.3200000000001</v>
      </c>
      <c r="S158" s="181" t="n">
        <v>672.33</v>
      </c>
      <c r="T158" s="181" t="n">
        <v>688.84</v>
      </c>
      <c r="U158" s="181" t="n">
        <v>704.35</v>
      </c>
      <c r="V158" s="181" t="n">
        <v>721.86</v>
      </c>
      <c r="W158" s="181" t="n">
        <v>740.87</v>
      </c>
      <c r="X158" s="182" t="n">
        <v>765.88</v>
      </c>
      <c r="Y158" s="183" t="inlineStr">
        <is>
          <t>.</t>
        </is>
      </c>
      <c r="Z158" s="184">
        <f>SUM(AA158:AL158)</f>
        <v/>
      </c>
      <c r="AA158" s="185" t="n">
        <v>0</v>
      </c>
      <c r="AB158" s="185" t="n">
        <v>0</v>
      </c>
      <c r="AC158" s="185" t="n">
        <v>0</v>
      </c>
      <c r="AD158" s="185" t="n">
        <v>0</v>
      </c>
      <c r="AE158" s="185" t="n">
        <v>0</v>
      </c>
      <c r="AF158" s="185" t="n">
        <v>0</v>
      </c>
      <c r="AG158" s="185" t="n">
        <v>2887.78</v>
      </c>
      <c r="AH158" s="185" t="n">
        <v>0</v>
      </c>
      <c r="AI158" s="185" t="n">
        <v>0</v>
      </c>
      <c r="AJ158" s="185" t="n">
        <v>0</v>
      </c>
      <c r="AK158" s="185" t="n">
        <v>0</v>
      </c>
      <c r="AL158" s="186" t="n">
        <v>979.54</v>
      </c>
      <c r="AM158" s="30" t="inlineStr">
        <is>
          <t>.</t>
        </is>
      </c>
      <c r="AN158" s="187">
        <f>IF(L158=0,0,Z158/L158)</f>
        <v/>
      </c>
      <c r="AO158" s="57">
        <f>IF(AN158&gt;=1,"🟢",IF(AN158&gt;=0.7,"🟡",IF(AN158&gt;=0.4,"🟠","🔴")))</f>
        <v/>
      </c>
      <c r="AP158" s="185">
        <f>L158-Z158</f>
        <v/>
      </c>
      <c r="AQ158" s="55">
        <f>RANK(Z158,$Z$4:$Z$503,0)</f>
        <v/>
      </c>
      <c r="AR158" s="39" t="inlineStr">
        <is>
          <t>.</t>
        </is>
      </c>
      <c r="AS158" s="27" t="n"/>
      <c r="AT158" s="27" t="n"/>
      <c r="AU158" s="27" t="n"/>
      <c r="AV158" s="27" t="n"/>
      <c r="AW158" s="27" t="n"/>
      <c r="AX158" s="27" t="n"/>
      <c r="AY158" s="204" t="n"/>
      <c r="AZ158" s="204" t="n"/>
      <c r="BA158" s="38" t="inlineStr">
        <is>
          <t>.</t>
        </is>
      </c>
      <c r="BB158" s="190">
        <f>SUM(BC158:BN158)</f>
        <v/>
      </c>
      <c r="BC158" s="191">
        <f>L158*0.0702730030</f>
        <v/>
      </c>
      <c r="BD158" s="191">
        <f>L158*0.0734327604</f>
        <v/>
      </c>
      <c r="BE158" s="191">
        <f>L158*0.0752022245</f>
        <v/>
      </c>
      <c r="BF158" s="191">
        <f>L158*0.0771612740</f>
        <v/>
      </c>
      <c r="BG158" s="191">
        <f>L158*0.0796890799</f>
        <v/>
      </c>
      <c r="BH158" s="191">
        <f>L158*0.0817745197</f>
        <v/>
      </c>
      <c r="BI158" s="191">
        <f>L158*0.0849342770</f>
        <v/>
      </c>
      <c r="BJ158" s="191">
        <f>L158*0.0870197169</f>
        <v/>
      </c>
      <c r="BK158" s="191">
        <f>L158*0.0889787664</f>
        <v/>
      </c>
      <c r="BL158" s="191">
        <f>L158*0.0911905966</f>
        <v/>
      </c>
      <c r="BM158" s="191">
        <f>L158*0.0935920121</f>
        <v/>
      </c>
      <c r="BN158" s="192">
        <f>L158*0.0967517695</f>
        <v/>
      </c>
      <c r="BO158" s="36" t="inlineStr">
        <is>
          <t>.</t>
        </is>
      </c>
      <c r="BP158" s="193">
        <f>SUM(BQ158:CB158)</f>
        <v/>
      </c>
      <c r="BQ158" s="191">
        <f>MAX(0,BC158-AA158)</f>
        <v/>
      </c>
      <c r="BR158" s="191">
        <f>MAX(0,BD158-AB158)</f>
        <v/>
      </c>
      <c r="BS158" s="191">
        <f>MAX(0,BE158-AC158)</f>
        <v/>
      </c>
      <c r="BT158" s="191">
        <f>MAX(0,BF158-AD158)</f>
        <v/>
      </c>
      <c r="BU158" s="191">
        <f>MAX(0,BG158-AE158)</f>
        <v/>
      </c>
      <c r="BV158" s="191">
        <f>MAX(0,BH158-AF158)</f>
        <v/>
      </c>
      <c r="BW158" s="191">
        <f>MAX(0,BI158-AG158)</f>
        <v/>
      </c>
      <c r="BX158" s="191">
        <f>MAX(0,BJ158-AH158)</f>
        <v/>
      </c>
      <c r="BY158" s="191">
        <f>MAX(0,BK158-AI158)</f>
        <v/>
      </c>
      <c r="BZ158" s="191">
        <f>MAX(0,BL158-AJ158)</f>
        <v/>
      </c>
      <c r="CA158" s="191">
        <f>MAX(0,BM158-AK158)</f>
        <v/>
      </c>
      <c r="CB158" s="192">
        <f>MAX(0,BN158-AL158)</f>
        <v/>
      </c>
    </row>
    <row r="159">
      <c r="A159" s="64" t="inlineStr">
        <is>
          <t>39695922000104</t>
        </is>
      </c>
      <c r="B159" s="57" t="inlineStr">
        <is>
          <t>39.695.922 LAILA DE CASSIA CORREIASANTOS</t>
        </is>
      </c>
      <c r="C159" s="57" t="inlineStr">
        <is>
          <t>SEM GRUPO</t>
        </is>
      </c>
      <c r="D159" s="61" t="inlineStr">
        <is>
          <t>LARISSA PADILHA</t>
        </is>
      </c>
      <c r="E159" s="30" t="inlineStr">
        <is>
          <t>.</t>
        </is>
      </c>
      <c r="F159" s="63" t="n"/>
      <c r="G159" s="179" t="n"/>
      <c r="H159" s="57" t="n"/>
      <c r="I159" s="57" t="n"/>
      <c r="J159" s="61" t="n"/>
      <c r="K159" s="30" t="inlineStr">
        <is>
          <t>.</t>
        </is>
      </c>
      <c r="L159" s="180" t="n">
        <v>7865.07</v>
      </c>
      <c r="M159" s="181" t="n">
        <v>552.7</v>
      </c>
      <c r="N159" s="181" t="n">
        <v>577.55</v>
      </c>
      <c r="O159" s="181" t="n">
        <v>591.47</v>
      </c>
      <c r="P159" s="181" t="n">
        <v>606.88</v>
      </c>
      <c r="Q159" s="181" t="n">
        <v>626.76</v>
      </c>
      <c r="R159" s="181" t="n">
        <v>643.16</v>
      </c>
      <c r="S159" s="181" t="n">
        <v>668.01</v>
      </c>
      <c r="T159" s="181" t="n">
        <v>684.42</v>
      </c>
      <c r="U159" s="181" t="n">
        <v>699.83</v>
      </c>
      <c r="V159" s="181" t="n">
        <v>717.22</v>
      </c>
      <c r="W159" s="181" t="n">
        <v>736.11</v>
      </c>
      <c r="X159" s="182" t="n">
        <v>760.96</v>
      </c>
      <c r="Y159" s="183" t="inlineStr">
        <is>
          <t>.</t>
        </is>
      </c>
      <c r="Z159" s="184">
        <f>SUM(AA159:AL159)</f>
        <v/>
      </c>
      <c r="AA159" s="185" t="n">
        <v>0</v>
      </c>
      <c r="AB159" s="185" t="n">
        <v>0</v>
      </c>
      <c r="AC159" s="185" t="n">
        <v>0</v>
      </c>
      <c r="AD159" s="185" t="n">
        <v>0</v>
      </c>
      <c r="AE159" s="185" t="n">
        <v>0</v>
      </c>
      <c r="AF159" s="185" t="n">
        <v>0</v>
      </c>
      <c r="AG159" s="185" t="n">
        <v>0</v>
      </c>
      <c r="AH159" s="185" t="n">
        <v>0</v>
      </c>
      <c r="AI159" s="185" t="n">
        <v>0</v>
      </c>
      <c r="AJ159" s="185" t="n">
        <v>4474.13</v>
      </c>
      <c r="AK159" s="185" t="n">
        <v>0</v>
      </c>
      <c r="AL159" s="186" t="n">
        <v>0</v>
      </c>
      <c r="AM159" s="30" t="inlineStr">
        <is>
          <t>.</t>
        </is>
      </c>
      <c r="AN159" s="187">
        <f>IF(L159=0,0,Z159/L159)</f>
        <v/>
      </c>
      <c r="AO159" s="57">
        <f>IF(AN159&gt;=1,"🟢",IF(AN159&gt;=0.7,"🟡",IF(AN159&gt;=0.4,"🟠","🔴")))</f>
        <v/>
      </c>
      <c r="AP159" s="185">
        <f>L159-Z159</f>
        <v/>
      </c>
      <c r="AQ159" s="55">
        <f>RANK(Z159,$Z$4:$Z$503,0)</f>
        <v/>
      </c>
      <c r="AR159" s="39" t="inlineStr">
        <is>
          <t>.</t>
        </is>
      </c>
      <c r="AS159" s="27" t="n"/>
      <c r="AT159" s="27" t="n"/>
      <c r="AU159" s="27" t="n"/>
      <c r="AV159" s="27" t="n"/>
      <c r="AW159" s="27" t="n"/>
      <c r="AX159" s="27" t="n"/>
      <c r="AY159" s="204" t="n"/>
      <c r="AZ159" s="204" t="n"/>
      <c r="BA159" s="38" t="inlineStr">
        <is>
          <t>.</t>
        </is>
      </c>
      <c r="BB159" s="190">
        <f>SUM(BC159:BN159)</f>
        <v/>
      </c>
      <c r="BC159" s="191">
        <f>L159*0.0702730030</f>
        <v/>
      </c>
      <c r="BD159" s="191">
        <f>L159*0.0734327604</f>
        <v/>
      </c>
      <c r="BE159" s="191">
        <f>L159*0.0752022245</f>
        <v/>
      </c>
      <c r="BF159" s="191">
        <f>L159*0.0771612740</f>
        <v/>
      </c>
      <c r="BG159" s="191">
        <f>L159*0.0796890799</f>
        <v/>
      </c>
      <c r="BH159" s="191">
        <f>L159*0.0817745197</f>
        <v/>
      </c>
      <c r="BI159" s="191">
        <f>L159*0.0849342770</f>
        <v/>
      </c>
      <c r="BJ159" s="191">
        <f>L159*0.0870197169</f>
        <v/>
      </c>
      <c r="BK159" s="191">
        <f>L159*0.0889787664</f>
        <v/>
      </c>
      <c r="BL159" s="191">
        <f>L159*0.0911905966</f>
        <v/>
      </c>
      <c r="BM159" s="191">
        <f>L159*0.0935920121</f>
        <v/>
      </c>
      <c r="BN159" s="192">
        <f>L159*0.0967517695</f>
        <v/>
      </c>
      <c r="BO159" s="36" t="inlineStr">
        <is>
          <t>.</t>
        </is>
      </c>
      <c r="BP159" s="193">
        <f>SUM(BQ159:CB159)</f>
        <v/>
      </c>
      <c r="BQ159" s="191">
        <f>MAX(0,BC159-AA159)</f>
        <v/>
      </c>
      <c r="BR159" s="191">
        <f>MAX(0,BD159-AB159)</f>
        <v/>
      </c>
      <c r="BS159" s="191">
        <f>MAX(0,BE159-AC159)</f>
        <v/>
      </c>
      <c r="BT159" s="191">
        <f>MAX(0,BF159-AD159)</f>
        <v/>
      </c>
      <c r="BU159" s="191">
        <f>MAX(0,BG159-AE159)</f>
        <v/>
      </c>
      <c r="BV159" s="191">
        <f>MAX(0,BH159-AF159)</f>
        <v/>
      </c>
      <c r="BW159" s="191">
        <f>MAX(0,BI159-AG159)</f>
        <v/>
      </c>
      <c r="BX159" s="191">
        <f>MAX(0,BJ159-AH159)</f>
        <v/>
      </c>
      <c r="BY159" s="191">
        <f>MAX(0,BK159-AI159)</f>
        <v/>
      </c>
      <c r="BZ159" s="191">
        <f>MAX(0,BL159-AJ159)</f>
        <v/>
      </c>
      <c r="CA159" s="191">
        <f>MAX(0,BM159-AK159)</f>
        <v/>
      </c>
      <c r="CB159" s="192">
        <f>MAX(0,BN159-AL159)</f>
        <v/>
      </c>
    </row>
    <row r="160">
      <c r="A160" s="64" t="inlineStr">
        <is>
          <t>06905607000601</t>
        </is>
      </c>
      <c r="B160" s="57" t="inlineStr">
        <is>
          <t>ESMERALDA CONVENIENCIAS LTDA - EPP</t>
        </is>
      </c>
      <c r="C160" s="57" t="inlineStr">
        <is>
          <t>SEM GRUPO</t>
        </is>
      </c>
      <c r="D160" s="61" t="inlineStr">
        <is>
          <t>HEMANUELE DITZEL (MANU)</t>
        </is>
      </c>
      <c r="E160" s="30" t="inlineStr">
        <is>
          <t>.</t>
        </is>
      </c>
      <c r="F160" s="63" t="n"/>
      <c r="G160" s="179" t="n"/>
      <c r="H160" s="57" t="n"/>
      <c r="I160" s="57" t="n"/>
      <c r="J160" s="61" t="n"/>
      <c r="K160" s="30" t="inlineStr">
        <is>
          <t>.</t>
        </is>
      </c>
      <c r="L160" s="180" t="n">
        <v>7859.389999999999</v>
      </c>
      <c r="M160" s="181" t="n">
        <v>552.3</v>
      </c>
      <c r="N160" s="181" t="n">
        <v>577.14</v>
      </c>
      <c r="O160" s="181" t="n">
        <v>591.04</v>
      </c>
      <c r="P160" s="181" t="n">
        <v>606.4400000000001</v>
      </c>
      <c r="Q160" s="181" t="n">
        <v>626.3099999999999</v>
      </c>
      <c r="R160" s="181" t="n">
        <v>642.7</v>
      </c>
      <c r="S160" s="181" t="n">
        <v>667.53</v>
      </c>
      <c r="T160" s="181" t="n">
        <v>683.92</v>
      </c>
      <c r="U160" s="181" t="n">
        <v>699.3200000000001</v>
      </c>
      <c r="V160" s="181" t="n">
        <v>716.7</v>
      </c>
      <c r="W160" s="181" t="n">
        <v>735.58</v>
      </c>
      <c r="X160" s="182" t="n">
        <v>760.41</v>
      </c>
      <c r="Y160" s="183" t="inlineStr">
        <is>
          <t>.</t>
        </is>
      </c>
      <c r="Z160" s="184">
        <f>SUM(AA160:AL160)</f>
        <v/>
      </c>
      <c r="AA160" s="185" t="n">
        <v>0</v>
      </c>
      <c r="AB160" s="185" t="n">
        <v>0</v>
      </c>
      <c r="AC160" s="185" t="n">
        <v>0</v>
      </c>
      <c r="AD160" s="185" t="n">
        <v>0</v>
      </c>
      <c r="AE160" s="185" t="n">
        <v>3309.94</v>
      </c>
      <c r="AF160" s="185" t="n">
        <v>0</v>
      </c>
      <c r="AG160" s="185" t="n">
        <v>0</v>
      </c>
      <c r="AH160" s="185" t="n">
        <v>0</v>
      </c>
      <c r="AI160" s="185" t="n">
        <v>0</v>
      </c>
      <c r="AJ160" s="185" t="n">
        <v>0</v>
      </c>
      <c r="AK160" s="185" t="n">
        <v>0</v>
      </c>
      <c r="AL160" s="186" t="n">
        <v>0</v>
      </c>
      <c r="AM160" s="30" t="inlineStr">
        <is>
          <t>.</t>
        </is>
      </c>
      <c r="AN160" s="187">
        <f>IF(L160=0,0,Z160/L160)</f>
        <v/>
      </c>
      <c r="AO160" s="57">
        <f>IF(AN160&gt;=1,"🟢",IF(AN160&gt;=0.7,"🟡",IF(AN160&gt;=0.4,"🟠","🔴")))</f>
        <v/>
      </c>
      <c r="AP160" s="185">
        <f>L160-Z160</f>
        <v/>
      </c>
      <c r="AQ160" s="55">
        <f>RANK(Z160,$Z$4:$Z$503,0)</f>
        <v/>
      </c>
      <c r="AR160" s="39" t="inlineStr">
        <is>
          <t>.</t>
        </is>
      </c>
      <c r="AS160" s="27" t="n"/>
      <c r="AT160" s="27" t="n"/>
      <c r="AU160" s="27" t="n"/>
      <c r="AV160" s="27" t="n"/>
      <c r="AW160" s="27" t="n"/>
      <c r="AX160" s="27" t="n"/>
      <c r="AY160" s="204" t="n"/>
      <c r="AZ160" s="204" t="n"/>
      <c r="BA160" s="38" t="inlineStr">
        <is>
          <t>.</t>
        </is>
      </c>
      <c r="BB160" s="190">
        <f>SUM(BC160:BN160)</f>
        <v/>
      </c>
      <c r="BC160" s="191">
        <f>L160*0.0702730030</f>
        <v/>
      </c>
      <c r="BD160" s="191">
        <f>L160*0.0734327604</f>
        <v/>
      </c>
      <c r="BE160" s="191">
        <f>L160*0.0752022245</f>
        <v/>
      </c>
      <c r="BF160" s="191">
        <f>L160*0.0771612740</f>
        <v/>
      </c>
      <c r="BG160" s="191">
        <f>L160*0.0796890799</f>
        <v/>
      </c>
      <c r="BH160" s="191">
        <f>L160*0.0817745197</f>
        <v/>
      </c>
      <c r="BI160" s="191">
        <f>L160*0.0849342770</f>
        <v/>
      </c>
      <c r="BJ160" s="191">
        <f>L160*0.0870197169</f>
        <v/>
      </c>
      <c r="BK160" s="191">
        <f>L160*0.0889787664</f>
        <v/>
      </c>
      <c r="BL160" s="191">
        <f>L160*0.0911905966</f>
        <v/>
      </c>
      <c r="BM160" s="191">
        <f>L160*0.0935920121</f>
        <v/>
      </c>
      <c r="BN160" s="192">
        <f>L160*0.0967517695</f>
        <v/>
      </c>
      <c r="BO160" s="36" t="inlineStr">
        <is>
          <t>.</t>
        </is>
      </c>
      <c r="BP160" s="193">
        <f>SUM(BQ160:CB160)</f>
        <v/>
      </c>
      <c r="BQ160" s="191">
        <f>MAX(0,BC160-AA160)</f>
        <v/>
      </c>
      <c r="BR160" s="191">
        <f>MAX(0,BD160-AB160)</f>
        <v/>
      </c>
      <c r="BS160" s="191">
        <f>MAX(0,BE160-AC160)</f>
        <v/>
      </c>
      <c r="BT160" s="191">
        <f>MAX(0,BF160-AD160)</f>
        <v/>
      </c>
      <c r="BU160" s="191">
        <f>MAX(0,BG160-AE160)</f>
        <v/>
      </c>
      <c r="BV160" s="191">
        <f>MAX(0,BH160-AF160)</f>
        <v/>
      </c>
      <c r="BW160" s="191">
        <f>MAX(0,BI160-AG160)</f>
        <v/>
      </c>
      <c r="BX160" s="191">
        <f>MAX(0,BJ160-AH160)</f>
        <v/>
      </c>
      <c r="BY160" s="191">
        <f>MAX(0,BK160-AI160)</f>
        <v/>
      </c>
      <c r="BZ160" s="191">
        <f>MAX(0,BL160-AJ160)</f>
        <v/>
      </c>
      <c r="CA160" s="191">
        <f>MAX(0,BM160-AK160)</f>
        <v/>
      </c>
      <c r="CB160" s="192">
        <f>MAX(0,BN160-AL160)</f>
        <v/>
      </c>
    </row>
    <row r="161">
      <c r="A161" s="64" t="inlineStr">
        <is>
          <t>06905607000792</t>
        </is>
      </c>
      <c r="B161" s="57" t="inlineStr">
        <is>
          <t>ESMERALDA CONVENIENCIAS LTDA - EPP</t>
        </is>
      </c>
      <c r="C161" s="57" t="inlineStr">
        <is>
          <t>SEM GRUPO</t>
        </is>
      </c>
      <c r="D161" s="61" t="inlineStr">
        <is>
          <t>HEMANUELE DITZEL (MANU)</t>
        </is>
      </c>
      <c r="E161" s="30" t="inlineStr">
        <is>
          <t>.</t>
        </is>
      </c>
      <c r="F161" s="63" t="n"/>
      <c r="G161" s="179" t="n"/>
      <c r="H161" s="57" t="n"/>
      <c r="I161" s="57" t="n"/>
      <c r="J161" s="61" t="n"/>
      <c r="K161" s="30" t="inlineStr">
        <is>
          <t>.</t>
        </is>
      </c>
      <c r="L161" s="180" t="n">
        <v>7771.66</v>
      </c>
      <c r="M161" s="181" t="n">
        <v>546.14</v>
      </c>
      <c r="N161" s="181" t="n">
        <v>570.6900000000001</v>
      </c>
      <c r="O161" s="181" t="n">
        <v>584.45</v>
      </c>
      <c r="P161" s="181" t="n">
        <v>599.67</v>
      </c>
      <c r="Q161" s="181" t="n">
        <v>619.3200000000001</v>
      </c>
      <c r="R161" s="181" t="n">
        <v>635.52</v>
      </c>
      <c r="S161" s="181" t="n">
        <v>660.08</v>
      </c>
      <c r="T161" s="181" t="n">
        <v>676.29</v>
      </c>
      <c r="U161" s="181" t="n">
        <v>691.51</v>
      </c>
      <c r="V161" s="181" t="n">
        <v>708.7</v>
      </c>
      <c r="W161" s="181" t="n">
        <v>727.37</v>
      </c>
      <c r="X161" s="182" t="n">
        <v>751.92</v>
      </c>
      <c r="Y161" s="183" t="inlineStr">
        <is>
          <t>.</t>
        </is>
      </c>
      <c r="Z161" s="184">
        <f>SUM(AA161:AL161)</f>
        <v/>
      </c>
      <c r="AA161" s="185" t="n">
        <v>0</v>
      </c>
      <c r="AB161" s="185" t="n">
        <v>0</v>
      </c>
      <c r="AC161" s="185" t="n">
        <v>0</v>
      </c>
      <c r="AD161" s="185" t="n">
        <v>0</v>
      </c>
      <c r="AE161" s="185" t="n">
        <v>3274.34</v>
      </c>
      <c r="AF161" s="185" t="n">
        <v>0</v>
      </c>
      <c r="AG161" s="185" t="n">
        <v>0</v>
      </c>
      <c r="AH161" s="185" t="n">
        <v>0</v>
      </c>
      <c r="AI161" s="185" t="n">
        <v>0</v>
      </c>
      <c r="AJ161" s="185" t="n">
        <v>0</v>
      </c>
      <c r="AK161" s="185" t="n">
        <v>0</v>
      </c>
      <c r="AL161" s="186" t="n">
        <v>0</v>
      </c>
      <c r="AM161" s="30" t="inlineStr">
        <is>
          <t>.</t>
        </is>
      </c>
      <c r="AN161" s="187">
        <f>IF(L161=0,0,Z161/L161)</f>
        <v/>
      </c>
      <c r="AO161" s="57">
        <f>IF(AN161&gt;=1,"🟢",IF(AN161&gt;=0.7,"🟡",IF(AN161&gt;=0.4,"🟠","🔴")))</f>
        <v/>
      </c>
      <c r="AP161" s="185">
        <f>L161-Z161</f>
        <v/>
      </c>
      <c r="AQ161" s="55">
        <f>RANK(Z161,$Z$4:$Z$503,0)</f>
        <v/>
      </c>
      <c r="AR161" s="39" t="inlineStr">
        <is>
          <t>.</t>
        </is>
      </c>
      <c r="AS161" s="27" t="n"/>
      <c r="AT161" s="27" t="n"/>
      <c r="AU161" s="27" t="n"/>
      <c r="AV161" s="27" t="n"/>
      <c r="AW161" s="27" t="n"/>
      <c r="AX161" s="27" t="n"/>
      <c r="AY161" s="204" t="n"/>
      <c r="AZ161" s="204" t="n"/>
      <c r="BA161" s="38" t="inlineStr">
        <is>
          <t>.</t>
        </is>
      </c>
      <c r="BB161" s="190">
        <f>SUM(BC161:BN161)</f>
        <v/>
      </c>
      <c r="BC161" s="191">
        <f>L161*0.0702730030</f>
        <v/>
      </c>
      <c r="BD161" s="191">
        <f>L161*0.0734327604</f>
        <v/>
      </c>
      <c r="BE161" s="191">
        <f>L161*0.0752022245</f>
        <v/>
      </c>
      <c r="BF161" s="191">
        <f>L161*0.0771612740</f>
        <v/>
      </c>
      <c r="BG161" s="191">
        <f>L161*0.0796890799</f>
        <v/>
      </c>
      <c r="BH161" s="191">
        <f>L161*0.0817745197</f>
        <v/>
      </c>
      <c r="BI161" s="191">
        <f>L161*0.0849342770</f>
        <v/>
      </c>
      <c r="BJ161" s="191">
        <f>L161*0.0870197169</f>
        <v/>
      </c>
      <c r="BK161" s="191">
        <f>L161*0.0889787664</f>
        <v/>
      </c>
      <c r="BL161" s="191">
        <f>L161*0.0911905966</f>
        <v/>
      </c>
      <c r="BM161" s="191">
        <f>L161*0.0935920121</f>
        <v/>
      </c>
      <c r="BN161" s="192">
        <f>L161*0.0967517695</f>
        <v/>
      </c>
      <c r="BO161" s="36" t="inlineStr">
        <is>
          <t>.</t>
        </is>
      </c>
      <c r="BP161" s="193">
        <f>SUM(BQ161:CB161)</f>
        <v/>
      </c>
      <c r="BQ161" s="191">
        <f>MAX(0,BC161-AA161)</f>
        <v/>
      </c>
      <c r="BR161" s="191">
        <f>MAX(0,BD161-AB161)</f>
        <v/>
      </c>
      <c r="BS161" s="191">
        <f>MAX(0,BE161-AC161)</f>
        <v/>
      </c>
      <c r="BT161" s="191">
        <f>MAX(0,BF161-AD161)</f>
        <v/>
      </c>
      <c r="BU161" s="191">
        <f>MAX(0,BG161-AE161)</f>
        <v/>
      </c>
      <c r="BV161" s="191">
        <f>MAX(0,BH161-AF161)</f>
        <v/>
      </c>
      <c r="BW161" s="191">
        <f>MAX(0,BI161-AG161)</f>
        <v/>
      </c>
      <c r="BX161" s="191">
        <f>MAX(0,BJ161-AH161)</f>
        <v/>
      </c>
      <c r="BY161" s="191">
        <f>MAX(0,BK161-AI161)</f>
        <v/>
      </c>
      <c r="BZ161" s="191">
        <f>MAX(0,BL161-AJ161)</f>
        <v/>
      </c>
      <c r="CA161" s="191">
        <f>MAX(0,BM161-AK161)</f>
        <v/>
      </c>
      <c r="CB161" s="192">
        <f>MAX(0,BN161-AL161)</f>
        <v/>
      </c>
    </row>
    <row r="162">
      <c r="A162" s="64" t="inlineStr">
        <is>
          <t>33950384000162</t>
        </is>
      </c>
      <c r="B162" s="57" t="inlineStr">
        <is>
          <t>SEVERO SILVA COMERCIO DE PRODUTOS NATURA</t>
        </is>
      </c>
      <c r="C162" s="57" t="inlineStr">
        <is>
          <t>BIO MUNDO</t>
        </is>
      </c>
      <c r="D162" s="61" t="inlineStr">
        <is>
          <t>DAIANE STAVICKI</t>
        </is>
      </c>
      <c r="E162" s="30" t="inlineStr">
        <is>
          <t>.</t>
        </is>
      </c>
      <c r="F162" s="63" t="n">
        <v>167</v>
      </c>
      <c r="G162" s="179" t="n">
        <v>0.014</v>
      </c>
      <c r="H162" s="57" t="inlineStr">
        <is>
          <t>🔴 VERMELHO</t>
        </is>
      </c>
      <c r="I162" s="57" t="inlineStr">
        <is>
          <t>ATIVAÇÃO</t>
        </is>
      </c>
      <c r="J162" s="61" t="inlineStr">
        <is>
          <t>Reativar inativos + Prospectar</t>
        </is>
      </c>
      <c r="K162" s="30" t="inlineStr">
        <is>
          <t>.</t>
        </is>
      </c>
      <c r="L162" s="180" t="n">
        <v>7748.27</v>
      </c>
      <c r="M162" s="181" t="n">
        <v>544.49</v>
      </c>
      <c r="N162" s="181" t="n">
        <v>568.98</v>
      </c>
      <c r="O162" s="181" t="n">
        <v>582.6900000000001</v>
      </c>
      <c r="P162" s="181" t="n">
        <v>597.87</v>
      </c>
      <c r="Q162" s="181" t="n">
        <v>617.45</v>
      </c>
      <c r="R162" s="181" t="n">
        <v>633.61</v>
      </c>
      <c r="S162" s="181" t="n">
        <v>658.09</v>
      </c>
      <c r="T162" s="181" t="n">
        <v>674.25</v>
      </c>
      <c r="U162" s="181" t="n">
        <v>689.4299999999999</v>
      </c>
      <c r="V162" s="181" t="n">
        <v>706.5700000000001</v>
      </c>
      <c r="W162" s="181" t="n">
        <v>725.1799999999999</v>
      </c>
      <c r="X162" s="182" t="n">
        <v>749.66</v>
      </c>
      <c r="Y162" s="183" t="inlineStr">
        <is>
          <t>.</t>
        </is>
      </c>
      <c r="Z162" s="184">
        <f>SUM(AA162:AL162)</f>
        <v/>
      </c>
      <c r="AA162" s="185" t="n">
        <v>0</v>
      </c>
      <c r="AB162" s="185" t="n">
        <v>0</v>
      </c>
      <c r="AC162" s="185" t="n">
        <v>0</v>
      </c>
      <c r="AD162" s="185" t="n">
        <v>0</v>
      </c>
      <c r="AE162" s="185" t="n">
        <v>0</v>
      </c>
      <c r="AF162" s="185" t="n">
        <v>0</v>
      </c>
      <c r="AG162" s="185" t="n">
        <v>0</v>
      </c>
      <c r="AH162" s="185" t="n">
        <v>0</v>
      </c>
      <c r="AI162" s="185" t="n">
        <v>0</v>
      </c>
      <c r="AJ162" s="185" t="n">
        <v>0</v>
      </c>
      <c r="AK162" s="185" t="n">
        <v>0</v>
      </c>
      <c r="AL162" s="186" t="n">
        <v>0</v>
      </c>
      <c r="AM162" s="30" t="inlineStr">
        <is>
          <t>.</t>
        </is>
      </c>
      <c r="AN162" s="187">
        <f>IF(L162=0,0,Z162/L162)</f>
        <v/>
      </c>
      <c r="AO162" s="57">
        <f>IF(AN162&gt;=1,"🟢",IF(AN162&gt;=0.7,"🟡",IF(AN162&gt;=0.4,"🟠","🔴")))</f>
        <v/>
      </c>
      <c r="AP162" s="185">
        <f>L162-Z162</f>
        <v/>
      </c>
      <c r="AQ162" s="55">
        <f>RANK(Z162,$Z$4:$Z$503,0)</f>
        <v/>
      </c>
      <c r="AR162" s="39" t="inlineStr">
        <is>
          <t>.</t>
        </is>
      </c>
      <c r="AS162" s="27" t="n"/>
      <c r="AT162" s="27" t="n"/>
      <c r="AU162" s="27" t="n"/>
      <c r="AV162" s="27" t="n"/>
      <c r="AW162" s="27" t="n"/>
      <c r="AX162" s="27" t="n"/>
      <c r="AY162" s="204" t="n"/>
      <c r="AZ162" s="204" t="n"/>
      <c r="BA162" s="38" t="inlineStr">
        <is>
          <t>.</t>
        </is>
      </c>
      <c r="BB162" s="190">
        <f>SUM(BC162:BN162)</f>
        <v/>
      </c>
      <c r="BC162" s="191">
        <f>L162*0.0702730030</f>
        <v/>
      </c>
      <c r="BD162" s="191">
        <f>L162*0.0734327604</f>
        <v/>
      </c>
      <c r="BE162" s="191">
        <f>L162*0.0752022245</f>
        <v/>
      </c>
      <c r="BF162" s="191">
        <f>L162*0.0771612740</f>
        <v/>
      </c>
      <c r="BG162" s="191">
        <f>L162*0.0796890799</f>
        <v/>
      </c>
      <c r="BH162" s="191">
        <f>L162*0.0817745197</f>
        <v/>
      </c>
      <c r="BI162" s="191">
        <f>L162*0.0849342770</f>
        <v/>
      </c>
      <c r="BJ162" s="191">
        <f>L162*0.0870197169</f>
        <v/>
      </c>
      <c r="BK162" s="191">
        <f>L162*0.0889787664</f>
        <v/>
      </c>
      <c r="BL162" s="191">
        <f>L162*0.0911905966</f>
        <v/>
      </c>
      <c r="BM162" s="191">
        <f>L162*0.0935920121</f>
        <v/>
      </c>
      <c r="BN162" s="192">
        <f>L162*0.0967517695</f>
        <v/>
      </c>
      <c r="BO162" s="36" t="inlineStr">
        <is>
          <t>.</t>
        </is>
      </c>
      <c r="BP162" s="193">
        <f>SUM(BQ162:CB162)</f>
        <v/>
      </c>
      <c r="BQ162" s="191">
        <f>MAX(0,BC162-AA162)</f>
        <v/>
      </c>
      <c r="BR162" s="191">
        <f>MAX(0,BD162-AB162)</f>
        <v/>
      </c>
      <c r="BS162" s="191">
        <f>MAX(0,BE162-AC162)</f>
        <v/>
      </c>
      <c r="BT162" s="191">
        <f>MAX(0,BF162-AD162)</f>
        <v/>
      </c>
      <c r="BU162" s="191">
        <f>MAX(0,BG162-AE162)</f>
        <v/>
      </c>
      <c r="BV162" s="191">
        <f>MAX(0,BH162-AF162)</f>
        <v/>
      </c>
      <c r="BW162" s="191">
        <f>MAX(0,BI162-AG162)</f>
        <v/>
      </c>
      <c r="BX162" s="191">
        <f>MAX(0,BJ162-AH162)</f>
        <v/>
      </c>
      <c r="BY162" s="191">
        <f>MAX(0,BK162-AI162)</f>
        <v/>
      </c>
      <c r="BZ162" s="191">
        <f>MAX(0,BL162-AJ162)</f>
        <v/>
      </c>
      <c r="CA162" s="191">
        <f>MAX(0,BM162-AK162)</f>
        <v/>
      </c>
      <c r="CB162" s="192">
        <f>MAX(0,BN162-AL162)</f>
        <v/>
      </c>
    </row>
    <row r="163">
      <c r="A163" s="64" t="inlineStr">
        <is>
          <t>39557193000111</t>
        </is>
      </c>
      <c r="B163" s="57" t="inlineStr">
        <is>
          <t>AE BEM NATURAL LTDA - ME</t>
        </is>
      </c>
      <c r="C163" s="57" t="inlineStr">
        <is>
          <t>SEM GRUPO</t>
        </is>
      </c>
      <c r="D163" s="61" t="inlineStr">
        <is>
          <t>HEMANUELE DITZEL (MANU)</t>
        </is>
      </c>
      <c r="E163" s="30" t="inlineStr">
        <is>
          <t>.</t>
        </is>
      </c>
      <c r="F163" s="63" t="n"/>
      <c r="G163" s="179" t="n"/>
      <c r="H163" s="57" t="n"/>
      <c r="I163" s="57" t="n"/>
      <c r="J163" s="61" t="n"/>
      <c r="K163" s="30" t="inlineStr">
        <is>
          <t>.</t>
        </is>
      </c>
      <c r="L163" s="180" t="n">
        <v>7697.91</v>
      </c>
      <c r="M163" s="181" t="n">
        <v>540.95</v>
      </c>
      <c r="N163" s="181" t="n">
        <v>565.28</v>
      </c>
      <c r="O163" s="181" t="n">
        <v>578.9</v>
      </c>
      <c r="P163" s="181" t="n">
        <v>593.98</v>
      </c>
      <c r="Q163" s="181" t="n">
        <v>613.4400000000001</v>
      </c>
      <c r="R163" s="181" t="n">
        <v>629.49</v>
      </c>
      <c r="S163" s="181" t="n">
        <v>653.8200000000001</v>
      </c>
      <c r="T163" s="181" t="n">
        <v>669.87</v>
      </c>
      <c r="U163" s="181" t="n">
        <v>684.95</v>
      </c>
      <c r="V163" s="181" t="n">
        <v>701.98</v>
      </c>
      <c r="W163" s="181" t="n">
        <v>720.46</v>
      </c>
      <c r="X163" s="182" t="n">
        <v>744.79</v>
      </c>
      <c r="Y163" s="183" t="inlineStr">
        <is>
          <t>.</t>
        </is>
      </c>
      <c r="Z163" s="184">
        <f>SUM(AA163:AL163)</f>
        <v/>
      </c>
      <c r="AA163" s="185" t="n">
        <v>0</v>
      </c>
      <c r="AB163" s="185" t="n">
        <v>0</v>
      </c>
      <c r="AC163" s="185" t="n">
        <v>0</v>
      </c>
      <c r="AD163" s="185" t="n">
        <v>2027.4</v>
      </c>
      <c r="AE163" s="185" t="n">
        <v>0</v>
      </c>
      <c r="AF163" s="185" t="n">
        <v>0</v>
      </c>
      <c r="AG163" s="185" t="n">
        <v>0</v>
      </c>
      <c r="AH163" s="185" t="n">
        <v>0</v>
      </c>
      <c r="AI163" s="185" t="n">
        <v>0</v>
      </c>
      <c r="AJ163" s="185" t="n">
        <v>0</v>
      </c>
      <c r="AK163" s="185" t="n">
        <v>1355.67</v>
      </c>
      <c r="AL163" s="186" t="n">
        <v>0</v>
      </c>
      <c r="AM163" s="30" t="inlineStr">
        <is>
          <t>.</t>
        </is>
      </c>
      <c r="AN163" s="187">
        <f>IF(L163=0,0,Z163/L163)</f>
        <v/>
      </c>
      <c r="AO163" s="57">
        <f>IF(AN163&gt;=1,"🟢",IF(AN163&gt;=0.7,"🟡",IF(AN163&gt;=0.4,"🟠","🔴")))</f>
        <v/>
      </c>
      <c r="AP163" s="185">
        <f>L163-Z163</f>
        <v/>
      </c>
      <c r="AQ163" s="55">
        <f>RANK(Z163,$Z$4:$Z$503,0)</f>
        <v/>
      </c>
      <c r="AR163" s="39" t="inlineStr">
        <is>
          <t>.</t>
        </is>
      </c>
      <c r="AS163" s="27" t="n"/>
      <c r="AT163" s="27" t="n"/>
      <c r="AU163" s="27" t="n"/>
      <c r="AV163" s="27" t="n"/>
      <c r="AW163" s="27" t="n"/>
      <c r="AX163" s="27" t="n"/>
      <c r="AY163" s="204" t="n"/>
      <c r="AZ163" s="204" t="n"/>
      <c r="BA163" s="38" t="inlineStr">
        <is>
          <t>.</t>
        </is>
      </c>
      <c r="BB163" s="190">
        <f>SUM(BC163:BN163)</f>
        <v/>
      </c>
      <c r="BC163" s="191">
        <f>L163*0.0702730030</f>
        <v/>
      </c>
      <c r="BD163" s="191">
        <f>L163*0.0734327604</f>
        <v/>
      </c>
      <c r="BE163" s="191">
        <f>L163*0.0752022245</f>
        <v/>
      </c>
      <c r="BF163" s="191">
        <f>L163*0.0771612740</f>
        <v/>
      </c>
      <c r="BG163" s="191">
        <f>L163*0.0796890799</f>
        <v/>
      </c>
      <c r="BH163" s="191">
        <f>L163*0.0817745197</f>
        <v/>
      </c>
      <c r="BI163" s="191">
        <f>L163*0.0849342770</f>
        <v/>
      </c>
      <c r="BJ163" s="191">
        <f>L163*0.0870197169</f>
        <v/>
      </c>
      <c r="BK163" s="191">
        <f>L163*0.0889787664</f>
        <v/>
      </c>
      <c r="BL163" s="191">
        <f>L163*0.0911905966</f>
        <v/>
      </c>
      <c r="BM163" s="191">
        <f>L163*0.0935920121</f>
        <v/>
      </c>
      <c r="BN163" s="192">
        <f>L163*0.0967517695</f>
        <v/>
      </c>
      <c r="BO163" s="36" t="inlineStr">
        <is>
          <t>.</t>
        </is>
      </c>
      <c r="BP163" s="193">
        <f>SUM(BQ163:CB163)</f>
        <v/>
      </c>
      <c r="BQ163" s="191">
        <f>MAX(0,BC163-AA163)</f>
        <v/>
      </c>
      <c r="BR163" s="191">
        <f>MAX(0,BD163-AB163)</f>
        <v/>
      </c>
      <c r="BS163" s="191">
        <f>MAX(0,BE163-AC163)</f>
        <v/>
      </c>
      <c r="BT163" s="191">
        <f>MAX(0,BF163-AD163)</f>
        <v/>
      </c>
      <c r="BU163" s="191">
        <f>MAX(0,BG163-AE163)</f>
        <v/>
      </c>
      <c r="BV163" s="191">
        <f>MAX(0,BH163-AF163)</f>
        <v/>
      </c>
      <c r="BW163" s="191">
        <f>MAX(0,BI163-AG163)</f>
        <v/>
      </c>
      <c r="BX163" s="191">
        <f>MAX(0,BJ163-AH163)</f>
        <v/>
      </c>
      <c r="BY163" s="191">
        <f>MAX(0,BK163-AI163)</f>
        <v/>
      </c>
      <c r="BZ163" s="191">
        <f>MAX(0,BL163-AJ163)</f>
        <v/>
      </c>
      <c r="CA163" s="191">
        <f>MAX(0,BM163-AK163)</f>
        <v/>
      </c>
      <c r="CB163" s="192">
        <f>MAX(0,BN163-AL163)</f>
        <v/>
      </c>
    </row>
    <row r="164">
      <c r="A164" s="64" t="inlineStr">
        <is>
          <t>03411217000182</t>
        </is>
      </c>
      <c r="B164" s="57" t="inlineStr">
        <is>
          <t>ARROBA EMBALAGENS LTDA</t>
        </is>
      </c>
      <c r="C164" s="57" t="inlineStr">
        <is>
          <t>SEM GRUPO</t>
        </is>
      </c>
      <c r="D164" s="61" t="inlineStr">
        <is>
          <t>LARISSA PADILHA</t>
        </is>
      </c>
      <c r="E164" s="30" t="inlineStr">
        <is>
          <t>.</t>
        </is>
      </c>
      <c r="F164" s="63" t="n"/>
      <c r="G164" s="179" t="n"/>
      <c r="H164" s="57" t="n"/>
      <c r="I164" s="57" t="n"/>
      <c r="J164" s="61" t="n"/>
      <c r="K164" s="30" t="inlineStr">
        <is>
          <t>.</t>
        </is>
      </c>
      <c r="L164" s="180" t="n">
        <v>7580.27</v>
      </c>
      <c r="M164" s="181" t="n">
        <v>532.6900000000001</v>
      </c>
      <c r="N164" s="181" t="n">
        <v>556.64</v>
      </c>
      <c r="O164" s="181" t="n">
        <v>570.05</v>
      </c>
      <c r="P164" s="181" t="n">
        <v>584.9</v>
      </c>
      <c r="Q164" s="181" t="n">
        <v>604.0700000000001</v>
      </c>
      <c r="R164" s="181" t="n">
        <v>619.87</v>
      </c>
      <c r="S164" s="181" t="n">
        <v>643.83</v>
      </c>
      <c r="T164" s="181" t="n">
        <v>659.63</v>
      </c>
      <c r="U164" s="181" t="n">
        <v>674.48</v>
      </c>
      <c r="V164" s="181" t="n">
        <v>691.25</v>
      </c>
      <c r="W164" s="181" t="n">
        <v>709.45</v>
      </c>
      <c r="X164" s="182" t="n">
        <v>733.41</v>
      </c>
      <c r="Y164" s="183" t="inlineStr">
        <is>
          <t>.</t>
        </is>
      </c>
      <c r="Z164" s="184">
        <f>SUM(AA164:AL164)</f>
        <v/>
      </c>
      <c r="AA164" s="185" t="n">
        <v>0</v>
      </c>
      <c r="AB164" s="185" t="n">
        <v>0</v>
      </c>
      <c r="AC164" s="185" t="n">
        <v>0</v>
      </c>
      <c r="AD164" s="185" t="n">
        <v>719.5700000000001</v>
      </c>
      <c r="AE164" s="185" t="n">
        <v>0</v>
      </c>
      <c r="AF164" s="185" t="n">
        <v>0</v>
      </c>
      <c r="AG164" s="185" t="n">
        <v>1200.67</v>
      </c>
      <c r="AH164" s="185" t="n">
        <v>741.59</v>
      </c>
      <c r="AI164" s="185" t="n">
        <v>0</v>
      </c>
      <c r="AJ164" s="185" t="n">
        <v>1397.9</v>
      </c>
      <c r="AK164" s="185" t="n">
        <v>0</v>
      </c>
      <c r="AL164" s="186" t="n">
        <v>0</v>
      </c>
      <c r="AM164" s="222" t="n">
        <v>1552.1</v>
      </c>
      <c r="AN164" s="187">
        <f>IF(L164=0,0,Z164/L164)</f>
        <v/>
      </c>
      <c r="AO164" s="57">
        <f>IF(AN164&gt;=1,"🟢",IF(AN164&gt;=0.7,"🟡",IF(AN164&gt;=0.4,"🟠","🔴")))</f>
        <v/>
      </c>
      <c r="AP164" s="185">
        <f>L164-Z164</f>
        <v/>
      </c>
      <c r="AQ164" s="55">
        <f>RANK(Z164,$Z$4:$Z$503,0)</f>
        <v/>
      </c>
      <c r="AR164" s="39" t="inlineStr">
        <is>
          <t>.</t>
        </is>
      </c>
      <c r="AS164" s="27" t="n"/>
      <c r="AT164" s="27" t="n"/>
      <c r="AU164" s="27" t="n"/>
      <c r="AV164" s="27" t="n"/>
      <c r="AW164" s="27" t="n"/>
      <c r="AX164" s="27" t="n"/>
      <c r="AY164" s="204" t="n"/>
      <c r="AZ164" s="204" t="n"/>
      <c r="BA164" s="38" t="inlineStr">
        <is>
          <t>.</t>
        </is>
      </c>
      <c r="BB164" s="190">
        <f>SUM(BC164:BN164)</f>
        <v/>
      </c>
      <c r="BC164" s="191">
        <f>L164*0.0702730030</f>
        <v/>
      </c>
      <c r="BD164" s="191">
        <f>L164*0.0734327604</f>
        <v/>
      </c>
      <c r="BE164" s="191">
        <f>L164*0.0752022245</f>
        <v/>
      </c>
      <c r="BF164" s="191">
        <f>L164*0.0771612740</f>
        <v/>
      </c>
      <c r="BG164" s="191">
        <f>L164*0.0796890799</f>
        <v/>
      </c>
      <c r="BH164" s="191">
        <f>L164*0.0817745197</f>
        <v/>
      </c>
      <c r="BI164" s="191">
        <f>L164*0.0849342770</f>
        <v/>
      </c>
      <c r="BJ164" s="191">
        <f>L164*0.0870197169</f>
        <v/>
      </c>
      <c r="BK164" s="191">
        <f>L164*0.0889787664</f>
        <v/>
      </c>
      <c r="BL164" s="191">
        <f>L164*0.0911905966</f>
        <v/>
      </c>
      <c r="BM164" s="191">
        <f>L164*0.0935920121</f>
        <v/>
      </c>
      <c r="BN164" s="192">
        <f>L164*0.0967517695</f>
        <v/>
      </c>
      <c r="BO164" s="36" t="inlineStr">
        <is>
          <t>.</t>
        </is>
      </c>
      <c r="BP164" s="193">
        <f>SUM(BQ164:CB164)</f>
        <v/>
      </c>
      <c r="BQ164" s="191">
        <f>MAX(0,BC164-AA164)</f>
        <v/>
      </c>
      <c r="BR164" s="191">
        <f>MAX(0,BD164-AB164)</f>
        <v/>
      </c>
      <c r="BS164" s="191">
        <f>MAX(0,BE164-AC164)</f>
        <v/>
      </c>
      <c r="BT164" s="191">
        <f>MAX(0,BF164-AD164)</f>
        <v/>
      </c>
      <c r="BU164" s="191">
        <f>MAX(0,BG164-AE164)</f>
        <v/>
      </c>
      <c r="BV164" s="191">
        <f>MAX(0,BH164-AF164)</f>
        <v/>
      </c>
      <c r="BW164" s="191">
        <f>MAX(0,BI164-AG164)</f>
        <v/>
      </c>
      <c r="BX164" s="191">
        <f>MAX(0,BJ164-AH164)</f>
        <v/>
      </c>
      <c r="BY164" s="191">
        <f>MAX(0,BK164-AI164)</f>
        <v/>
      </c>
      <c r="BZ164" s="191">
        <f>MAX(0,BL164-AJ164)</f>
        <v/>
      </c>
      <c r="CA164" s="191">
        <f>MAX(0,BM164-AK164)</f>
        <v/>
      </c>
      <c r="CB164" s="192">
        <f>MAX(0,BN164-AL164)</f>
        <v/>
      </c>
    </row>
    <row r="165">
      <c r="A165" s="64" t="inlineStr">
        <is>
          <t>22180402000158</t>
        </is>
      </c>
      <c r="B165" s="57" t="inlineStr">
        <is>
          <t>22.180.402 CARLA LUCIANA BOCCARDI PALOU</t>
        </is>
      </c>
      <c r="C165" s="57" t="inlineStr">
        <is>
          <t>SEM GRUPO</t>
        </is>
      </c>
      <c r="D165" s="61" t="inlineStr">
        <is>
          <t>LARISSA PADILHA</t>
        </is>
      </c>
      <c r="E165" s="30" t="inlineStr">
        <is>
          <t>.</t>
        </is>
      </c>
      <c r="F165" s="63" t="n"/>
      <c r="G165" s="179" t="n"/>
      <c r="H165" s="57" t="n"/>
      <c r="I165" s="57" t="n"/>
      <c r="J165" s="61" t="n"/>
      <c r="K165" s="30" t="inlineStr">
        <is>
          <t>.</t>
        </is>
      </c>
      <c r="L165" s="180" t="n">
        <v>7376.34</v>
      </c>
      <c r="M165" s="181" t="n">
        <v>518.36</v>
      </c>
      <c r="N165" s="181" t="n">
        <v>541.66</v>
      </c>
      <c r="O165" s="181" t="n">
        <v>554.72</v>
      </c>
      <c r="P165" s="181" t="n">
        <v>569.17</v>
      </c>
      <c r="Q165" s="181" t="n">
        <v>587.8099999999999</v>
      </c>
      <c r="R165" s="181" t="n">
        <v>603.2</v>
      </c>
      <c r="S165" s="181" t="n">
        <v>626.5</v>
      </c>
      <c r="T165" s="181" t="n">
        <v>641.89</v>
      </c>
      <c r="U165" s="181" t="n">
        <v>656.34</v>
      </c>
      <c r="V165" s="181" t="n">
        <v>672.65</v>
      </c>
      <c r="W165" s="181" t="n">
        <v>690.37</v>
      </c>
      <c r="X165" s="182" t="n">
        <v>713.67</v>
      </c>
      <c r="Y165" s="183" t="inlineStr">
        <is>
          <t>.</t>
        </is>
      </c>
      <c r="Z165" s="184">
        <f>SUM(AA165:AL165)</f>
        <v/>
      </c>
      <c r="AA165" s="185" t="n">
        <v>0</v>
      </c>
      <c r="AB165" s="185" t="n">
        <v>0</v>
      </c>
      <c r="AC165" s="185" t="n">
        <v>0</v>
      </c>
      <c r="AD165" s="185" t="n">
        <v>222.19</v>
      </c>
      <c r="AE165" s="185" t="n">
        <v>0</v>
      </c>
      <c r="AF165" s="185" t="n">
        <v>239.06</v>
      </c>
      <c r="AG165" s="185" t="n">
        <v>756</v>
      </c>
      <c r="AH165" s="185" t="n">
        <v>588.4400000000001</v>
      </c>
      <c r="AI165" s="185" t="n">
        <v>421.26</v>
      </c>
      <c r="AJ165" s="185" t="n">
        <v>0</v>
      </c>
      <c r="AK165" s="185" t="n">
        <v>832.99</v>
      </c>
      <c r="AL165" s="186" t="n">
        <v>0</v>
      </c>
      <c r="AM165" s="30" t="inlineStr">
        <is>
          <t>.</t>
        </is>
      </c>
      <c r="AN165" s="187">
        <f>IF(L165=0,0,Z165/L165)</f>
        <v/>
      </c>
      <c r="AO165" s="57">
        <f>IF(AN165&gt;=1,"🟢",IF(AN165&gt;=0.7,"🟡",IF(AN165&gt;=0.4,"🟠","🔴")))</f>
        <v/>
      </c>
      <c r="AP165" s="185">
        <f>L165-Z165</f>
        <v/>
      </c>
      <c r="AQ165" s="55">
        <f>RANK(Z165,$Z$4:$Z$503,0)</f>
        <v/>
      </c>
      <c r="AR165" s="39" t="inlineStr">
        <is>
          <t>.</t>
        </is>
      </c>
      <c r="AS165" s="27" t="n"/>
      <c r="AT165" s="27" t="n"/>
      <c r="AU165" s="27" t="n"/>
      <c r="AV165" s="27" t="n"/>
      <c r="AW165" s="27" t="n"/>
      <c r="AX165" s="27" t="n"/>
      <c r="AY165" s="204" t="n"/>
      <c r="AZ165" s="204" t="n"/>
      <c r="BA165" s="38" t="inlineStr">
        <is>
          <t>.</t>
        </is>
      </c>
      <c r="BB165" s="190">
        <f>SUM(BC165:BN165)</f>
        <v/>
      </c>
      <c r="BC165" s="191">
        <f>L165*0.0702730030</f>
        <v/>
      </c>
      <c r="BD165" s="191">
        <f>L165*0.0734327604</f>
        <v/>
      </c>
      <c r="BE165" s="191">
        <f>L165*0.0752022245</f>
        <v/>
      </c>
      <c r="BF165" s="191">
        <f>L165*0.0771612740</f>
        <v/>
      </c>
      <c r="BG165" s="191">
        <f>L165*0.0796890799</f>
        <v/>
      </c>
      <c r="BH165" s="191">
        <f>L165*0.0817745197</f>
        <v/>
      </c>
      <c r="BI165" s="191">
        <f>L165*0.0849342770</f>
        <v/>
      </c>
      <c r="BJ165" s="191">
        <f>L165*0.0870197169</f>
        <v/>
      </c>
      <c r="BK165" s="191">
        <f>L165*0.0889787664</f>
        <v/>
      </c>
      <c r="BL165" s="191">
        <f>L165*0.0911905966</f>
        <v/>
      </c>
      <c r="BM165" s="191">
        <f>L165*0.0935920121</f>
        <v/>
      </c>
      <c r="BN165" s="192">
        <f>L165*0.0967517695</f>
        <v/>
      </c>
      <c r="BO165" s="36" t="inlineStr">
        <is>
          <t>.</t>
        </is>
      </c>
      <c r="BP165" s="193">
        <f>SUM(BQ165:CB165)</f>
        <v/>
      </c>
      <c r="BQ165" s="191">
        <f>MAX(0,BC165-AA165)</f>
        <v/>
      </c>
      <c r="BR165" s="191">
        <f>MAX(0,BD165-AB165)</f>
        <v/>
      </c>
      <c r="BS165" s="191">
        <f>MAX(0,BE165-AC165)</f>
        <v/>
      </c>
      <c r="BT165" s="191">
        <f>MAX(0,BF165-AD165)</f>
        <v/>
      </c>
      <c r="BU165" s="191">
        <f>MAX(0,BG165-AE165)</f>
        <v/>
      </c>
      <c r="BV165" s="191">
        <f>MAX(0,BH165-AF165)</f>
        <v/>
      </c>
      <c r="BW165" s="191">
        <f>MAX(0,BI165-AG165)</f>
        <v/>
      </c>
      <c r="BX165" s="191">
        <f>MAX(0,BJ165-AH165)</f>
        <v/>
      </c>
      <c r="BY165" s="191">
        <f>MAX(0,BK165-AI165)</f>
        <v/>
      </c>
      <c r="BZ165" s="191">
        <f>MAX(0,BL165-AJ165)</f>
        <v/>
      </c>
      <c r="CA165" s="191">
        <f>MAX(0,BM165-AK165)</f>
        <v/>
      </c>
      <c r="CB165" s="192">
        <f>MAX(0,BN165-AL165)</f>
        <v/>
      </c>
    </row>
    <row r="166">
      <c r="A166" s="64" t="inlineStr">
        <is>
          <t>15626213000109</t>
        </is>
      </c>
      <c r="B166" s="57" t="inlineStr">
        <is>
          <t>IVANILDO BARBOSA DOS SANTOS 08664084874</t>
        </is>
      </c>
      <c r="C166" s="57" t="inlineStr">
        <is>
          <t>SEM GRUPO</t>
        </is>
      </c>
      <c r="D166" s="61" t="inlineStr">
        <is>
          <t>LARISSA PADILHA</t>
        </is>
      </c>
      <c r="E166" s="30" t="inlineStr">
        <is>
          <t>.</t>
        </is>
      </c>
      <c r="F166" s="63" t="n"/>
      <c r="G166" s="179" t="n"/>
      <c r="H166" s="57" t="n"/>
      <c r="I166" s="57" t="n"/>
      <c r="J166" s="61" t="n"/>
      <c r="K166" s="30" t="inlineStr">
        <is>
          <t>.</t>
        </is>
      </c>
      <c r="L166" s="180" t="n">
        <v>7350.54</v>
      </c>
      <c r="M166" s="181" t="n">
        <v>516.54</v>
      </c>
      <c r="N166" s="181" t="n">
        <v>539.77</v>
      </c>
      <c r="O166" s="181" t="n">
        <v>552.78</v>
      </c>
      <c r="P166" s="181" t="n">
        <v>567.1799999999999</v>
      </c>
      <c r="Q166" s="181" t="n">
        <v>585.76</v>
      </c>
      <c r="R166" s="181" t="n">
        <v>601.09</v>
      </c>
      <c r="S166" s="181" t="n">
        <v>624.3099999999999</v>
      </c>
      <c r="T166" s="181" t="n">
        <v>639.64</v>
      </c>
      <c r="U166" s="181" t="n">
        <v>654.04</v>
      </c>
      <c r="V166" s="181" t="n">
        <v>670.3</v>
      </c>
      <c r="W166" s="181" t="n">
        <v>687.95</v>
      </c>
      <c r="X166" s="182" t="n">
        <v>711.1799999999999</v>
      </c>
      <c r="Y166" s="183" t="inlineStr">
        <is>
          <t>.</t>
        </is>
      </c>
      <c r="Z166" s="184">
        <f>SUM(AA166:AL166)</f>
        <v/>
      </c>
      <c r="AA166" s="185" t="n">
        <v>0</v>
      </c>
      <c r="AB166" s="185" t="n">
        <v>0</v>
      </c>
      <c r="AC166" s="185" t="n">
        <v>0</v>
      </c>
      <c r="AD166" s="185" t="n">
        <v>0</v>
      </c>
      <c r="AE166" s="185" t="n">
        <v>1680.29</v>
      </c>
      <c r="AF166" s="185" t="n">
        <v>0</v>
      </c>
      <c r="AG166" s="185" t="n">
        <v>0</v>
      </c>
      <c r="AH166" s="185" t="n">
        <v>1664.09</v>
      </c>
      <c r="AI166" s="185" t="n">
        <v>0</v>
      </c>
      <c r="AJ166" s="185" t="n">
        <v>0</v>
      </c>
      <c r="AK166" s="185" t="n">
        <v>0</v>
      </c>
      <c r="AL166" s="186" t="n">
        <v>0</v>
      </c>
      <c r="AM166" s="30" t="inlineStr">
        <is>
          <t>.</t>
        </is>
      </c>
      <c r="AN166" s="187">
        <f>IF(L166=0,0,Z166/L166)</f>
        <v/>
      </c>
      <c r="AO166" s="57">
        <f>IF(AN166&gt;=1,"🟢",IF(AN166&gt;=0.7,"🟡",IF(AN166&gt;=0.4,"🟠","🔴")))</f>
        <v/>
      </c>
      <c r="AP166" s="185">
        <f>L166-Z166</f>
        <v/>
      </c>
      <c r="AQ166" s="55">
        <f>RANK(Z166,$Z$4:$Z$503,0)</f>
        <v/>
      </c>
      <c r="AR166" s="39" t="inlineStr">
        <is>
          <t>.</t>
        </is>
      </c>
      <c r="AS166" s="27" t="n"/>
      <c r="AT166" s="27" t="n"/>
      <c r="AU166" s="27" t="n"/>
      <c r="AV166" s="27" t="n"/>
      <c r="AW166" s="27" t="n"/>
      <c r="AX166" s="27" t="n"/>
      <c r="AY166" s="204" t="n"/>
      <c r="AZ166" s="204" t="n"/>
      <c r="BA166" s="38" t="inlineStr">
        <is>
          <t>.</t>
        </is>
      </c>
      <c r="BB166" s="190">
        <f>SUM(BC166:BN166)</f>
        <v/>
      </c>
      <c r="BC166" s="191">
        <f>L166*0.0702730030</f>
        <v/>
      </c>
      <c r="BD166" s="191">
        <f>L166*0.0734327604</f>
        <v/>
      </c>
      <c r="BE166" s="191">
        <f>L166*0.0752022245</f>
        <v/>
      </c>
      <c r="BF166" s="191">
        <f>L166*0.0771612740</f>
        <v/>
      </c>
      <c r="BG166" s="191">
        <f>L166*0.0796890799</f>
        <v/>
      </c>
      <c r="BH166" s="191">
        <f>L166*0.0817745197</f>
        <v/>
      </c>
      <c r="BI166" s="191">
        <f>L166*0.0849342770</f>
        <v/>
      </c>
      <c r="BJ166" s="191">
        <f>L166*0.0870197169</f>
        <v/>
      </c>
      <c r="BK166" s="191">
        <f>L166*0.0889787664</f>
        <v/>
      </c>
      <c r="BL166" s="191">
        <f>L166*0.0911905966</f>
        <v/>
      </c>
      <c r="BM166" s="191">
        <f>L166*0.0935920121</f>
        <v/>
      </c>
      <c r="BN166" s="192">
        <f>L166*0.0967517695</f>
        <v/>
      </c>
      <c r="BO166" s="36" t="inlineStr">
        <is>
          <t>.</t>
        </is>
      </c>
      <c r="BP166" s="193">
        <f>SUM(BQ166:CB166)</f>
        <v/>
      </c>
      <c r="BQ166" s="191">
        <f>MAX(0,BC166-AA166)</f>
        <v/>
      </c>
      <c r="BR166" s="191">
        <f>MAX(0,BD166-AB166)</f>
        <v/>
      </c>
      <c r="BS166" s="191">
        <f>MAX(0,BE166-AC166)</f>
        <v/>
      </c>
      <c r="BT166" s="191">
        <f>MAX(0,BF166-AD166)</f>
        <v/>
      </c>
      <c r="BU166" s="191">
        <f>MAX(0,BG166-AE166)</f>
        <v/>
      </c>
      <c r="BV166" s="191">
        <f>MAX(0,BH166-AF166)</f>
        <v/>
      </c>
      <c r="BW166" s="191">
        <f>MAX(0,BI166-AG166)</f>
        <v/>
      </c>
      <c r="BX166" s="191">
        <f>MAX(0,BJ166-AH166)</f>
        <v/>
      </c>
      <c r="BY166" s="191">
        <f>MAX(0,BK166-AI166)</f>
        <v/>
      </c>
      <c r="BZ166" s="191">
        <f>MAX(0,BL166-AJ166)</f>
        <v/>
      </c>
      <c r="CA166" s="191">
        <f>MAX(0,BM166-AK166)</f>
        <v/>
      </c>
      <c r="CB166" s="192">
        <f>MAX(0,BN166-AL166)</f>
        <v/>
      </c>
    </row>
    <row r="167">
      <c r="A167" s="64" t="inlineStr">
        <is>
          <t>55906608000171</t>
        </is>
      </c>
      <c r="B167" s="57" t="inlineStr">
        <is>
          <t>PADOCA DA BAXA LTDA - ME</t>
        </is>
      </c>
      <c r="C167" s="57" t="inlineStr">
        <is>
          <t>SEM GRUPO</t>
        </is>
      </c>
      <c r="D167" s="61" t="inlineStr">
        <is>
          <t>HEMANUELE DITZEL (MANU)</t>
        </is>
      </c>
      <c r="E167" s="30" t="inlineStr">
        <is>
          <t>.</t>
        </is>
      </c>
      <c r="F167" s="63" t="n"/>
      <c r="G167" s="179" t="n"/>
      <c r="H167" s="57" t="n"/>
      <c r="I167" s="57" t="n"/>
      <c r="J167" s="61" t="n"/>
      <c r="K167" s="30" t="inlineStr">
        <is>
          <t>.</t>
        </is>
      </c>
      <c r="L167" s="180" t="n">
        <v>7314.19</v>
      </c>
      <c r="M167" s="181" t="n">
        <v>513.99</v>
      </c>
      <c r="N167" s="181" t="n">
        <v>537.1</v>
      </c>
      <c r="O167" s="181" t="n">
        <v>550.04</v>
      </c>
      <c r="P167" s="181" t="n">
        <v>564.37</v>
      </c>
      <c r="Q167" s="181" t="n">
        <v>582.86</v>
      </c>
      <c r="R167" s="181" t="n">
        <v>598.11</v>
      </c>
      <c r="S167" s="181" t="n">
        <v>621.23</v>
      </c>
      <c r="T167" s="181" t="n">
        <v>636.48</v>
      </c>
      <c r="U167" s="181" t="n">
        <v>650.8099999999999</v>
      </c>
      <c r="V167" s="181" t="n">
        <v>666.99</v>
      </c>
      <c r="W167" s="181" t="n">
        <v>684.55</v>
      </c>
      <c r="X167" s="182" t="n">
        <v>707.66</v>
      </c>
      <c r="Y167" s="183" t="inlineStr">
        <is>
          <t>.</t>
        </is>
      </c>
      <c r="Z167" s="184">
        <f>SUM(AA167:AL167)</f>
        <v/>
      </c>
      <c r="AA167" s="185" t="n">
        <v>0</v>
      </c>
      <c r="AB167" s="185" t="n">
        <v>0</v>
      </c>
      <c r="AC167" s="185" t="n">
        <v>0</v>
      </c>
      <c r="AD167" s="185" t="n">
        <v>0</v>
      </c>
      <c r="AE167" s="185" t="n">
        <v>0</v>
      </c>
      <c r="AF167" s="185" t="n">
        <v>0</v>
      </c>
      <c r="AG167" s="185" t="n">
        <v>0</v>
      </c>
      <c r="AH167" s="185" t="n">
        <v>2195.86</v>
      </c>
      <c r="AI167" s="185" t="n">
        <v>0</v>
      </c>
      <c r="AJ167" s="185" t="n">
        <v>0</v>
      </c>
      <c r="AK167" s="185" t="n">
        <v>1121.77</v>
      </c>
      <c r="AL167" s="186" t="n">
        <v>0</v>
      </c>
      <c r="AM167" s="30" t="inlineStr">
        <is>
          <t>.</t>
        </is>
      </c>
      <c r="AN167" s="187">
        <f>IF(L167=0,0,Z167/L167)</f>
        <v/>
      </c>
      <c r="AO167" s="57">
        <f>IF(AN167&gt;=1,"🟢",IF(AN167&gt;=0.7,"🟡",IF(AN167&gt;=0.4,"🟠","🔴")))</f>
        <v/>
      </c>
      <c r="AP167" s="185">
        <f>L167-Z167</f>
        <v/>
      </c>
      <c r="AQ167" s="55">
        <f>RANK(Z167,$Z$4:$Z$503,0)</f>
        <v/>
      </c>
      <c r="AR167" s="39" t="inlineStr">
        <is>
          <t>.</t>
        </is>
      </c>
      <c r="AS167" s="27" t="n"/>
      <c r="AT167" s="27" t="n"/>
      <c r="AU167" s="27" t="n"/>
      <c r="AV167" s="27" t="n"/>
      <c r="AW167" s="27" t="n"/>
      <c r="AX167" s="27" t="n"/>
      <c r="AY167" s="204" t="n"/>
      <c r="AZ167" s="204" t="n"/>
      <c r="BA167" s="38" t="inlineStr">
        <is>
          <t>.</t>
        </is>
      </c>
      <c r="BB167" s="190">
        <f>SUM(BC167:BN167)</f>
        <v/>
      </c>
      <c r="BC167" s="191">
        <f>L167*0.0702730030</f>
        <v/>
      </c>
      <c r="BD167" s="191">
        <f>L167*0.0734327604</f>
        <v/>
      </c>
      <c r="BE167" s="191">
        <f>L167*0.0752022245</f>
        <v/>
      </c>
      <c r="BF167" s="191">
        <f>L167*0.0771612740</f>
        <v/>
      </c>
      <c r="BG167" s="191">
        <f>L167*0.0796890799</f>
        <v/>
      </c>
      <c r="BH167" s="191">
        <f>L167*0.0817745197</f>
        <v/>
      </c>
      <c r="BI167" s="191">
        <f>L167*0.0849342770</f>
        <v/>
      </c>
      <c r="BJ167" s="191">
        <f>L167*0.0870197169</f>
        <v/>
      </c>
      <c r="BK167" s="191">
        <f>L167*0.0889787664</f>
        <v/>
      </c>
      <c r="BL167" s="191">
        <f>L167*0.0911905966</f>
        <v/>
      </c>
      <c r="BM167" s="191">
        <f>L167*0.0935920121</f>
        <v/>
      </c>
      <c r="BN167" s="192">
        <f>L167*0.0967517695</f>
        <v/>
      </c>
      <c r="BO167" s="36" t="inlineStr">
        <is>
          <t>.</t>
        </is>
      </c>
      <c r="BP167" s="193">
        <f>SUM(BQ167:CB167)</f>
        <v/>
      </c>
      <c r="BQ167" s="191">
        <f>MAX(0,BC167-AA167)</f>
        <v/>
      </c>
      <c r="BR167" s="191">
        <f>MAX(0,BD167-AB167)</f>
        <v/>
      </c>
      <c r="BS167" s="191">
        <f>MAX(0,BE167-AC167)</f>
        <v/>
      </c>
      <c r="BT167" s="191">
        <f>MAX(0,BF167-AD167)</f>
        <v/>
      </c>
      <c r="BU167" s="191">
        <f>MAX(0,BG167-AE167)</f>
        <v/>
      </c>
      <c r="BV167" s="191">
        <f>MAX(0,BH167-AF167)</f>
        <v/>
      </c>
      <c r="BW167" s="191">
        <f>MAX(0,BI167-AG167)</f>
        <v/>
      </c>
      <c r="BX167" s="191">
        <f>MAX(0,BJ167-AH167)</f>
        <v/>
      </c>
      <c r="BY167" s="191">
        <f>MAX(0,BK167-AI167)</f>
        <v/>
      </c>
      <c r="BZ167" s="191">
        <f>MAX(0,BL167-AJ167)</f>
        <v/>
      </c>
      <c r="CA167" s="191">
        <f>MAX(0,BM167-AK167)</f>
        <v/>
      </c>
      <c r="CB167" s="192">
        <f>MAX(0,BN167-AL167)</f>
        <v/>
      </c>
    </row>
    <row r="168">
      <c r="A168" s="64" t="inlineStr">
        <is>
          <t>52035194000164</t>
        </is>
      </c>
      <c r="B168" s="57" t="inlineStr">
        <is>
          <t>MOA EMPORIO LTDA - EPP</t>
        </is>
      </c>
      <c r="C168" s="57" t="inlineStr">
        <is>
          <t>SEM GRUPO</t>
        </is>
      </c>
      <c r="D168" s="61" t="inlineStr">
        <is>
          <t>LARISSA PADILHA</t>
        </is>
      </c>
      <c r="E168" s="30" t="inlineStr">
        <is>
          <t>.</t>
        </is>
      </c>
      <c r="F168" s="63" t="n"/>
      <c r="G168" s="179" t="n"/>
      <c r="H168" s="57" t="n"/>
      <c r="I168" s="57" t="n"/>
      <c r="J168" s="61" t="n"/>
      <c r="K168" s="30" t="inlineStr">
        <is>
          <t>.</t>
        </is>
      </c>
      <c r="L168" s="180" t="n">
        <v>7152.34</v>
      </c>
      <c r="M168" s="181" t="n">
        <v>502.62</v>
      </c>
      <c r="N168" s="181" t="n">
        <v>525.22</v>
      </c>
      <c r="O168" s="181" t="n">
        <v>537.87</v>
      </c>
      <c r="P168" s="181" t="n">
        <v>551.88</v>
      </c>
      <c r="Q168" s="181" t="n">
        <v>569.96</v>
      </c>
      <c r="R168" s="181" t="n">
        <v>584.88</v>
      </c>
      <c r="S168" s="181" t="n">
        <v>607.48</v>
      </c>
      <c r="T168" s="181" t="n">
        <v>622.39</v>
      </c>
      <c r="U168" s="181" t="n">
        <v>636.41</v>
      </c>
      <c r="V168" s="181" t="n">
        <v>652.23</v>
      </c>
      <c r="W168" s="181" t="n">
        <v>669.4</v>
      </c>
      <c r="X168" s="182" t="n">
        <v>692</v>
      </c>
      <c r="Y168" s="183" t="inlineStr">
        <is>
          <t>.</t>
        </is>
      </c>
      <c r="Z168" s="184">
        <f>SUM(AA168:AL168)</f>
        <v/>
      </c>
      <c r="AA168" s="185" t="n">
        <v>0</v>
      </c>
      <c r="AB168" s="185" t="n">
        <v>0</v>
      </c>
      <c r="AC168" s="185" t="n">
        <v>0</v>
      </c>
      <c r="AD168" s="185" t="n">
        <v>0</v>
      </c>
      <c r="AE168" s="185" t="n">
        <v>0</v>
      </c>
      <c r="AF168" s="185" t="n">
        <v>0</v>
      </c>
      <c r="AG168" s="185" t="n">
        <v>822.3</v>
      </c>
      <c r="AH168" s="185" t="n">
        <v>943.01</v>
      </c>
      <c r="AI168" s="185" t="n">
        <v>0</v>
      </c>
      <c r="AJ168" s="185" t="n">
        <v>0</v>
      </c>
      <c r="AK168" s="185" t="n">
        <v>0</v>
      </c>
      <c r="AL168" s="186" t="n">
        <v>1546.59</v>
      </c>
      <c r="AM168" s="30" t="inlineStr">
        <is>
          <t>.</t>
        </is>
      </c>
      <c r="AN168" s="187">
        <f>IF(L168=0,0,Z168/L168)</f>
        <v/>
      </c>
      <c r="AO168" s="57">
        <f>IF(AN168&gt;=1,"🟢",IF(AN168&gt;=0.7,"🟡",IF(AN168&gt;=0.4,"🟠","🔴")))</f>
        <v/>
      </c>
      <c r="AP168" s="185">
        <f>L168-Z168</f>
        <v/>
      </c>
      <c r="AQ168" s="55">
        <f>RANK(Z168,$Z$4:$Z$503,0)</f>
        <v/>
      </c>
      <c r="AR168" s="39" t="inlineStr">
        <is>
          <t>.</t>
        </is>
      </c>
      <c r="AS168" s="27" t="n"/>
      <c r="AT168" s="27" t="n"/>
      <c r="AU168" s="27" t="n"/>
      <c r="AV168" s="27" t="n"/>
      <c r="AW168" s="27" t="n"/>
      <c r="AX168" s="27" t="n"/>
      <c r="AY168" s="204" t="n"/>
      <c r="AZ168" s="204" t="n"/>
      <c r="BA168" s="38" t="inlineStr">
        <is>
          <t>.</t>
        </is>
      </c>
      <c r="BB168" s="190">
        <f>SUM(BC168:BN168)</f>
        <v/>
      </c>
      <c r="BC168" s="191">
        <f>L168*0.0702730030</f>
        <v/>
      </c>
      <c r="BD168" s="191">
        <f>L168*0.0734327604</f>
        <v/>
      </c>
      <c r="BE168" s="191">
        <f>L168*0.0752022245</f>
        <v/>
      </c>
      <c r="BF168" s="191">
        <f>L168*0.0771612740</f>
        <v/>
      </c>
      <c r="BG168" s="191">
        <f>L168*0.0796890799</f>
        <v/>
      </c>
      <c r="BH168" s="191">
        <f>L168*0.0817745197</f>
        <v/>
      </c>
      <c r="BI168" s="191">
        <f>L168*0.0849342770</f>
        <v/>
      </c>
      <c r="BJ168" s="191">
        <f>L168*0.0870197169</f>
        <v/>
      </c>
      <c r="BK168" s="191">
        <f>L168*0.0889787664</f>
        <v/>
      </c>
      <c r="BL168" s="191">
        <f>L168*0.0911905966</f>
        <v/>
      </c>
      <c r="BM168" s="191">
        <f>L168*0.0935920121</f>
        <v/>
      </c>
      <c r="BN168" s="192">
        <f>L168*0.0967517695</f>
        <v/>
      </c>
      <c r="BO168" s="36" t="inlineStr">
        <is>
          <t>.</t>
        </is>
      </c>
      <c r="BP168" s="193">
        <f>SUM(BQ168:CB168)</f>
        <v/>
      </c>
      <c r="BQ168" s="191">
        <f>MAX(0,BC168-AA168)</f>
        <v/>
      </c>
      <c r="BR168" s="191">
        <f>MAX(0,BD168-AB168)</f>
        <v/>
      </c>
      <c r="BS168" s="191">
        <f>MAX(0,BE168-AC168)</f>
        <v/>
      </c>
      <c r="BT168" s="191">
        <f>MAX(0,BF168-AD168)</f>
        <v/>
      </c>
      <c r="BU168" s="191">
        <f>MAX(0,BG168-AE168)</f>
        <v/>
      </c>
      <c r="BV168" s="191">
        <f>MAX(0,BH168-AF168)</f>
        <v/>
      </c>
      <c r="BW168" s="191">
        <f>MAX(0,BI168-AG168)</f>
        <v/>
      </c>
      <c r="BX168" s="191">
        <f>MAX(0,BJ168-AH168)</f>
        <v/>
      </c>
      <c r="BY168" s="191">
        <f>MAX(0,BK168-AI168)</f>
        <v/>
      </c>
      <c r="BZ168" s="191">
        <f>MAX(0,BL168-AJ168)</f>
        <v/>
      </c>
      <c r="CA168" s="191">
        <f>MAX(0,BM168-AK168)</f>
        <v/>
      </c>
      <c r="CB168" s="192">
        <f>MAX(0,BN168-AL168)</f>
        <v/>
      </c>
    </row>
    <row r="169">
      <c r="A169" s="64" t="inlineStr">
        <is>
          <t>54904619000150</t>
        </is>
      </c>
      <c r="B169" s="57" t="inlineStr">
        <is>
          <t>LM NUTRICAO BOMBINHAS LTDA - ME</t>
        </is>
      </c>
      <c r="C169" s="57" t="inlineStr">
        <is>
          <t>FITLAND</t>
        </is>
      </c>
      <c r="D169" s="61" t="inlineStr">
        <is>
          <t>JULIO GADRET</t>
        </is>
      </c>
      <c r="E169" s="30" t="inlineStr">
        <is>
          <t>.</t>
        </is>
      </c>
      <c r="F169" s="63" t="n">
        <v>89</v>
      </c>
      <c r="G169" s="179" t="n">
        <v>0.298</v>
      </c>
      <c r="H169" s="57" t="inlineStr">
        <is>
          <t>🔴 VERMELHO</t>
        </is>
      </c>
      <c r="I169" s="57" t="inlineStr">
        <is>
          <t>POSITIVAÇÃO</t>
        </is>
      </c>
      <c r="J169" s="61" t="inlineStr">
        <is>
          <t>Aumentar frequência + Expandir base</t>
        </is>
      </c>
      <c r="K169" s="30" t="inlineStr">
        <is>
          <t>.</t>
        </is>
      </c>
      <c r="L169" s="180" t="n">
        <v>7076.89</v>
      </c>
      <c r="M169" s="181" t="n">
        <v>497.31</v>
      </c>
      <c r="N169" s="181" t="n">
        <v>519.6799999999999</v>
      </c>
      <c r="O169" s="181" t="n">
        <v>532.2</v>
      </c>
      <c r="P169" s="181" t="n">
        <v>546.0599999999999</v>
      </c>
      <c r="Q169" s="181" t="n">
        <v>563.95</v>
      </c>
      <c r="R169" s="181" t="n">
        <v>578.71</v>
      </c>
      <c r="S169" s="181" t="n">
        <v>601.0700000000001</v>
      </c>
      <c r="T169" s="181" t="n">
        <v>615.83</v>
      </c>
      <c r="U169" s="181" t="n">
        <v>629.6900000000001</v>
      </c>
      <c r="V169" s="181" t="n">
        <v>645.35</v>
      </c>
      <c r="W169" s="181" t="n">
        <v>662.34</v>
      </c>
      <c r="X169" s="182" t="n">
        <v>684.7</v>
      </c>
      <c r="Y169" s="183" t="inlineStr">
        <is>
          <t>.</t>
        </is>
      </c>
      <c r="Z169" s="184">
        <f>SUM(AA169:AL169)</f>
        <v/>
      </c>
      <c r="AA169" s="185" t="n">
        <v>1068.38</v>
      </c>
      <c r="AB169" s="185" t="n">
        <v>0</v>
      </c>
      <c r="AC169" s="185" t="n">
        <v>0</v>
      </c>
      <c r="AD169" s="185" t="n">
        <v>507.06</v>
      </c>
      <c r="AE169" s="185" t="n">
        <v>0</v>
      </c>
      <c r="AF169" s="185" t="n">
        <v>875.83</v>
      </c>
      <c r="AG169" s="185" t="n">
        <v>0</v>
      </c>
      <c r="AH169" s="185" t="n">
        <v>855</v>
      </c>
      <c r="AI169" s="185" t="n">
        <v>0</v>
      </c>
      <c r="AJ169" s="185" t="n">
        <v>0</v>
      </c>
      <c r="AK169" s="185" t="n">
        <v>0</v>
      </c>
      <c r="AL169" s="186" t="n">
        <v>0</v>
      </c>
      <c r="AM169" s="30" t="inlineStr">
        <is>
          <t>.</t>
        </is>
      </c>
      <c r="AN169" s="187">
        <f>IF(L169=0,0,Z169/L169)</f>
        <v/>
      </c>
      <c r="AO169" s="57">
        <f>IF(AN169&gt;=1,"🟢",IF(AN169&gt;=0.7,"🟡",IF(AN169&gt;=0.4,"🟠","🔴")))</f>
        <v/>
      </c>
      <c r="AP169" s="185">
        <f>L169-Z169</f>
        <v/>
      </c>
      <c r="AQ169" s="55">
        <f>RANK(Z169,$Z$4:$Z$503,0)</f>
        <v/>
      </c>
      <c r="AR169" s="39" t="inlineStr">
        <is>
          <t>.</t>
        </is>
      </c>
      <c r="AS169" s="27" t="n"/>
      <c r="AT169" s="27" t="n"/>
      <c r="AU169" s="27" t="n"/>
      <c r="AV169" s="27" t="n"/>
      <c r="AW169" s="27" t="n"/>
      <c r="AX169" s="27" t="n"/>
      <c r="AY169" s="204" t="n"/>
      <c r="AZ169" s="204" t="n"/>
      <c r="BA169" s="38" t="inlineStr">
        <is>
          <t>.</t>
        </is>
      </c>
      <c r="BB169" s="190">
        <f>SUM(BC169:BN169)</f>
        <v/>
      </c>
      <c r="BC169" s="191">
        <f>L169*0.0702730030</f>
        <v/>
      </c>
      <c r="BD169" s="191">
        <f>L169*0.0734327604</f>
        <v/>
      </c>
      <c r="BE169" s="191">
        <f>L169*0.0752022245</f>
        <v/>
      </c>
      <c r="BF169" s="191">
        <f>L169*0.0771612740</f>
        <v/>
      </c>
      <c r="BG169" s="191">
        <f>L169*0.0796890799</f>
        <v/>
      </c>
      <c r="BH169" s="191">
        <f>L169*0.0817745197</f>
        <v/>
      </c>
      <c r="BI169" s="191">
        <f>L169*0.0849342770</f>
        <v/>
      </c>
      <c r="BJ169" s="191">
        <f>L169*0.0870197169</f>
        <v/>
      </c>
      <c r="BK169" s="191">
        <f>L169*0.0889787664</f>
        <v/>
      </c>
      <c r="BL169" s="191">
        <f>L169*0.0911905966</f>
        <v/>
      </c>
      <c r="BM169" s="191">
        <f>L169*0.0935920121</f>
        <v/>
      </c>
      <c r="BN169" s="192">
        <f>L169*0.0967517695</f>
        <v/>
      </c>
      <c r="BO169" s="36" t="inlineStr">
        <is>
          <t>.</t>
        </is>
      </c>
      <c r="BP169" s="193">
        <f>SUM(BQ169:CB169)</f>
        <v/>
      </c>
      <c r="BQ169" s="191">
        <f>MAX(0,BC169-AA169)</f>
        <v/>
      </c>
      <c r="BR169" s="191">
        <f>MAX(0,BD169-AB169)</f>
        <v/>
      </c>
      <c r="BS169" s="191">
        <f>MAX(0,BE169-AC169)</f>
        <v/>
      </c>
      <c r="BT169" s="191">
        <f>MAX(0,BF169-AD169)</f>
        <v/>
      </c>
      <c r="BU169" s="191">
        <f>MAX(0,BG169-AE169)</f>
        <v/>
      </c>
      <c r="BV169" s="191">
        <f>MAX(0,BH169-AF169)</f>
        <v/>
      </c>
      <c r="BW169" s="191">
        <f>MAX(0,BI169-AG169)</f>
        <v/>
      </c>
      <c r="BX169" s="191">
        <f>MAX(0,BJ169-AH169)</f>
        <v/>
      </c>
      <c r="BY169" s="191">
        <f>MAX(0,BK169-AI169)</f>
        <v/>
      </c>
      <c r="BZ169" s="191">
        <f>MAX(0,BL169-AJ169)</f>
        <v/>
      </c>
      <c r="CA169" s="191">
        <f>MAX(0,BM169-AK169)</f>
        <v/>
      </c>
      <c r="CB169" s="192">
        <f>MAX(0,BN169-AL169)</f>
        <v/>
      </c>
    </row>
    <row r="170">
      <c r="A170" s="64" t="inlineStr">
        <is>
          <t>32293063000170</t>
        </is>
      </c>
      <c r="B170" s="57" t="inlineStr">
        <is>
          <t>REI DO NORTE PRODUTOS ALIMENTICIOS LTDA</t>
        </is>
      </c>
      <c r="C170" s="57" t="inlineStr">
        <is>
          <t>SEM GRUPO</t>
        </is>
      </c>
      <c r="D170" s="61" t="inlineStr">
        <is>
          <t>LARISSA PADILHA</t>
        </is>
      </c>
      <c r="E170" s="30" t="inlineStr">
        <is>
          <t>.</t>
        </is>
      </c>
      <c r="F170" s="63" t="n"/>
      <c r="G170" s="179" t="n"/>
      <c r="H170" s="57" t="n"/>
      <c r="I170" s="57" t="n"/>
      <c r="J170" s="61" t="n"/>
      <c r="K170" s="30" t="inlineStr">
        <is>
          <t>.</t>
        </is>
      </c>
      <c r="L170" s="180" t="n">
        <v>7065.07</v>
      </c>
      <c r="M170" s="181" t="n">
        <v>496.48</v>
      </c>
      <c r="N170" s="181" t="n">
        <v>518.8099999999999</v>
      </c>
      <c r="O170" s="181" t="n">
        <v>531.3099999999999</v>
      </c>
      <c r="P170" s="181" t="n">
        <v>545.15</v>
      </c>
      <c r="Q170" s="181" t="n">
        <v>563.01</v>
      </c>
      <c r="R170" s="181" t="n">
        <v>577.74</v>
      </c>
      <c r="S170" s="181" t="n">
        <v>600.0700000000001</v>
      </c>
      <c r="T170" s="181" t="n">
        <v>614.8</v>
      </c>
      <c r="U170" s="181" t="n">
        <v>628.64</v>
      </c>
      <c r="V170" s="181" t="n">
        <v>644.27</v>
      </c>
      <c r="W170" s="181" t="n">
        <v>661.23</v>
      </c>
      <c r="X170" s="182" t="n">
        <v>683.5599999999999</v>
      </c>
      <c r="Y170" s="183" t="inlineStr">
        <is>
          <t>.</t>
        </is>
      </c>
      <c r="Z170" s="184">
        <f>SUM(AA170:AL170)</f>
        <v/>
      </c>
      <c r="AA170" s="185" t="n">
        <v>0</v>
      </c>
      <c r="AB170" s="185" t="n">
        <v>0</v>
      </c>
      <c r="AC170" s="185" t="n">
        <v>0</v>
      </c>
      <c r="AD170" s="185" t="n">
        <v>980.11</v>
      </c>
      <c r="AE170" s="185" t="n">
        <v>0</v>
      </c>
      <c r="AF170" s="185" t="n">
        <v>0</v>
      </c>
      <c r="AG170" s="185" t="n">
        <v>2181.47</v>
      </c>
      <c r="AH170" s="185" t="n">
        <v>0</v>
      </c>
      <c r="AI170" s="185" t="n">
        <v>0</v>
      </c>
      <c r="AJ170" s="185" t="n">
        <v>0</v>
      </c>
      <c r="AK170" s="185" t="n">
        <v>0</v>
      </c>
      <c r="AL170" s="186" t="n">
        <v>0</v>
      </c>
      <c r="AM170" s="30" t="inlineStr">
        <is>
          <t>.</t>
        </is>
      </c>
      <c r="AN170" s="187">
        <f>IF(L170=0,0,Z170/L170)</f>
        <v/>
      </c>
      <c r="AO170" s="57">
        <f>IF(AN170&gt;=1,"🟢",IF(AN170&gt;=0.7,"🟡",IF(AN170&gt;=0.4,"🟠","🔴")))</f>
        <v/>
      </c>
      <c r="AP170" s="185">
        <f>L170-Z170</f>
        <v/>
      </c>
      <c r="AQ170" s="55">
        <f>RANK(Z170,$Z$4:$Z$503,0)</f>
        <v/>
      </c>
      <c r="AR170" s="39" t="inlineStr">
        <is>
          <t>.</t>
        </is>
      </c>
      <c r="AS170" s="27" t="n"/>
      <c r="AT170" s="27" t="n"/>
      <c r="AU170" s="27" t="n"/>
      <c r="AV170" s="27" t="n"/>
      <c r="AW170" s="27" t="n"/>
      <c r="AX170" s="27" t="n"/>
      <c r="AY170" s="204" t="n"/>
      <c r="AZ170" s="204" t="n"/>
      <c r="BA170" s="38" t="inlineStr">
        <is>
          <t>.</t>
        </is>
      </c>
      <c r="BB170" s="190">
        <f>SUM(BC170:BN170)</f>
        <v/>
      </c>
      <c r="BC170" s="191">
        <f>L170*0.0702730030</f>
        <v/>
      </c>
      <c r="BD170" s="191">
        <f>L170*0.0734327604</f>
        <v/>
      </c>
      <c r="BE170" s="191">
        <f>L170*0.0752022245</f>
        <v/>
      </c>
      <c r="BF170" s="191">
        <f>L170*0.0771612740</f>
        <v/>
      </c>
      <c r="BG170" s="191">
        <f>L170*0.0796890799</f>
        <v/>
      </c>
      <c r="BH170" s="191">
        <f>L170*0.0817745197</f>
        <v/>
      </c>
      <c r="BI170" s="191">
        <f>L170*0.0849342770</f>
        <v/>
      </c>
      <c r="BJ170" s="191">
        <f>L170*0.0870197169</f>
        <v/>
      </c>
      <c r="BK170" s="191">
        <f>L170*0.0889787664</f>
        <v/>
      </c>
      <c r="BL170" s="191">
        <f>L170*0.0911905966</f>
        <v/>
      </c>
      <c r="BM170" s="191">
        <f>L170*0.0935920121</f>
        <v/>
      </c>
      <c r="BN170" s="192">
        <f>L170*0.0967517695</f>
        <v/>
      </c>
      <c r="BO170" s="36" t="inlineStr">
        <is>
          <t>.</t>
        </is>
      </c>
      <c r="BP170" s="193">
        <f>SUM(BQ170:CB170)</f>
        <v/>
      </c>
      <c r="BQ170" s="191">
        <f>MAX(0,BC170-AA170)</f>
        <v/>
      </c>
      <c r="BR170" s="191">
        <f>MAX(0,BD170-AB170)</f>
        <v/>
      </c>
      <c r="BS170" s="191">
        <f>MAX(0,BE170-AC170)</f>
        <v/>
      </c>
      <c r="BT170" s="191">
        <f>MAX(0,BF170-AD170)</f>
        <v/>
      </c>
      <c r="BU170" s="191">
        <f>MAX(0,BG170-AE170)</f>
        <v/>
      </c>
      <c r="BV170" s="191">
        <f>MAX(0,BH170-AF170)</f>
        <v/>
      </c>
      <c r="BW170" s="191">
        <f>MAX(0,BI170-AG170)</f>
        <v/>
      </c>
      <c r="BX170" s="191">
        <f>MAX(0,BJ170-AH170)</f>
        <v/>
      </c>
      <c r="BY170" s="191">
        <f>MAX(0,BK170-AI170)</f>
        <v/>
      </c>
      <c r="BZ170" s="191">
        <f>MAX(0,BL170-AJ170)</f>
        <v/>
      </c>
      <c r="CA170" s="191">
        <f>MAX(0,BM170-AK170)</f>
        <v/>
      </c>
      <c r="CB170" s="192">
        <f>MAX(0,BN170-AL170)</f>
        <v/>
      </c>
    </row>
    <row r="171">
      <c r="A171" s="64" t="inlineStr">
        <is>
          <t>22787082000107</t>
        </is>
      </c>
      <c r="B171" s="57" t="inlineStr">
        <is>
          <t>HFBR ALIMENTOS LTDA - ME</t>
        </is>
      </c>
      <c r="C171" s="57" t="inlineStr">
        <is>
          <t>SEM GRUPO</t>
        </is>
      </c>
      <c r="D171" s="61" t="inlineStr">
        <is>
          <t>LARISSA PADILHA</t>
        </is>
      </c>
      <c r="E171" s="30" t="inlineStr">
        <is>
          <t>.</t>
        </is>
      </c>
      <c r="F171" s="63" t="n"/>
      <c r="G171" s="179" t="n"/>
      <c r="H171" s="57" t="n"/>
      <c r="I171" s="57" t="n"/>
      <c r="J171" s="61" t="n"/>
      <c r="K171" s="30" t="inlineStr">
        <is>
          <t>.</t>
        </is>
      </c>
      <c r="L171" s="180" t="n">
        <v>7064.640000000001</v>
      </c>
      <c r="M171" s="181" t="n">
        <v>496.45</v>
      </c>
      <c r="N171" s="181" t="n">
        <v>518.78</v>
      </c>
      <c r="O171" s="181" t="n">
        <v>531.28</v>
      </c>
      <c r="P171" s="181" t="n">
        <v>545.12</v>
      </c>
      <c r="Q171" s="181" t="n">
        <v>562.97</v>
      </c>
      <c r="R171" s="181" t="n">
        <v>577.71</v>
      </c>
      <c r="S171" s="181" t="n">
        <v>600.03</v>
      </c>
      <c r="T171" s="181" t="n">
        <v>614.76</v>
      </c>
      <c r="U171" s="181" t="n">
        <v>628.6</v>
      </c>
      <c r="V171" s="181" t="n">
        <v>644.23</v>
      </c>
      <c r="W171" s="181" t="n">
        <v>661.1900000000001</v>
      </c>
      <c r="X171" s="182" t="n">
        <v>683.52</v>
      </c>
      <c r="Y171" s="183" t="inlineStr">
        <is>
          <t>.</t>
        </is>
      </c>
      <c r="Z171" s="184">
        <f>SUM(AA171:AL171)</f>
        <v/>
      </c>
      <c r="AA171" s="185" t="n">
        <v>0</v>
      </c>
      <c r="AB171" s="185" t="n">
        <v>0</v>
      </c>
      <c r="AC171" s="185" t="n">
        <v>0</v>
      </c>
      <c r="AD171" s="185" t="n">
        <v>0</v>
      </c>
      <c r="AE171" s="185" t="n">
        <v>0</v>
      </c>
      <c r="AF171" s="185" t="n">
        <v>0</v>
      </c>
      <c r="AG171" s="185" t="n">
        <v>2473.95</v>
      </c>
      <c r="AH171" s="185" t="n">
        <v>0</v>
      </c>
      <c r="AI171" s="185" t="n">
        <v>0</v>
      </c>
      <c r="AJ171" s="185" t="n">
        <v>0</v>
      </c>
      <c r="AK171" s="185" t="n">
        <v>0</v>
      </c>
      <c r="AL171" s="186" t="n">
        <v>1122.93</v>
      </c>
      <c r="AM171" s="30" t="inlineStr">
        <is>
          <t>.</t>
        </is>
      </c>
      <c r="AN171" s="187">
        <f>IF(L171=0,0,Z171/L171)</f>
        <v/>
      </c>
      <c r="AO171" s="57">
        <f>IF(AN171&gt;=1,"🟢",IF(AN171&gt;=0.7,"🟡",IF(AN171&gt;=0.4,"🟠","🔴")))</f>
        <v/>
      </c>
      <c r="AP171" s="185">
        <f>L171-Z171</f>
        <v/>
      </c>
      <c r="AQ171" s="55">
        <f>RANK(Z171,$Z$4:$Z$503,0)</f>
        <v/>
      </c>
      <c r="AR171" s="39" t="inlineStr">
        <is>
          <t>.</t>
        </is>
      </c>
      <c r="AS171" s="27" t="n"/>
      <c r="AT171" s="27" t="n"/>
      <c r="AU171" s="27" t="n"/>
      <c r="AV171" s="27" t="n"/>
      <c r="AW171" s="27" t="n"/>
      <c r="AX171" s="27" t="n"/>
      <c r="AY171" s="204" t="n"/>
      <c r="AZ171" s="204" t="n"/>
      <c r="BA171" s="38" t="inlineStr">
        <is>
          <t>.</t>
        </is>
      </c>
      <c r="BB171" s="190">
        <f>SUM(BC171:BN171)</f>
        <v/>
      </c>
      <c r="BC171" s="191">
        <f>L171*0.0702730030</f>
        <v/>
      </c>
      <c r="BD171" s="191">
        <f>L171*0.0734327604</f>
        <v/>
      </c>
      <c r="BE171" s="191">
        <f>L171*0.0752022245</f>
        <v/>
      </c>
      <c r="BF171" s="191">
        <f>L171*0.0771612740</f>
        <v/>
      </c>
      <c r="BG171" s="191">
        <f>L171*0.0796890799</f>
        <v/>
      </c>
      <c r="BH171" s="191">
        <f>L171*0.0817745197</f>
        <v/>
      </c>
      <c r="BI171" s="191">
        <f>L171*0.0849342770</f>
        <v/>
      </c>
      <c r="BJ171" s="191">
        <f>L171*0.0870197169</f>
        <v/>
      </c>
      <c r="BK171" s="191">
        <f>L171*0.0889787664</f>
        <v/>
      </c>
      <c r="BL171" s="191">
        <f>L171*0.0911905966</f>
        <v/>
      </c>
      <c r="BM171" s="191">
        <f>L171*0.0935920121</f>
        <v/>
      </c>
      <c r="BN171" s="192">
        <f>L171*0.0967517695</f>
        <v/>
      </c>
      <c r="BO171" s="36" t="inlineStr">
        <is>
          <t>.</t>
        </is>
      </c>
      <c r="BP171" s="193">
        <f>SUM(BQ171:CB171)</f>
        <v/>
      </c>
      <c r="BQ171" s="191">
        <f>MAX(0,BC171-AA171)</f>
        <v/>
      </c>
      <c r="BR171" s="191">
        <f>MAX(0,BD171-AB171)</f>
        <v/>
      </c>
      <c r="BS171" s="191">
        <f>MAX(0,BE171-AC171)</f>
        <v/>
      </c>
      <c r="BT171" s="191">
        <f>MAX(0,BF171-AD171)</f>
        <v/>
      </c>
      <c r="BU171" s="191">
        <f>MAX(0,BG171-AE171)</f>
        <v/>
      </c>
      <c r="BV171" s="191">
        <f>MAX(0,BH171-AF171)</f>
        <v/>
      </c>
      <c r="BW171" s="191">
        <f>MAX(0,BI171-AG171)</f>
        <v/>
      </c>
      <c r="BX171" s="191">
        <f>MAX(0,BJ171-AH171)</f>
        <v/>
      </c>
      <c r="BY171" s="191">
        <f>MAX(0,BK171-AI171)</f>
        <v/>
      </c>
      <c r="BZ171" s="191">
        <f>MAX(0,BL171-AJ171)</f>
        <v/>
      </c>
      <c r="CA171" s="191">
        <f>MAX(0,BM171-AK171)</f>
        <v/>
      </c>
      <c r="CB171" s="192">
        <f>MAX(0,BN171-AL171)</f>
        <v/>
      </c>
    </row>
    <row r="172">
      <c r="A172" s="64" t="inlineStr">
        <is>
          <t>10908265001037</t>
        </is>
      </c>
      <c r="B172" s="57" t="inlineStr">
        <is>
          <t>JARDIM DAS ERVAS COMERCIO DE ALIMENTOS L</t>
        </is>
      </c>
      <c r="C172" s="57" t="inlineStr">
        <is>
          <t>SEM GRUPO</t>
        </is>
      </c>
      <c r="D172" s="61" t="inlineStr">
        <is>
          <t>HEMANUELE DITZEL (MANU)</t>
        </is>
      </c>
      <c r="E172" s="30" t="inlineStr">
        <is>
          <t>.</t>
        </is>
      </c>
      <c r="F172" s="63" t="n"/>
      <c r="G172" s="179" t="n"/>
      <c r="H172" s="57" t="n"/>
      <c r="I172" s="57" t="n"/>
      <c r="J172" s="61" t="n"/>
      <c r="K172" s="30" t="inlineStr">
        <is>
          <t>.</t>
        </is>
      </c>
      <c r="L172" s="180" t="n">
        <v>7036.900000000001</v>
      </c>
      <c r="M172" s="181" t="n">
        <v>494.5</v>
      </c>
      <c r="N172" s="181" t="n">
        <v>516.74</v>
      </c>
      <c r="O172" s="181" t="n">
        <v>529.1900000000001</v>
      </c>
      <c r="P172" s="181" t="n">
        <v>542.98</v>
      </c>
      <c r="Q172" s="181" t="n">
        <v>560.76</v>
      </c>
      <c r="R172" s="181" t="n">
        <v>575.4400000000001</v>
      </c>
      <c r="S172" s="181" t="n">
        <v>597.67</v>
      </c>
      <c r="T172" s="181" t="n">
        <v>612.35</v>
      </c>
      <c r="U172" s="181" t="n">
        <v>626.14</v>
      </c>
      <c r="V172" s="181" t="n">
        <v>641.7</v>
      </c>
      <c r="W172" s="181" t="n">
        <v>658.6</v>
      </c>
      <c r="X172" s="182" t="n">
        <v>680.83</v>
      </c>
      <c r="Y172" s="183" t="inlineStr">
        <is>
          <t>.</t>
        </is>
      </c>
      <c r="Z172" s="184">
        <f>SUM(AA172:AL172)</f>
        <v/>
      </c>
      <c r="AA172" s="185" t="n">
        <v>0</v>
      </c>
      <c r="AB172" s="185" t="n">
        <v>0</v>
      </c>
      <c r="AC172" s="185" t="n">
        <v>0</v>
      </c>
      <c r="AD172" s="185" t="n">
        <v>0</v>
      </c>
      <c r="AE172" s="185" t="n">
        <v>0</v>
      </c>
      <c r="AF172" s="185" t="n">
        <v>0</v>
      </c>
      <c r="AG172" s="185" t="n">
        <v>0</v>
      </c>
      <c r="AH172" s="185" t="n">
        <v>2965.15</v>
      </c>
      <c r="AI172" s="185" t="n">
        <v>0</v>
      </c>
      <c r="AJ172" s="185" t="n">
        <v>0</v>
      </c>
      <c r="AK172" s="185" t="n">
        <v>0</v>
      </c>
      <c r="AL172" s="186" t="n">
        <v>0</v>
      </c>
      <c r="AM172" s="30" t="inlineStr">
        <is>
          <t>.</t>
        </is>
      </c>
      <c r="AN172" s="187">
        <f>IF(L172=0,0,Z172/L172)</f>
        <v/>
      </c>
      <c r="AO172" s="57">
        <f>IF(AN172&gt;=1,"🟢",IF(AN172&gt;=0.7,"🟡",IF(AN172&gt;=0.4,"🟠","🔴")))</f>
        <v/>
      </c>
      <c r="AP172" s="185">
        <f>L172-Z172</f>
        <v/>
      </c>
      <c r="AQ172" s="55">
        <f>RANK(Z172,$Z$4:$Z$503,0)</f>
        <v/>
      </c>
      <c r="AR172" s="39" t="inlineStr">
        <is>
          <t>.</t>
        </is>
      </c>
      <c r="AS172" s="27" t="n"/>
      <c r="AT172" s="27" t="n"/>
      <c r="AU172" s="27" t="n"/>
      <c r="AV172" s="27" t="n"/>
      <c r="AW172" s="27" t="n"/>
      <c r="AX172" s="27" t="n"/>
      <c r="AY172" s="204" t="n"/>
      <c r="AZ172" s="204" t="n"/>
      <c r="BA172" s="38" t="inlineStr">
        <is>
          <t>.</t>
        </is>
      </c>
      <c r="BB172" s="190">
        <f>SUM(BC172:BN172)</f>
        <v/>
      </c>
      <c r="BC172" s="191">
        <f>L172*0.0702730030</f>
        <v/>
      </c>
      <c r="BD172" s="191">
        <f>L172*0.0734327604</f>
        <v/>
      </c>
      <c r="BE172" s="191">
        <f>L172*0.0752022245</f>
        <v/>
      </c>
      <c r="BF172" s="191">
        <f>L172*0.0771612740</f>
        <v/>
      </c>
      <c r="BG172" s="191">
        <f>L172*0.0796890799</f>
        <v/>
      </c>
      <c r="BH172" s="191">
        <f>L172*0.0817745197</f>
        <v/>
      </c>
      <c r="BI172" s="191">
        <f>L172*0.0849342770</f>
        <v/>
      </c>
      <c r="BJ172" s="191">
        <f>L172*0.0870197169</f>
        <v/>
      </c>
      <c r="BK172" s="191">
        <f>L172*0.0889787664</f>
        <v/>
      </c>
      <c r="BL172" s="191">
        <f>L172*0.0911905966</f>
        <v/>
      </c>
      <c r="BM172" s="191">
        <f>L172*0.0935920121</f>
        <v/>
      </c>
      <c r="BN172" s="192">
        <f>L172*0.0967517695</f>
        <v/>
      </c>
      <c r="BO172" s="36" t="inlineStr">
        <is>
          <t>.</t>
        </is>
      </c>
      <c r="BP172" s="193">
        <f>SUM(BQ172:CB172)</f>
        <v/>
      </c>
      <c r="BQ172" s="191">
        <f>MAX(0,BC172-AA172)</f>
        <v/>
      </c>
      <c r="BR172" s="191">
        <f>MAX(0,BD172-AB172)</f>
        <v/>
      </c>
      <c r="BS172" s="191">
        <f>MAX(0,BE172-AC172)</f>
        <v/>
      </c>
      <c r="BT172" s="191">
        <f>MAX(0,BF172-AD172)</f>
        <v/>
      </c>
      <c r="BU172" s="191">
        <f>MAX(0,BG172-AE172)</f>
        <v/>
      </c>
      <c r="BV172" s="191">
        <f>MAX(0,BH172-AF172)</f>
        <v/>
      </c>
      <c r="BW172" s="191">
        <f>MAX(0,BI172-AG172)</f>
        <v/>
      </c>
      <c r="BX172" s="191">
        <f>MAX(0,BJ172-AH172)</f>
        <v/>
      </c>
      <c r="BY172" s="191">
        <f>MAX(0,BK172-AI172)</f>
        <v/>
      </c>
      <c r="BZ172" s="191">
        <f>MAX(0,BL172-AJ172)</f>
        <v/>
      </c>
      <c r="CA172" s="191">
        <f>MAX(0,BM172-AK172)</f>
        <v/>
      </c>
      <c r="CB172" s="192">
        <f>MAX(0,BN172-AL172)</f>
        <v/>
      </c>
    </row>
    <row r="173">
      <c r="A173" s="64" t="inlineStr">
        <is>
          <t>60821190000130</t>
        </is>
      </c>
      <c r="B173" s="57" t="inlineStr">
        <is>
          <t>DANOSKI PRODUTOS NATURAIS LTDA -EPP</t>
        </is>
      </c>
      <c r="C173" s="57" t="inlineStr">
        <is>
          <t>VIDA LEVE</t>
        </is>
      </c>
      <c r="D173" s="61" t="inlineStr">
        <is>
          <t>DAIANE STAVICKI</t>
        </is>
      </c>
      <c r="E173" s="30" t="inlineStr">
        <is>
          <t>.</t>
        </is>
      </c>
      <c r="F173" s="63" t="n">
        <v>81</v>
      </c>
      <c r="G173" s="179" t="n">
        <v>0.08</v>
      </c>
      <c r="H173" s="57" t="inlineStr">
        <is>
          <t>🔴 VERMELHO</t>
        </is>
      </c>
      <c r="I173" s="57" t="inlineStr">
        <is>
          <t>ATIVAÇÃO</t>
        </is>
      </c>
      <c r="J173" s="61" t="inlineStr">
        <is>
          <t>Reativar inativos + Prospectar</t>
        </is>
      </c>
      <c r="K173" s="30" t="inlineStr">
        <is>
          <t>.</t>
        </is>
      </c>
      <c r="L173" s="180" t="n">
        <v>7007.69</v>
      </c>
      <c r="M173" s="181" t="n">
        <v>492.45</v>
      </c>
      <c r="N173" s="181" t="n">
        <v>514.59</v>
      </c>
      <c r="O173" s="181" t="n">
        <v>526.99</v>
      </c>
      <c r="P173" s="181" t="n">
        <v>540.72</v>
      </c>
      <c r="Q173" s="181" t="n">
        <v>558.4400000000001</v>
      </c>
      <c r="R173" s="181" t="n">
        <v>573.05</v>
      </c>
      <c r="S173" s="181" t="n">
        <v>595.1900000000001</v>
      </c>
      <c r="T173" s="181" t="n">
        <v>609.8099999999999</v>
      </c>
      <c r="U173" s="181" t="n">
        <v>623.54</v>
      </c>
      <c r="V173" s="181" t="n">
        <v>639.04</v>
      </c>
      <c r="W173" s="181" t="n">
        <v>655.86</v>
      </c>
      <c r="X173" s="182" t="n">
        <v>678.01</v>
      </c>
      <c r="Y173" s="183" t="inlineStr">
        <is>
          <t>.</t>
        </is>
      </c>
      <c r="Z173" s="184">
        <f>SUM(AA173:AL173)</f>
        <v/>
      </c>
      <c r="AA173" s="185" t="n">
        <v>0</v>
      </c>
      <c r="AB173" s="185" t="n">
        <v>0</v>
      </c>
      <c r="AC173" s="185" t="n">
        <v>0</v>
      </c>
      <c r="AD173" s="185" t="n">
        <v>0</v>
      </c>
      <c r="AE173" s="185" t="n">
        <v>0</v>
      </c>
      <c r="AF173" s="185" t="n">
        <v>0</v>
      </c>
      <c r="AG173" s="185" t="n">
        <v>0</v>
      </c>
      <c r="AH173" s="185" t="n">
        <v>0</v>
      </c>
      <c r="AI173" s="185" t="n">
        <v>3380.01</v>
      </c>
      <c r="AJ173" s="185" t="n">
        <v>0</v>
      </c>
      <c r="AK173" s="185" t="n">
        <v>0</v>
      </c>
      <c r="AL173" s="186" t="n">
        <v>0</v>
      </c>
      <c r="AM173" s="30" t="inlineStr">
        <is>
          <t>.</t>
        </is>
      </c>
      <c r="AN173" s="187">
        <f>IF(L173=0,0,Z173/L173)</f>
        <v/>
      </c>
      <c r="AO173" s="57">
        <f>IF(AN173&gt;=1,"🟢",IF(AN173&gt;=0.7,"🟡",IF(AN173&gt;=0.4,"🟠","🔴")))</f>
        <v/>
      </c>
      <c r="AP173" s="185">
        <f>L173-Z173</f>
        <v/>
      </c>
      <c r="AQ173" s="55">
        <f>RANK(Z173,$Z$4:$Z$503,0)</f>
        <v/>
      </c>
      <c r="AR173" s="39" t="inlineStr">
        <is>
          <t>.</t>
        </is>
      </c>
      <c r="AS173" s="27" t="n"/>
      <c r="AT173" s="27" t="n"/>
      <c r="AU173" s="27" t="n"/>
      <c r="AV173" s="27" t="n"/>
      <c r="AW173" s="27" t="n"/>
      <c r="AX173" s="27" t="n"/>
      <c r="AY173" s="204" t="n"/>
      <c r="AZ173" s="204" t="n"/>
      <c r="BA173" s="38" t="inlineStr">
        <is>
          <t>.</t>
        </is>
      </c>
      <c r="BB173" s="190">
        <f>SUM(BC173:BN173)</f>
        <v/>
      </c>
      <c r="BC173" s="191">
        <f>L173*0.0702730030</f>
        <v/>
      </c>
      <c r="BD173" s="191">
        <f>L173*0.0734327604</f>
        <v/>
      </c>
      <c r="BE173" s="191">
        <f>L173*0.0752022245</f>
        <v/>
      </c>
      <c r="BF173" s="191">
        <f>L173*0.0771612740</f>
        <v/>
      </c>
      <c r="BG173" s="191">
        <f>L173*0.0796890799</f>
        <v/>
      </c>
      <c r="BH173" s="191">
        <f>L173*0.0817745197</f>
        <v/>
      </c>
      <c r="BI173" s="191">
        <f>L173*0.0849342770</f>
        <v/>
      </c>
      <c r="BJ173" s="191">
        <f>L173*0.0870197169</f>
        <v/>
      </c>
      <c r="BK173" s="191">
        <f>L173*0.0889787664</f>
        <v/>
      </c>
      <c r="BL173" s="191">
        <f>L173*0.0911905966</f>
        <v/>
      </c>
      <c r="BM173" s="191">
        <f>L173*0.0935920121</f>
        <v/>
      </c>
      <c r="BN173" s="192">
        <f>L173*0.0967517695</f>
        <v/>
      </c>
      <c r="BO173" s="36" t="inlineStr">
        <is>
          <t>.</t>
        </is>
      </c>
      <c r="BP173" s="193">
        <f>SUM(BQ173:CB173)</f>
        <v/>
      </c>
      <c r="BQ173" s="191">
        <f>MAX(0,BC173-AA173)</f>
        <v/>
      </c>
      <c r="BR173" s="191">
        <f>MAX(0,BD173-AB173)</f>
        <v/>
      </c>
      <c r="BS173" s="191">
        <f>MAX(0,BE173-AC173)</f>
        <v/>
      </c>
      <c r="BT173" s="191">
        <f>MAX(0,BF173-AD173)</f>
        <v/>
      </c>
      <c r="BU173" s="191">
        <f>MAX(0,BG173-AE173)</f>
        <v/>
      </c>
      <c r="BV173" s="191">
        <f>MAX(0,BH173-AF173)</f>
        <v/>
      </c>
      <c r="BW173" s="191">
        <f>MAX(0,BI173-AG173)</f>
        <v/>
      </c>
      <c r="BX173" s="191">
        <f>MAX(0,BJ173-AH173)</f>
        <v/>
      </c>
      <c r="BY173" s="191">
        <f>MAX(0,BK173-AI173)</f>
        <v/>
      </c>
      <c r="BZ173" s="191">
        <f>MAX(0,BL173-AJ173)</f>
        <v/>
      </c>
      <c r="CA173" s="191">
        <f>MAX(0,BM173-AK173)</f>
        <v/>
      </c>
      <c r="CB173" s="192">
        <f>MAX(0,BN173-AL173)</f>
        <v/>
      </c>
    </row>
    <row r="174">
      <c r="A174" s="64" t="inlineStr">
        <is>
          <t>53266705000200</t>
        </is>
      </c>
      <c r="B174" s="57" t="inlineStr">
        <is>
          <t>DS NUTRICAO LTDA - ME</t>
        </is>
      </c>
      <c r="C174" s="57" t="inlineStr">
        <is>
          <t>FITLAND</t>
        </is>
      </c>
      <c r="D174" s="61" t="inlineStr">
        <is>
          <t>JULIO GADRET</t>
        </is>
      </c>
      <c r="E174" s="30" t="inlineStr">
        <is>
          <t>.</t>
        </is>
      </c>
      <c r="F174" s="63" t="n">
        <v>89</v>
      </c>
      <c r="G174" s="179" t="n">
        <v>0.298</v>
      </c>
      <c r="H174" s="57" t="inlineStr">
        <is>
          <t>🔴 VERMELHO</t>
        </is>
      </c>
      <c r="I174" s="57" t="inlineStr">
        <is>
          <t>POSITIVAÇÃO</t>
        </is>
      </c>
      <c r="J174" s="61" t="inlineStr">
        <is>
          <t>Aumentar frequência + Expandir base</t>
        </is>
      </c>
      <c r="K174" s="30" t="inlineStr">
        <is>
          <t>.</t>
        </is>
      </c>
      <c r="L174" s="180" t="n">
        <v>6982.150000000001</v>
      </c>
      <c r="M174" s="181" t="n">
        <v>490.66</v>
      </c>
      <c r="N174" s="181" t="n">
        <v>512.72</v>
      </c>
      <c r="O174" s="181" t="n">
        <v>525.0700000000001</v>
      </c>
      <c r="P174" s="181" t="n">
        <v>538.75</v>
      </c>
      <c r="Q174" s="181" t="n">
        <v>556.4</v>
      </c>
      <c r="R174" s="181" t="n">
        <v>570.96</v>
      </c>
      <c r="S174" s="181" t="n">
        <v>593.02</v>
      </c>
      <c r="T174" s="181" t="n">
        <v>607.59</v>
      </c>
      <c r="U174" s="181" t="n">
        <v>621.26</v>
      </c>
      <c r="V174" s="181" t="n">
        <v>636.71</v>
      </c>
      <c r="W174" s="181" t="n">
        <v>653.47</v>
      </c>
      <c r="X174" s="182" t="n">
        <v>675.54</v>
      </c>
      <c r="Y174" s="183" t="inlineStr">
        <is>
          <t>.</t>
        </is>
      </c>
      <c r="Z174" s="184">
        <f>SUM(AA174:AL174)</f>
        <v/>
      </c>
      <c r="AA174" s="185" t="n">
        <v>0</v>
      </c>
      <c r="AB174" s="185" t="n">
        <v>0</v>
      </c>
      <c r="AC174" s="185" t="n">
        <v>0</v>
      </c>
      <c r="AD174" s="185" t="n">
        <v>0</v>
      </c>
      <c r="AE174" s="185" t="n">
        <v>0</v>
      </c>
      <c r="AF174" s="185" t="n">
        <v>1194.73</v>
      </c>
      <c r="AG174" s="185" t="n">
        <v>2032.44</v>
      </c>
      <c r="AH174" s="185" t="n">
        <v>0</v>
      </c>
      <c r="AI174" s="185" t="n">
        <v>0</v>
      </c>
      <c r="AJ174" s="185" t="n">
        <v>0</v>
      </c>
      <c r="AK174" s="185" t="n">
        <v>0</v>
      </c>
      <c r="AL174" s="186" t="n">
        <v>0</v>
      </c>
      <c r="AM174" s="30" t="inlineStr">
        <is>
          <t>.</t>
        </is>
      </c>
      <c r="AN174" s="187">
        <f>IF(L174=0,0,Z174/L174)</f>
        <v/>
      </c>
      <c r="AO174" s="57">
        <f>IF(AN174&gt;=1,"🟢",IF(AN174&gt;=0.7,"🟡",IF(AN174&gt;=0.4,"🟠","🔴")))</f>
        <v/>
      </c>
      <c r="AP174" s="185">
        <f>L174-Z174</f>
        <v/>
      </c>
      <c r="AQ174" s="55">
        <f>RANK(Z174,$Z$4:$Z$503,0)</f>
        <v/>
      </c>
      <c r="AR174" s="39" t="inlineStr">
        <is>
          <t>.</t>
        </is>
      </c>
      <c r="AS174" s="27" t="n"/>
      <c r="AT174" s="27" t="n"/>
      <c r="AU174" s="27" t="n"/>
      <c r="AV174" s="27" t="n"/>
      <c r="AW174" s="27" t="n"/>
      <c r="AX174" s="27" t="n"/>
      <c r="AY174" s="204" t="n"/>
      <c r="AZ174" s="204" t="n"/>
      <c r="BA174" s="38" t="inlineStr">
        <is>
          <t>.</t>
        </is>
      </c>
      <c r="BB174" s="190">
        <f>SUM(BC174:BN174)</f>
        <v/>
      </c>
      <c r="BC174" s="191">
        <f>L174*0.0702730030</f>
        <v/>
      </c>
      <c r="BD174" s="191">
        <f>L174*0.0734327604</f>
        <v/>
      </c>
      <c r="BE174" s="191">
        <f>L174*0.0752022245</f>
        <v/>
      </c>
      <c r="BF174" s="191">
        <f>L174*0.0771612740</f>
        <v/>
      </c>
      <c r="BG174" s="191">
        <f>L174*0.0796890799</f>
        <v/>
      </c>
      <c r="BH174" s="191">
        <f>L174*0.0817745197</f>
        <v/>
      </c>
      <c r="BI174" s="191">
        <f>L174*0.0849342770</f>
        <v/>
      </c>
      <c r="BJ174" s="191">
        <f>L174*0.0870197169</f>
        <v/>
      </c>
      <c r="BK174" s="191">
        <f>L174*0.0889787664</f>
        <v/>
      </c>
      <c r="BL174" s="191">
        <f>L174*0.0911905966</f>
        <v/>
      </c>
      <c r="BM174" s="191">
        <f>L174*0.0935920121</f>
        <v/>
      </c>
      <c r="BN174" s="192">
        <f>L174*0.0967517695</f>
        <v/>
      </c>
      <c r="BO174" s="36" t="inlineStr">
        <is>
          <t>.</t>
        </is>
      </c>
      <c r="BP174" s="193">
        <f>SUM(BQ174:CB174)</f>
        <v/>
      </c>
      <c r="BQ174" s="191">
        <f>MAX(0,BC174-AA174)</f>
        <v/>
      </c>
      <c r="BR174" s="191">
        <f>MAX(0,BD174-AB174)</f>
        <v/>
      </c>
      <c r="BS174" s="191">
        <f>MAX(0,BE174-AC174)</f>
        <v/>
      </c>
      <c r="BT174" s="191">
        <f>MAX(0,BF174-AD174)</f>
        <v/>
      </c>
      <c r="BU174" s="191">
        <f>MAX(0,BG174-AE174)</f>
        <v/>
      </c>
      <c r="BV174" s="191">
        <f>MAX(0,BH174-AF174)</f>
        <v/>
      </c>
      <c r="BW174" s="191">
        <f>MAX(0,BI174-AG174)</f>
        <v/>
      </c>
      <c r="BX174" s="191">
        <f>MAX(0,BJ174-AH174)</f>
        <v/>
      </c>
      <c r="BY174" s="191">
        <f>MAX(0,BK174-AI174)</f>
        <v/>
      </c>
      <c r="BZ174" s="191">
        <f>MAX(0,BL174-AJ174)</f>
        <v/>
      </c>
      <c r="CA174" s="191">
        <f>MAX(0,BM174-AK174)</f>
        <v/>
      </c>
      <c r="CB174" s="192">
        <f>MAX(0,BN174-AL174)</f>
        <v/>
      </c>
    </row>
    <row r="175">
      <c r="A175" s="64" t="inlineStr">
        <is>
          <t>55274946000138</t>
        </is>
      </c>
      <c r="B175" s="57" t="inlineStr">
        <is>
          <t>55.274.946 MARCELO FERREIRA BASTOS JUNIO</t>
        </is>
      </c>
      <c r="C175" s="57" t="inlineStr">
        <is>
          <t>SEM GRUPO</t>
        </is>
      </c>
      <c r="D175" s="61" t="inlineStr">
        <is>
          <t>LARISSA PADILHA</t>
        </is>
      </c>
      <c r="E175" s="30" t="inlineStr">
        <is>
          <t>.</t>
        </is>
      </c>
      <c r="F175" s="63" t="n"/>
      <c r="G175" s="179" t="n"/>
      <c r="H175" s="57" t="n"/>
      <c r="I175" s="57" t="n"/>
      <c r="J175" s="61" t="n"/>
      <c r="K175" s="30" t="inlineStr">
        <is>
          <t>.</t>
        </is>
      </c>
      <c r="L175" s="180" t="n">
        <v>6974.98</v>
      </c>
      <c r="M175" s="181" t="n">
        <v>490.15</v>
      </c>
      <c r="N175" s="181" t="n">
        <v>512.1900000000001</v>
      </c>
      <c r="O175" s="181" t="n">
        <v>524.53</v>
      </c>
      <c r="P175" s="181" t="n">
        <v>538.2</v>
      </c>
      <c r="Q175" s="181" t="n">
        <v>555.83</v>
      </c>
      <c r="R175" s="181" t="n">
        <v>570.38</v>
      </c>
      <c r="S175" s="181" t="n">
        <v>592.42</v>
      </c>
      <c r="T175" s="181" t="n">
        <v>606.96</v>
      </c>
      <c r="U175" s="181" t="n">
        <v>620.63</v>
      </c>
      <c r="V175" s="181" t="n">
        <v>636.05</v>
      </c>
      <c r="W175" s="181" t="n">
        <v>652.8</v>
      </c>
      <c r="X175" s="182" t="n">
        <v>674.84</v>
      </c>
      <c r="Y175" s="183" t="inlineStr">
        <is>
          <t>.</t>
        </is>
      </c>
      <c r="Z175" s="184">
        <f>SUM(AA175:AL175)</f>
        <v/>
      </c>
      <c r="AA175" s="185" t="n">
        <v>0</v>
      </c>
      <c r="AB175" s="185" t="n">
        <v>0</v>
      </c>
      <c r="AC175" s="185" t="n">
        <v>0</v>
      </c>
      <c r="AD175" s="185" t="n">
        <v>0</v>
      </c>
      <c r="AE175" s="185" t="n">
        <v>0</v>
      </c>
      <c r="AF175" s="185" t="n">
        <v>0</v>
      </c>
      <c r="AG175" s="185" t="n">
        <v>1797.29</v>
      </c>
      <c r="AH175" s="185" t="n">
        <v>0</v>
      </c>
      <c r="AI175" s="185" t="n">
        <v>1554.38</v>
      </c>
      <c r="AJ175" s="185" t="n">
        <v>0</v>
      </c>
      <c r="AK175" s="185" t="n">
        <v>0</v>
      </c>
      <c r="AL175" s="186" t="n">
        <v>0</v>
      </c>
      <c r="AM175" s="30" t="inlineStr">
        <is>
          <t>.</t>
        </is>
      </c>
      <c r="AN175" s="187">
        <f>IF(L175=0,0,Z175/L175)</f>
        <v/>
      </c>
      <c r="AO175" s="57">
        <f>IF(AN175&gt;=1,"🟢",IF(AN175&gt;=0.7,"🟡",IF(AN175&gt;=0.4,"🟠","🔴")))</f>
        <v/>
      </c>
      <c r="AP175" s="185">
        <f>L175-Z175</f>
        <v/>
      </c>
      <c r="AQ175" s="55">
        <f>RANK(Z175,$Z$4:$Z$503,0)</f>
        <v/>
      </c>
      <c r="AR175" s="39" t="inlineStr">
        <is>
          <t>.</t>
        </is>
      </c>
      <c r="AS175" s="27" t="n"/>
      <c r="AT175" s="27" t="n"/>
      <c r="AU175" s="27" t="n"/>
      <c r="AV175" s="27" t="n"/>
      <c r="AW175" s="27" t="n"/>
      <c r="AX175" s="27" t="n"/>
      <c r="AY175" s="204" t="n"/>
      <c r="AZ175" s="204" t="n"/>
      <c r="BA175" s="38" t="inlineStr">
        <is>
          <t>.</t>
        </is>
      </c>
      <c r="BB175" s="190">
        <f>SUM(BC175:BN175)</f>
        <v/>
      </c>
      <c r="BC175" s="191">
        <f>L175*0.0702730030</f>
        <v/>
      </c>
      <c r="BD175" s="191">
        <f>L175*0.0734327604</f>
        <v/>
      </c>
      <c r="BE175" s="191">
        <f>L175*0.0752022245</f>
        <v/>
      </c>
      <c r="BF175" s="191">
        <f>L175*0.0771612740</f>
        <v/>
      </c>
      <c r="BG175" s="191">
        <f>L175*0.0796890799</f>
        <v/>
      </c>
      <c r="BH175" s="191">
        <f>L175*0.0817745197</f>
        <v/>
      </c>
      <c r="BI175" s="191">
        <f>L175*0.0849342770</f>
        <v/>
      </c>
      <c r="BJ175" s="191">
        <f>L175*0.0870197169</f>
        <v/>
      </c>
      <c r="BK175" s="191">
        <f>L175*0.0889787664</f>
        <v/>
      </c>
      <c r="BL175" s="191">
        <f>L175*0.0911905966</f>
        <v/>
      </c>
      <c r="BM175" s="191">
        <f>L175*0.0935920121</f>
        <v/>
      </c>
      <c r="BN175" s="192">
        <f>L175*0.0967517695</f>
        <v/>
      </c>
      <c r="BO175" s="36" t="inlineStr">
        <is>
          <t>.</t>
        </is>
      </c>
      <c r="BP175" s="193">
        <f>SUM(BQ175:CB175)</f>
        <v/>
      </c>
      <c r="BQ175" s="191">
        <f>MAX(0,BC175-AA175)</f>
        <v/>
      </c>
      <c r="BR175" s="191">
        <f>MAX(0,BD175-AB175)</f>
        <v/>
      </c>
      <c r="BS175" s="191">
        <f>MAX(0,BE175-AC175)</f>
        <v/>
      </c>
      <c r="BT175" s="191">
        <f>MAX(0,BF175-AD175)</f>
        <v/>
      </c>
      <c r="BU175" s="191">
        <f>MAX(0,BG175-AE175)</f>
        <v/>
      </c>
      <c r="BV175" s="191">
        <f>MAX(0,BH175-AF175)</f>
        <v/>
      </c>
      <c r="BW175" s="191">
        <f>MAX(0,BI175-AG175)</f>
        <v/>
      </c>
      <c r="BX175" s="191">
        <f>MAX(0,BJ175-AH175)</f>
        <v/>
      </c>
      <c r="BY175" s="191">
        <f>MAX(0,BK175-AI175)</f>
        <v/>
      </c>
      <c r="BZ175" s="191">
        <f>MAX(0,BL175-AJ175)</f>
        <v/>
      </c>
      <c r="CA175" s="191">
        <f>MAX(0,BM175-AK175)</f>
        <v/>
      </c>
      <c r="CB175" s="192">
        <f>MAX(0,BN175-AL175)</f>
        <v/>
      </c>
    </row>
    <row r="176">
      <c r="A176" s="64" t="inlineStr">
        <is>
          <t>30327498000162</t>
        </is>
      </c>
      <c r="B176" s="57" t="inlineStr">
        <is>
          <t>SABORAMAIS COMERCIO DE ALIMENTOS LTDA -</t>
        </is>
      </c>
      <c r="C176" s="57" t="inlineStr">
        <is>
          <t>SEM GRUPO</t>
        </is>
      </c>
      <c r="D176" s="61" t="inlineStr">
        <is>
          <t>LARISSA PADILHA</t>
        </is>
      </c>
      <c r="E176" s="30" t="inlineStr">
        <is>
          <t>.</t>
        </is>
      </c>
      <c r="F176" s="63" t="n"/>
      <c r="G176" s="179" t="n"/>
      <c r="H176" s="57" t="n"/>
      <c r="I176" s="57" t="n"/>
      <c r="J176" s="61" t="n"/>
      <c r="K176" s="30" t="inlineStr">
        <is>
          <t>.</t>
        </is>
      </c>
      <c r="L176" s="180" t="n">
        <v>6848.799999999999</v>
      </c>
      <c r="M176" s="181" t="n">
        <v>481.29</v>
      </c>
      <c r="N176" s="181" t="n">
        <v>502.93</v>
      </c>
      <c r="O176" s="181" t="n">
        <v>515.04</v>
      </c>
      <c r="P176" s="181" t="n">
        <v>528.46</v>
      </c>
      <c r="Q176" s="181" t="n">
        <v>545.77</v>
      </c>
      <c r="R176" s="181" t="n">
        <v>560.0599999999999</v>
      </c>
      <c r="S176" s="181" t="n">
        <v>581.7</v>
      </c>
      <c r="T176" s="181" t="n">
        <v>595.98</v>
      </c>
      <c r="U176" s="181" t="n">
        <v>609.4</v>
      </c>
      <c r="V176" s="181" t="n">
        <v>624.55</v>
      </c>
      <c r="W176" s="181" t="n">
        <v>640.99</v>
      </c>
      <c r="X176" s="182" t="n">
        <v>662.63</v>
      </c>
      <c r="Y176" s="183" t="inlineStr">
        <is>
          <t>.</t>
        </is>
      </c>
      <c r="Z176" s="184">
        <f>SUM(AA176:AL176)</f>
        <v/>
      </c>
      <c r="AA176" s="185" t="n">
        <v>0</v>
      </c>
      <c r="AB176" s="185" t="n">
        <v>0</v>
      </c>
      <c r="AC176" s="185" t="n">
        <v>0</v>
      </c>
      <c r="AD176" s="185" t="n">
        <v>0</v>
      </c>
      <c r="AE176" s="185" t="n">
        <v>2778.83</v>
      </c>
      <c r="AF176" s="185" t="n">
        <v>0</v>
      </c>
      <c r="AG176" s="185" t="n">
        <v>0</v>
      </c>
      <c r="AH176" s="185" t="n">
        <v>0</v>
      </c>
      <c r="AI176" s="185" t="n">
        <v>0</v>
      </c>
      <c r="AJ176" s="185" t="n">
        <v>0</v>
      </c>
      <c r="AK176" s="185" t="n">
        <v>0</v>
      </c>
      <c r="AL176" s="186" t="n">
        <v>0</v>
      </c>
      <c r="AM176" s="30" t="inlineStr">
        <is>
          <t>.</t>
        </is>
      </c>
      <c r="AN176" s="187">
        <f>IF(L176=0,0,Z176/L176)</f>
        <v/>
      </c>
      <c r="AO176" s="57">
        <f>IF(AN176&gt;=1,"🟢",IF(AN176&gt;=0.7,"🟡",IF(AN176&gt;=0.4,"🟠","🔴")))</f>
        <v/>
      </c>
      <c r="AP176" s="185">
        <f>L176-Z176</f>
        <v/>
      </c>
      <c r="AQ176" s="55">
        <f>RANK(Z176,$Z$4:$Z$503,0)</f>
        <v/>
      </c>
      <c r="AR176" s="39" t="inlineStr">
        <is>
          <t>.</t>
        </is>
      </c>
      <c r="AS176" s="27" t="n"/>
      <c r="AT176" s="27" t="n"/>
      <c r="AU176" s="27" t="n"/>
      <c r="AV176" s="27" t="n"/>
      <c r="AW176" s="27" t="n"/>
      <c r="AX176" s="27" t="n"/>
      <c r="AY176" s="204" t="n"/>
      <c r="AZ176" s="204" t="n"/>
      <c r="BA176" s="38" t="inlineStr">
        <is>
          <t>.</t>
        </is>
      </c>
      <c r="BB176" s="190">
        <f>SUM(BC176:BN176)</f>
        <v/>
      </c>
      <c r="BC176" s="191">
        <f>L176*0.0702730030</f>
        <v/>
      </c>
      <c r="BD176" s="191">
        <f>L176*0.0734327604</f>
        <v/>
      </c>
      <c r="BE176" s="191">
        <f>L176*0.0752022245</f>
        <v/>
      </c>
      <c r="BF176" s="191">
        <f>L176*0.0771612740</f>
        <v/>
      </c>
      <c r="BG176" s="191">
        <f>L176*0.0796890799</f>
        <v/>
      </c>
      <c r="BH176" s="191">
        <f>L176*0.0817745197</f>
        <v/>
      </c>
      <c r="BI176" s="191">
        <f>L176*0.0849342770</f>
        <v/>
      </c>
      <c r="BJ176" s="191">
        <f>L176*0.0870197169</f>
        <v/>
      </c>
      <c r="BK176" s="191">
        <f>L176*0.0889787664</f>
        <v/>
      </c>
      <c r="BL176" s="191">
        <f>L176*0.0911905966</f>
        <v/>
      </c>
      <c r="BM176" s="191">
        <f>L176*0.0935920121</f>
        <v/>
      </c>
      <c r="BN176" s="192">
        <f>L176*0.0967517695</f>
        <v/>
      </c>
      <c r="BO176" s="36" t="inlineStr">
        <is>
          <t>.</t>
        </is>
      </c>
      <c r="BP176" s="193">
        <f>SUM(BQ176:CB176)</f>
        <v/>
      </c>
      <c r="BQ176" s="191">
        <f>MAX(0,BC176-AA176)</f>
        <v/>
      </c>
      <c r="BR176" s="191">
        <f>MAX(0,BD176-AB176)</f>
        <v/>
      </c>
      <c r="BS176" s="191">
        <f>MAX(0,BE176-AC176)</f>
        <v/>
      </c>
      <c r="BT176" s="191">
        <f>MAX(0,BF176-AD176)</f>
        <v/>
      </c>
      <c r="BU176" s="191">
        <f>MAX(0,BG176-AE176)</f>
        <v/>
      </c>
      <c r="BV176" s="191">
        <f>MAX(0,BH176-AF176)</f>
        <v/>
      </c>
      <c r="BW176" s="191">
        <f>MAX(0,BI176-AG176)</f>
        <v/>
      </c>
      <c r="BX176" s="191">
        <f>MAX(0,BJ176-AH176)</f>
        <v/>
      </c>
      <c r="BY176" s="191">
        <f>MAX(0,BK176-AI176)</f>
        <v/>
      </c>
      <c r="BZ176" s="191">
        <f>MAX(0,BL176-AJ176)</f>
        <v/>
      </c>
      <c r="CA176" s="191">
        <f>MAX(0,BM176-AK176)</f>
        <v/>
      </c>
      <c r="CB176" s="192">
        <f>MAX(0,BN176-AL176)</f>
        <v/>
      </c>
    </row>
    <row r="177">
      <c r="A177" s="64" t="inlineStr">
        <is>
          <t>12165772000162</t>
        </is>
      </c>
      <c r="B177" s="57" t="inlineStr">
        <is>
          <t>R C DE ARAUJO MEDEIROS - ME</t>
        </is>
      </c>
      <c r="C177" s="57" t="inlineStr">
        <is>
          <t>SEM GRUPO</t>
        </is>
      </c>
      <c r="D177" s="61" t="inlineStr">
        <is>
          <t>LARISSA PADILHA</t>
        </is>
      </c>
      <c r="E177" s="30" t="inlineStr">
        <is>
          <t>.</t>
        </is>
      </c>
      <c r="F177" s="63" t="n"/>
      <c r="G177" s="179" t="n"/>
      <c r="H177" s="57" t="n"/>
      <c r="I177" s="57" t="n"/>
      <c r="J177" s="61" t="n"/>
      <c r="K177" s="30" t="inlineStr">
        <is>
          <t>.</t>
        </is>
      </c>
      <c r="L177" s="180" t="n">
        <v>6831.79</v>
      </c>
      <c r="M177" s="181" t="n">
        <v>480.09</v>
      </c>
      <c r="N177" s="181" t="n">
        <v>501.68</v>
      </c>
      <c r="O177" s="181" t="n">
        <v>513.77</v>
      </c>
      <c r="P177" s="181" t="n">
        <v>527.15</v>
      </c>
      <c r="Q177" s="181" t="n">
        <v>544.42</v>
      </c>
      <c r="R177" s="181" t="n">
        <v>558.67</v>
      </c>
      <c r="S177" s="181" t="n">
        <v>580.25</v>
      </c>
      <c r="T177" s="181" t="n">
        <v>594.5</v>
      </c>
      <c r="U177" s="181" t="n">
        <v>607.88</v>
      </c>
      <c r="V177" s="181" t="n">
        <v>622.99</v>
      </c>
      <c r="W177" s="181" t="n">
        <v>639.4</v>
      </c>
      <c r="X177" s="182" t="n">
        <v>660.99</v>
      </c>
      <c r="Y177" s="183" t="inlineStr">
        <is>
          <t>.</t>
        </is>
      </c>
      <c r="Z177" s="184">
        <f>SUM(AA177:AL177)</f>
        <v/>
      </c>
      <c r="AA177" s="185" t="n">
        <v>0</v>
      </c>
      <c r="AB177" s="185" t="n">
        <v>0</v>
      </c>
      <c r="AC177" s="185" t="n">
        <v>0</v>
      </c>
      <c r="AD177" s="185" t="n">
        <v>0</v>
      </c>
      <c r="AE177" s="185" t="n">
        <v>687.3</v>
      </c>
      <c r="AF177" s="185" t="n">
        <v>2150.12</v>
      </c>
      <c r="AG177" s="185" t="n">
        <v>0</v>
      </c>
      <c r="AH177" s="185" t="n">
        <v>0</v>
      </c>
      <c r="AI177" s="185" t="n">
        <v>0</v>
      </c>
      <c r="AJ177" s="185" t="n">
        <v>0</v>
      </c>
      <c r="AK177" s="185" t="n">
        <v>0</v>
      </c>
      <c r="AL177" s="186" t="n">
        <v>0</v>
      </c>
      <c r="AM177" s="30" t="inlineStr">
        <is>
          <t>.</t>
        </is>
      </c>
      <c r="AN177" s="187">
        <f>IF(L177=0,0,Z177/L177)</f>
        <v/>
      </c>
      <c r="AO177" s="57">
        <f>IF(AN177&gt;=1,"🟢",IF(AN177&gt;=0.7,"🟡",IF(AN177&gt;=0.4,"🟠","🔴")))</f>
        <v/>
      </c>
      <c r="AP177" s="185">
        <f>L177-Z177</f>
        <v/>
      </c>
      <c r="AQ177" s="55">
        <f>RANK(Z177,$Z$4:$Z$503,0)</f>
        <v/>
      </c>
      <c r="AR177" s="39" t="inlineStr">
        <is>
          <t>.</t>
        </is>
      </c>
      <c r="AS177" s="27" t="n"/>
      <c r="AT177" s="27" t="n"/>
      <c r="AU177" s="27" t="n"/>
      <c r="AV177" s="27" t="n"/>
      <c r="AW177" s="27" t="n"/>
      <c r="AX177" s="27" t="n"/>
      <c r="AY177" s="204" t="n"/>
      <c r="AZ177" s="204" t="n"/>
      <c r="BA177" s="38" t="inlineStr">
        <is>
          <t>.</t>
        </is>
      </c>
      <c r="BB177" s="190">
        <f>SUM(BC177:BN177)</f>
        <v/>
      </c>
      <c r="BC177" s="191">
        <f>L177*0.0702730030</f>
        <v/>
      </c>
      <c r="BD177" s="191">
        <f>L177*0.0734327604</f>
        <v/>
      </c>
      <c r="BE177" s="191">
        <f>L177*0.0752022245</f>
        <v/>
      </c>
      <c r="BF177" s="191">
        <f>L177*0.0771612740</f>
        <v/>
      </c>
      <c r="BG177" s="191">
        <f>L177*0.0796890799</f>
        <v/>
      </c>
      <c r="BH177" s="191">
        <f>L177*0.0817745197</f>
        <v/>
      </c>
      <c r="BI177" s="191">
        <f>L177*0.0849342770</f>
        <v/>
      </c>
      <c r="BJ177" s="191">
        <f>L177*0.0870197169</f>
        <v/>
      </c>
      <c r="BK177" s="191">
        <f>L177*0.0889787664</f>
        <v/>
      </c>
      <c r="BL177" s="191">
        <f>L177*0.0911905966</f>
        <v/>
      </c>
      <c r="BM177" s="191">
        <f>L177*0.0935920121</f>
        <v/>
      </c>
      <c r="BN177" s="192">
        <f>L177*0.0967517695</f>
        <v/>
      </c>
      <c r="BO177" s="36" t="inlineStr">
        <is>
          <t>.</t>
        </is>
      </c>
      <c r="BP177" s="193">
        <f>SUM(BQ177:CB177)</f>
        <v/>
      </c>
      <c r="BQ177" s="191">
        <f>MAX(0,BC177-AA177)</f>
        <v/>
      </c>
      <c r="BR177" s="191">
        <f>MAX(0,BD177-AB177)</f>
        <v/>
      </c>
      <c r="BS177" s="191">
        <f>MAX(0,BE177-AC177)</f>
        <v/>
      </c>
      <c r="BT177" s="191">
        <f>MAX(0,BF177-AD177)</f>
        <v/>
      </c>
      <c r="BU177" s="191">
        <f>MAX(0,BG177-AE177)</f>
        <v/>
      </c>
      <c r="BV177" s="191">
        <f>MAX(0,BH177-AF177)</f>
        <v/>
      </c>
      <c r="BW177" s="191">
        <f>MAX(0,BI177-AG177)</f>
        <v/>
      </c>
      <c r="BX177" s="191">
        <f>MAX(0,BJ177-AH177)</f>
        <v/>
      </c>
      <c r="BY177" s="191">
        <f>MAX(0,BK177-AI177)</f>
        <v/>
      </c>
      <c r="BZ177" s="191">
        <f>MAX(0,BL177-AJ177)</f>
        <v/>
      </c>
      <c r="CA177" s="191">
        <f>MAX(0,BM177-AK177)</f>
        <v/>
      </c>
      <c r="CB177" s="192">
        <f>MAX(0,BN177-AL177)</f>
        <v/>
      </c>
    </row>
    <row r="178">
      <c r="A178" s="64" t="inlineStr">
        <is>
          <t>35031254000151</t>
        </is>
      </c>
      <c r="B178" s="57" t="inlineStr">
        <is>
          <t>35.031.254 VINICIUS HERNANDEZ - ME</t>
        </is>
      </c>
      <c r="C178" s="57" t="inlineStr">
        <is>
          <t>SEM GRUPO</t>
        </is>
      </c>
      <c r="D178" s="61" t="inlineStr">
        <is>
          <t>LARISSA PADILHA</t>
        </is>
      </c>
      <c r="E178" s="30" t="inlineStr">
        <is>
          <t>.</t>
        </is>
      </c>
      <c r="F178" s="63" t="n"/>
      <c r="G178" s="179" t="n"/>
      <c r="H178" s="57" t="n"/>
      <c r="I178" s="57" t="n"/>
      <c r="J178" s="61" t="n"/>
      <c r="K178" s="30" t="inlineStr">
        <is>
          <t>.</t>
        </is>
      </c>
      <c r="L178" s="180" t="n">
        <v>6768.040000000001</v>
      </c>
      <c r="M178" s="181" t="n">
        <v>475.61</v>
      </c>
      <c r="N178" s="181" t="n">
        <v>497</v>
      </c>
      <c r="O178" s="181" t="n">
        <v>508.97</v>
      </c>
      <c r="P178" s="181" t="n">
        <v>522.23</v>
      </c>
      <c r="Q178" s="181" t="n">
        <v>539.34</v>
      </c>
      <c r="R178" s="181" t="n">
        <v>553.45</v>
      </c>
      <c r="S178" s="181" t="n">
        <v>574.84</v>
      </c>
      <c r="T178" s="181" t="n">
        <v>588.95</v>
      </c>
      <c r="U178" s="181" t="n">
        <v>602.21</v>
      </c>
      <c r="V178" s="181" t="n">
        <v>617.1799999999999</v>
      </c>
      <c r="W178" s="181" t="n">
        <v>633.4400000000001</v>
      </c>
      <c r="X178" s="182" t="n">
        <v>654.8200000000001</v>
      </c>
      <c r="Y178" s="183" t="inlineStr">
        <is>
          <t>.</t>
        </is>
      </c>
      <c r="Z178" s="184">
        <f>SUM(AA178:AL178)</f>
        <v/>
      </c>
      <c r="AA178" s="185" t="n">
        <v>0</v>
      </c>
      <c r="AB178" s="185" t="n">
        <v>0</v>
      </c>
      <c r="AC178" s="185" t="n">
        <v>0</v>
      </c>
      <c r="AD178" s="185" t="n">
        <v>0</v>
      </c>
      <c r="AE178" s="185" t="n">
        <v>0</v>
      </c>
      <c r="AF178" s="185" t="n">
        <v>0</v>
      </c>
      <c r="AG178" s="185" t="n">
        <v>0</v>
      </c>
      <c r="AH178" s="185" t="n">
        <v>2862.34</v>
      </c>
      <c r="AI178" s="185" t="n">
        <v>0</v>
      </c>
      <c r="AJ178" s="185" t="n">
        <v>0</v>
      </c>
      <c r="AK178" s="185" t="n">
        <v>0</v>
      </c>
      <c r="AL178" s="186" t="n">
        <v>0</v>
      </c>
      <c r="AM178" s="30" t="inlineStr">
        <is>
          <t>.</t>
        </is>
      </c>
      <c r="AN178" s="187">
        <f>IF(L178=0,0,Z178/L178)</f>
        <v/>
      </c>
      <c r="AO178" s="57">
        <f>IF(AN178&gt;=1,"🟢",IF(AN178&gt;=0.7,"🟡",IF(AN178&gt;=0.4,"🟠","🔴")))</f>
        <v/>
      </c>
      <c r="AP178" s="185">
        <f>L178-Z178</f>
        <v/>
      </c>
      <c r="AQ178" s="55">
        <f>RANK(Z178,$Z$4:$Z$503,0)</f>
        <v/>
      </c>
      <c r="AR178" s="39" t="inlineStr">
        <is>
          <t>.</t>
        </is>
      </c>
      <c r="AS178" s="27" t="n"/>
      <c r="AT178" s="27" t="n"/>
      <c r="AU178" s="27" t="n"/>
      <c r="AV178" s="27" t="n"/>
      <c r="AW178" s="27" t="n"/>
      <c r="AX178" s="27" t="n"/>
      <c r="AY178" s="204" t="n"/>
      <c r="AZ178" s="204" t="n"/>
      <c r="BA178" s="38" t="inlineStr">
        <is>
          <t>.</t>
        </is>
      </c>
      <c r="BB178" s="190">
        <f>SUM(BC178:BN178)</f>
        <v/>
      </c>
      <c r="BC178" s="191">
        <f>L178*0.0702730030</f>
        <v/>
      </c>
      <c r="BD178" s="191">
        <f>L178*0.0734327604</f>
        <v/>
      </c>
      <c r="BE178" s="191">
        <f>L178*0.0752022245</f>
        <v/>
      </c>
      <c r="BF178" s="191">
        <f>L178*0.0771612740</f>
        <v/>
      </c>
      <c r="BG178" s="191">
        <f>L178*0.0796890799</f>
        <v/>
      </c>
      <c r="BH178" s="191">
        <f>L178*0.0817745197</f>
        <v/>
      </c>
      <c r="BI178" s="191">
        <f>L178*0.0849342770</f>
        <v/>
      </c>
      <c r="BJ178" s="191">
        <f>L178*0.0870197169</f>
        <v/>
      </c>
      <c r="BK178" s="191">
        <f>L178*0.0889787664</f>
        <v/>
      </c>
      <c r="BL178" s="191">
        <f>L178*0.0911905966</f>
        <v/>
      </c>
      <c r="BM178" s="191">
        <f>L178*0.0935920121</f>
        <v/>
      </c>
      <c r="BN178" s="192">
        <f>L178*0.0967517695</f>
        <v/>
      </c>
      <c r="BO178" s="36" t="inlineStr">
        <is>
          <t>.</t>
        </is>
      </c>
      <c r="BP178" s="193">
        <f>SUM(BQ178:CB178)</f>
        <v/>
      </c>
      <c r="BQ178" s="191">
        <f>MAX(0,BC178-AA178)</f>
        <v/>
      </c>
      <c r="BR178" s="191">
        <f>MAX(0,BD178-AB178)</f>
        <v/>
      </c>
      <c r="BS178" s="191">
        <f>MAX(0,BE178-AC178)</f>
        <v/>
      </c>
      <c r="BT178" s="191">
        <f>MAX(0,BF178-AD178)</f>
        <v/>
      </c>
      <c r="BU178" s="191">
        <f>MAX(0,BG178-AE178)</f>
        <v/>
      </c>
      <c r="BV178" s="191">
        <f>MAX(0,BH178-AF178)</f>
        <v/>
      </c>
      <c r="BW178" s="191">
        <f>MAX(0,BI178-AG178)</f>
        <v/>
      </c>
      <c r="BX178" s="191">
        <f>MAX(0,BJ178-AH178)</f>
        <v/>
      </c>
      <c r="BY178" s="191">
        <f>MAX(0,BK178-AI178)</f>
        <v/>
      </c>
      <c r="BZ178" s="191">
        <f>MAX(0,BL178-AJ178)</f>
        <v/>
      </c>
      <c r="CA178" s="191">
        <f>MAX(0,BM178-AK178)</f>
        <v/>
      </c>
      <c r="CB178" s="192">
        <f>MAX(0,BN178-AL178)</f>
        <v/>
      </c>
    </row>
    <row r="179">
      <c r="A179" s="64" t="inlineStr">
        <is>
          <t>26593516000180</t>
        </is>
      </c>
      <c r="B179" s="57" t="inlineStr">
        <is>
          <t>LEANDRO DELFINO DE SOUSA - ME</t>
        </is>
      </c>
      <c r="C179" s="57" t="inlineStr">
        <is>
          <t>SEM GRUPO</t>
        </is>
      </c>
      <c r="D179" s="61" t="inlineStr">
        <is>
          <t>LARISSA PADILHA</t>
        </is>
      </c>
      <c r="E179" s="30" t="inlineStr">
        <is>
          <t>.</t>
        </is>
      </c>
      <c r="F179" s="63" t="n"/>
      <c r="G179" s="179" t="n"/>
      <c r="H179" s="57" t="n"/>
      <c r="I179" s="57" t="n"/>
      <c r="J179" s="61" t="n"/>
      <c r="K179" s="30" t="inlineStr">
        <is>
          <t>.</t>
        </is>
      </c>
      <c r="L179" s="180" t="n">
        <v>6754.610000000001</v>
      </c>
      <c r="M179" s="181" t="n">
        <v>474.67</v>
      </c>
      <c r="N179" s="181" t="n">
        <v>496.01</v>
      </c>
      <c r="O179" s="181" t="n">
        <v>507.96</v>
      </c>
      <c r="P179" s="181" t="n">
        <v>521.1900000000001</v>
      </c>
      <c r="Q179" s="181" t="n">
        <v>538.27</v>
      </c>
      <c r="R179" s="181" t="n">
        <v>552.35</v>
      </c>
      <c r="S179" s="181" t="n">
        <v>573.7</v>
      </c>
      <c r="T179" s="181" t="n">
        <v>587.78</v>
      </c>
      <c r="U179" s="181" t="n">
        <v>601.02</v>
      </c>
      <c r="V179" s="181" t="n">
        <v>615.96</v>
      </c>
      <c r="W179" s="181" t="n">
        <v>632.1799999999999</v>
      </c>
      <c r="X179" s="182" t="n">
        <v>653.52</v>
      </c>
      <c r="Y179" s="183" t="inlineStr">
        <is>
          <t>.</t>
        </is>
      </c>
      <c r="Z179" s="184">
        <f>SUM(AA179:AL179)</f>
        <v/>
      </c>
      <c r="AA179" s="185" t="n">
        <v>0</v>
      </c>
      <c r="AB179" s="185" t="n">
        <v>0</v>
      </c>
      <c r="AC179" s="185" t="n">
        <v>0</v>
      </c>
      <c r="AD179" s="185" t="n">
        <v>2395</v>
      </c>
      <c r="AE179" s="185" t="n">
        <v>0</v>
      </c>
      <c r="AF179" s="185" t="n">
        <v>0</v>
      </c>
      <c r="AG179" s="185" t="n">
        <v>0</v>
      </c>
      <c r="AH179" s="185" t="n">
        <v>0</v>
      </c>
      <c r="AI179" s="185" t="n">
        <v>0</v>
      </c>
      <c r="AJ179" s="185" t="n">
        <v>0</v>
      </c>
      <c r="AK179" s="185" t="n">
        <v>0</v>
      </c>
      <c r="AL179" s="186" t="n">
        <v>0</v>
      </c>
      <c r="AM179" s="30" t="inlineStr">
        <is>
          <t>.</t>
        </is>
      </c>
      <c r="AN179" s="187">
        <f>IF(L179=0,0,Z179/L179)</f>
        <v/>
      </c>
      <c r="AO179" s="57">
        <f>IF(AN179&gt;=1,"🟢",IF(AN179&gt;=0.7,"🟡",IF(AN179&gt;=0.4,"🟠","🔴")))</f>
        <v/>
      </c>
      <c r="AP179" s="185">
        <f>L179-Z179</f>
        <v/>
      </c>
      <c r="AQ179" s="55">
        <f>RANK(Z179,$Z$4:$Z$503,0)</f>
        <v/>
      </c>
      <c r="AR179" s="39" t="inlineStr">
        <is>
          <t>.</t>
        </is>
      </c>
      <c r="AS179" s="27" t="n"/>
      <c r="AT179" s="27" t="n"/>
      <c r="AU179" s="27" t="n"/>
      <c r="AV179" s="27" t="n"/>
      <c r="AW179" s="27" t="n"/>
      <c r="AX179" s="27" t="n"/>
      <c r="AY179" s="204" t="n"/>
      <c r="AZ179" s="204" t="n"/>
      <c r="BA179" s="38" t="inlineStr">
        <is>
          <t>.</t>
        </is>
      </c>
      <c r="BB179" s="190">
        <f>SUM(BC179:BN179)</f>
        <v/>
      </c>
      <c r="BC179" s="191">
        <f>L179*0.0702730030</f>
        <v/>
      </c>
      <c r="BD179" s="191">
        <f>L179*0.0734327604</f>
        <v/>
      </c>
      <c r="BE179" s="191">
        <f>L179*0.0752022245</f>
        <v/>
      </c>
      <c r="BF179" s="191">
        <f>L179*0.0771612740</f>
        <v/>
      </c>
      <c r="BG179" s="191">
        <f>L179*0.0796890799</f>
        <v/>
      </c>
      <c r="BH179" s="191">
        <f>L179*0.0817745197</f>
        <v/>
      </c>
      <c r="BI179" s="191">
        <f>L179*0.0849342770</f>
        <v/>
      </c>
      <c r="BJ179" s="191">
        <f>L179*0.0870197169</f>
        <v/>
      </c>
      <c r="BK179" s="191">
        <f>L179*0.0889787664</f>
        <v/>
      </c>
      <c r="BL179" s="191">
        <f>L179*0.0911905966</f>
        <v/>
      </c>
      <c r="BM179" s="191">
        <f>L179*0.0935920121</f>
        <v/>
      </c>
      <c r="BN179" s="192">
        <f>L179*0.0967517695</f>
        <v/>
      </c>
      <c r="BO179" s="36" t="inlineStr">
        <is>
          <t>.</t>
        </is>
      </c>
      <c r="BP179" s="193">
        <f>SUM(BQ179:CB179)</f>
        <v/>
      </c>
      <c r="BQ179" s="191">
        <f>MAX(0,BC179-AA179)</f>
        <v/>
      </c>
      <c r="BR179" s="191">
        <f>MAX(0,BD179-AB179)</f>
        <v/>
      </c>
      <c r="BS179" s="191">
        <f>MAX(0,BE179-AC179)</f>
        <v/>
      </c>
      <c r="BT179" s="191">
        <f>MAX(0,BF179-AD179)</f>
        <v/>
      </c>
      <c r="BU179" s="191">
        <f>MAX(0,BG179-AE179)</f>
        <v/>
      </c>
      <c r="BV179" s="191">
        <f>MAX(0,BH179-AF179)</f>
        <v/>
      </c>
      <c r="BW179" s="191">
        <f>MAX(0,BI179-AG179)</f>
        <v/>
      </c>
      <c r="BX179" s="191">
        <f>MAX(0,BJ179-AH179)</f>
        <v/>
      </c>
      <c r="BY179" s="191">
        <f>MAX(0,BK179-AI179)</f>
        <v/>
      </c>
      <c r="BZ179" s="191">
        <f>MAX(0,BL179-AJ179)</f>
        <v/>
      </c>
      <c r="CA179" s="191">
        <f>MAX(0,BM179-AK179)</f>
        <v/>
      </c>
      <c r="CB179" s="192">
        <f>MAX(0,BN179-AL179)</f>
        <v/>
      </c>
    </row>
    <row r="180">
      <c r="A180" s="64" t="inlineStr">
        <is>
          <t>23143632000100</t>
        </is>
      </c>
      <c r="B180" s="57" t="inlineStr">
        <is>
          <t>COMERCIAL F. B. DE PRODUTOS NATURAIS EOR</t>
        </is>
      </c>
      <c r="C180" s="57" t="inlineStr">
        <is>
          <t>SEM GRUPO</t>
        </is>
      </c>
      <c r="D180" s="61" t="inlineStr">
        <is>
          <t>LARISSA PADILHA</t>
        </is>
      </c>
      <c r="E180" s="30" t="inlineStr">
        <is>
          <t>.</t>
        </is>
      </c>
      <c r="F180" s="63" t="n"/>
      <c r="G180" s="179" t="n"/>
      <c r="H180" s="57" t="n"/>
      <c r="I180" s="57" t="n"/>
      <c r="J180" s="61" t="n"/>
      <c r="K180" s="30" t="inlineStr">
        <is>
          <t>.</t>
        </is>
      </c>
      <c r="L180" s="180" t="n">
        <v>6751.209999999999</v>
      </c>
      <c r="M180" s="181" t="n">
        <v>474.43</v>
      </c>
      <c r="N180" s="181" t="n">
        <v>495.76</v>
      </c>
      <c r="O180" s="181" t="n">
        <v>507.7</v>
      </c>
      <c r="P180" s="181" t="n">
        <v>520.9299999999999</v>
      </c>
      <c r="Q180" s="181" t="n">
        <v>538</v>
      </c>
      <c r="R180" s="181" t="n">
        <v>552.08</v>
      </c>
      <c r="S180" s="181" t="n">
        <v>573.41</v>
      </c>
      <c r="T180" s="181" t="n">
        <v>587.49</v>
      </c>
      <c r="U180" s="181" t="n">
        <v>600.71</v>
      </c>
      <c r="V180" s="181" t="n">
        <v>615.65</v>
      </c>
      <c r="W180" s="181" t="n">
        <v>631.86</v>
      </c>
      <c r="X180" s="182" t="n">
        <v>653.1900000000001</v>
      </c>
      <c r="Y180" s="183" t="inlineStr">
        <is>
          <t>.</t>
        </is>
      </c>
      <c r="Z180" s="184">
        <f>SUM(AA180:AL180)</f>
        <v/>
      </c>
      <c r="AA180" s="185" t="n">
        <v>0</v>
      </c>
      <c r="AB180" s="185" t="n">
        <v>0</v>
      </c>
      <c r="AC180" s="185" t="n">
        <v>0</v>
      </c>
      <c r="AD180" s="185" t="n">
        <v>0</v>
      </c>
      <c r="AE180" s="185" t="n">
        <v>0</v>
      </c>
      <c r="AF180" s="185" t="n">
        <v>0</v>
      </c>
      <c r="AG180" s="185" t="n">
        <v>0</v>
      </c>
      <c r="AH180" s="185" t="n">
        <v>1588.45</v>
      </c>
      <c r="AI180" s="185" t="n">
        <v>0</v>
      </c>
      <c r="AJ180" s="185" t="n">
        <v>0</v>
      </c>
      <c r="AK180" s="185" t="n">
        <v>1603.64</v>
      </c>
      <c r="AL180" s="186" t="n">
        <v>0</v>
      </c>
      <c r="AM180" s="30" t="inlineStr">
        <is>
          <t>.</t>
        </is>
      </c>
      <c r="AN180" s="187">
        <f>IF(L180=0,0,Z180/L180)</f>
        <v/>
      </c>
      <c r="AO180" s="57">
        <f>IF(AN180&gt;=1,"🟢",IF(AN180&gt;=0.7,"🟡",IF(AN180&gt;=0.4,"🟠","🔴")))</f>
        <v/>
      </c>
      <c r="AP180" s="185">
        <f>L180-Z180</f>
        <v/>
      </c>
      <c r="AQ180" s="55">
        <f>RANK(Z180,$Z$4:$Z$503,0)</f>
        <v/>
      </c>
      <c r="AR180" s="39" t="inlineStr">
        <is>
          <t>.</t>
        </is>
      </c>
      <c r="AS180" s="27" t="n"/>
      <c r="AT180" s="27" t="n"/>
      <c r="AU180" s="27" t="n"/>
      <c r="AV180" s="27" t="n"/>
      <c r="AW180" s="27" t="n"/>
      <c r="AX180" s="27" t="n"/>
      <c r="AY180" s="204" t="n"/>
      <c r="AZ180" s="204" t="n"/>
      <c r="BA180" s="38" t="inlineStr">
        <is>
          <t>.</t>
        </is>
      </c>
      <c r="BB180" s="190">
        <f>SUM(BC180:BN180)</f>
        <v/>
      </c>
      <c r="BC180" s="191">
        <f>L180*0.0702730030</f>
        <v/>
      </c>
      <c r="BD180" s="191">
        <f>L180*0.0734327604</f>
        <v/>
      </c>
      <c r="BE180" s="191">
        <f>L180*0.0752022245</f>
        <v/>
      </c>
      <c r="BF180" s="191">
        <f>L180*0.0771612740</f>
        <v/>
      </c>
      <c r="BG180" s="191">
        <f>L180*0.0796890799</f>
        <v/>
      </c>
      <c r="BH180" s="191">
        <f>L180*0.0817745197</f>
        <v/>
      </c>
      <c r="BI180" s="191">
        <f>L180*0.0849342770</f>
        <v/>
      </c>
      <c r="BJ180" s="191">
        <f>L180*0.0870197169</f>
        <v/>
      </c>
      <c r="BK180" s="191">
        <f>L180*0.0889787664</f>
        <v/>
      </c>
      <c r="BL180" s="191">
        <f>L180*0.0911905966</f>
        <v/>
      </c>
      <c r="BM180" s="191">
        <f>L180*0.0935920121</f>
        <v/>
      </c>
      <c r="BN180" s="192">
        <f>L180*0.0967517695</f>
        <v/>
      </c>
      <c r="BO180" s="36" t="inlineStr">
        <is>
          <t>.</t>
        </is>
      </c>
      <c r="BP180" s="193">
        <f>SUM(BQ180:CB180)</f>
        <v/>
      </c>
      <c r="BQ180" s="191">
        <f>MAX(0,BC180-AA180)</f>
        <v/>
      </c>
      <c r="BR180" s="191">
        <f>MAX(0,BD180-AB180)</f>
        <v/>
      </c>
      <c r="BS180" s="191">
        <f>MAX(0,BE180-AC180)</f>
        <v/>
      </c>
      <c r="BT180" s="191">
        <f>MAX(0,BF180-AD180)</f>
        <v/>
      </c>
      <c r="BU180" s="191">
        <f>MAX(0,BG180-AE180)</f>
        <v/>
      </c>
      <c r="BV180" s="191">
        <f>MAX(0,BH180-AF180)</f>
        <v/>
      </c>
      <c r="BW180" s="191">
        <f>MAX(0,BI180-AG180)</f>
        <v/>
      </c>
      <c r="BX180" s="191">
        <f>MAX(0,BJ180-AH180)</f>
        <v/>
      </c>
      <c r="BY180" s="191">
        <f>MAX(0,BK180-AI180)</f>
        <v/>
      </c>
      <c r="BZ180" s="191">
        <f>MAX(0,BL180-AJ180)</f>
        <v/>
      </c>
      <c r="CA180" s="191">
        <f>MAX(0,BM180-AK180)</f>
        <v/>
      </c>
      <c r="CB180" s="192">
        <f>MAX(0,BN180-AL180)</f>
        <v/>
      </c>
    </row>
    <row r="181">
      <c r="A181" s="64" t="inlineStr">
        <is>
          <t>62754907000101</t>
        </is>
      </c>
      <c r="B181" s="57" t="inlineStr">
        <is>
          <t>MARTINA MAIARA PRODUTOS NATURAIS LTDA- M</t>
        </is>
      </c>
      <c r="C181" s="57" t="inlineStr">
        <is>
          <t>FITLAND</t>
        </is>
      </c>
      <c r="D181" s="61" t="inlineStr">
        <is>
          <t>JULIO GADRET</t>
        </is>
      </c>
      <c r="E181" s="30" t="inlineStr">
        <is>
          <t>.</t>
        </is>
      </c>
      <c r="F181" s="63" t="n">
        <v>89</v>
      </c>
      <c r="G181" s="179" t="n">
        <v>0.298</v>
      </c>
      <c r="H181" s="57" t="inlineStr">
        <is>
          <t>🔴 VERMELHO</t>
        </is>
      </c>
      <c r="I181" s="57" t="inlineStr">
        <is>
          <t>POSITIVAÇÃO</t>
        </is>
      </c>
      <c r="J181" s="61" t="inlineStr">
        <is>
          <t>Aumentar frequência + Expandir base</t>
        </is>
      </c>
      <c r="K181" s="30" t="inlineStr">
        <is>
          <t>.</t>
        </is>
      </c>
      <c r="L181" s="180" t="n">
        <v>6659.98</v>
      </c>
      <c r="M181" s="181" t="n">
        <v>468.02</v>
      </c>
      <c r="N181" s="181" t="n">
        <v>489.06</v>
      </c>
      <c r="O181" s="181" t="n">
        <v>500.84</v>
      </c>
      <c r="P181" s="181" t="n">
        <v>513.89</v>
      </c>
      <c r="Q181" s="181" t="n">
        <v>530.73</v>
      </c>
      <c r="R181" s="181" t="n">
        <v>544.62</v>
      </c>
      <c r="S181" s="181" t="n">
        <v>565.66</v>
      </c>
      <c r="T181" s="181" t="n">
        <v>579.55</v>
      </c>
      <c r="U181" s="181" t="n">
        <v>592.6</v>
      </c>
      <c r="V181" s="181" t="n">
        <v>607.33</v>
      </c>
      <c r="W181" s="181" t="n">
        <v>623.3200000000001</v>
      </c>
      <c r="X181" s="182" t="n">
        <v>644.36</v>
      </c>
      <c r="Y181" s="183" t="inlineStr">
        <is>
          <t>.</t>
        </is>
      </c>
      <c r="Z181" s="184">
        <f>SUM(AA181:AL181)</f>
        <v/>
      </c>
      <c r="AA181" s="185" t="n">
        <v>0</v>
      </c>
      <c r="AB181" s="185" t="n">
        <v>0</v>
      </c>
      <c r="AC181" s="185" t="n">
        <v>0</v>
      </c>
      <c r="AD181" s="185" t="n">
        <v>0</v>
      </c>
      <c r="AE181" s="185" t="n">
        <v>0</v>
      </c>
      <c r="AF181" s="185" t="n">
        <v>0</v>
      </c>
      <c r="AG181" s="185" t="n">
        <v>0</v>
      </c>
      <c r="AH181" s="185" t="n">
        <v>0</v>
      </c>
      <c r="AI181" s="185" t="n">
        <v>0</v>
      </c>
      <c r="AJ181" s="185" t="n">
        <v>2668.18</v>
      </c>
      <c r="AK181" s="185" t="n">
        <v>0</v>
      </c>
      <c r="AL181" s="186" t="n">
        <v>868.04</v>
      </c>
      <c r="AM181" s="30" t="inlineStr">
        <is>
          <t>.</t>
        </is>
      </c>
      <c r="AN181" s="187">
        <f>IF(L181=0,0,Z181/L181)</f>
        <v/>
      </c>
      <c r="AO181" s="57">
        <f>IF(AN181&gt;=1,"🟢",IF(AN181&gt;=0.7,"🟡",IF(AN181&gt;=0.4,"🟠","🔴")))</f>
        <v/>
      </c>
      <c r="AP181" s="185">
        <f>L181-Z181</f>
        <v/>
      </c>
      <c r="AQ181" s="55">
        <f>RANK(Z181,$Z$4:$Z$503,0)</f>
        <v/>
      </c>
      <c r="AR181" s="39" t="inlineStr">
        <is>
          <t>.</t>
        </is>
      </c>
      <c r="AS181" s="27" t="n"/>
      <c r="AT181" s="27" t="n"/>
      <c r="AU181" s="27" t="n"/>
      <c r="AV181" s="27" t="n"/>
      <c r="AW181" s="27" t="n"/>
      <c r="AX181" s="27" t="n"/>
      <c r="AY181" s="204" t="n"/>
      <c r="AZ181" s="204" t="n"/>
      <c r="BA181" s="38" t="inlineStr">
        <is>
          <t>.</t>
        </is>
      </c>
      <c r="BB181" s="190">
        <f>SUM(BC181:BN181)</f>
        <v/>
      </c>
      <c r="BC181" s="191">
        <f>L181*0.0702730030</f>
        <v/>
      </c>
      <c r="BD181" s="191">
        <f>L181*0.0734327604</f>
        <v/>
      </c>
      <c r="BE181" s="191">
        <f>L181*0.0752022245</f>
        <v/>
      </c>
      <c r="BF181" s="191">
        <f>L181*0.0771612740</f>
        <v/>
      </c>
      <c r="BG181" s="191">
        <f>L181*0.0796890799</f>
        <v/>
      </c>
      <c r="BH181" s="191">
        <f>L181*0.0817745197</f>
        <v/>
      </c>
      <c r="BI181" s="191">
        <f>L181*0.0849342770</f>
        <v/>
      </c>
      <c r="BJ181" s="191">
        <f>L181*0.0870197169</f>
        <v/>
      </c>
      <c r="BK181" s="191">
        <f>L181*0.0889787664</f>
        <v/>
      </c>
      <c r="BL181" s="191">
        <f>L181*0.0911905966</f>
        <v/>
      </c>
      <c r="BM181" s="191">
        <f>L181*0.0935920121</f>
        <v/>
      </c>
      <c r="BN181" s="192">
        <f>L181*0.0967517695</f>
        <v/>
      </c>
      <c r="BO181" s="36" t="inlineStr">
        <is>
          <t>.</t>
        </is>
      </c>
      <c r="BP181" s="193">
        <f>SUM(BQ181:CB181)</f>
        <v/>
      </c>
      <c r="BQ181" s="191">
        <f>MAX(0,BC181-AA181)</f>
        <v/>
      </c>
      <c r="BR181" s="191">
        <f>MAX(0,BD181-AB181)</f>
        <v/>
      </c>
      <c r="BS181" s="191">
        <f>MAX(0,BE181-AC181)</f>
        <v/>
      </c>
      <c r="BT181" s="191">
        <f>MAX(0,BF181-AD181)</f>
        <v/>
      </c>
      <c r="BU181" s="191">
        <f>MAX(0,BG181-AE181)</f>
        <v/>
      </c>
      <c r="BV181" s="191">
        <f>MAX(0,BH181-AF181)</f>
        <v/>
      </c>
      <c r="BW181" s="191">
        <f>MAX(0,BI181-AG181)</f>
        <v/>
      </c>
      <c r="BX181" s="191">
        <f>MAX(0,BJ181-AH181)</f>
        <v/>
      </c>
      <c r="BY181" s="191">
        <f>MAX(0,BK181-AI181)</f>
        <v/>
      </c>
      <c r="BZ181" s="191">
        <f>MAX(0,BL181-AJ181)</f>
        <v/>
      </c>
      <c r="CA181" s="191">
        <f>MAX(0,BM181-AK181)</f>
        <v/>
      </c>
      <c r="CB181" s="192">
        <f>MAX(0,BN181-AL181)</f>
        <v/>
      </c>
    </row>
    <row r="182">
      <c r="A182" s="64" t="inlineStr">
        <is>
          <t>72326119000160</t>
        </is>
      </c>
      <c r="B182" s="57" t="inlineStr">
        <is>
          <t>ASSOCIACAO DOS FENILCETONURICOS E HOMOCI</t>
        </is>
      </c>
      <c r="C182" s="57" t="inlineStr">
        <is>
          <t>SEM GRUPO</t>
        </is>
      </c>
      <c r="D182" s="61" t="inlineStr">
        <is>
          <t>HEMANUELE DITZEL (MANU)</t>
        </is>
      </c>
      <c r="E182" s="30" t="inlineStr">
        <is>
          <t>.</t>
        </is>
      </c>
      <c r="F182" s="63" t="n"/>
      <c r="G182" s="179" t="n"/>
      <c r="H182" s="57" t="n"/>
      <c r="I182" s="57" t="n"/>
      <c r="J182" s="61" t="n"/>
      <c r="K182" s="30" t="inlineStr">
        <is>
          <t>.</t>
        </is>
      </c>
      <c r="L182" s="180" t="n">
        <v>6613.929999999999</v>
      </c>
      <c r="M182" s="181" t="n">
        <v>464.78</v>
      </c>
      <c r="N182" s="181" t="n">
        <v>485.68</v>
      </c>
      <c r="O182" s="181" t="n">
        <v>497.38</v>
      </c>
      <c r="P182" s="181" t="n">
        <v>510.34</v>
      </c>
      <c r="Q182" s="181" t="n">
        <v>527.0599999999999</v>
      </c>
      <c r="R182" s="181" t="n">
        <v>540.85</v>
      </c>
      <c r="S182" s="181" t="n">
        <v>561.75</v>
      </c>
      <c r="T182" s="181" t="n">
        <v>575.54</v>
      </c>
      <c r="U182" s="181" t="n">
        <v>588.5</v>
      </c>
      <c r="V182" s="181" t="n">
        <v>603.13</v>
      </c>
      <c r="W182" s="181" t="n">
        <v>619.01</v>
      </c>
      <c r="X182" s="182" t="n">
        <v>639.91</v>
      </c>
      <c r="Y182" s="183" t="inlineStr">
        <is>
          <t>.</t>
        </is>
      </c>
      <c r="Z182" s="184">
        <f>SUM(AA182:AL182)</f>
        <v/>
      </c>
      <c r="AA182" s="185" t="n">
        <v>0</v>
      </c>
      <c r="AB182" s="185" t="n">
        <v>0</v>
      </c>
      <c r="AC182" s="185" t="n">
        <v>0</v>
      </c>
      <c r="AD182" s="185" t="n">
        <v>0</v>
      </c>
      <c r="AE182" s="185" t="n">
        <v>1331.78</v>
      </c>
      <c r="AF182" s="185" t="n">
        <v>0</v>
      </c>
      <c r="AG182" s="185" t="n">
        <v>0</v>
      </c>
      <c r="AH182" s="185" t="n">
        <v>0</v>
      </c>
      <c r="AI182" s="185" t="n">
        <v>1509.1</v>
      </c>
      <c r="AJ182" s="185" t="n">
        <v>0</v>
      </c>
      <c r="AK182" s="185" t="n">
        <v>0</v>
      </c>
      <c r="AL182" s="186" t="n">
        <v>0</v>
      </c>
      <c r="AM182" s="222" t="n">
        <v>1405.05</v>
      </c>
      <c r="AN182" s="187">
        <f>IF(L182=0,0,Z182/L182)</f>
        <v/>
      </c>
      <c r="AO182" s="57">
        <f>IF(AN182&gt;=1,"🟢",IF(AN182&gt;=0.7,"🟡",IF(AN182&gt;=0.4,"🟠","🔴")))</f>
        <v/>
      </c>
      <c r="AP182" s="185">
        <f>L182-Z182</f>
        <v/>
      </c>
      <c r="AQ182" s="55">
        <f>RANK(Z182,$Z$4:$Z$503,0)</f>
        <v/>
      </c>
      <c r="AR182" s="39" t="inlineStr">
        <is>
          <t>.</t>
        </is>
      </c>
      <c r="AS182" s="27" t="n"/>
      <c r="AT182" s="27" t="n"/>
      <c r="AU182" s="27" t="n"/>
      <c r="AV182" s="27" t="n"/>
      <c r="AW182" s="27" t="n"/>
      <c r="AX182" s="27" t="n"/>
      <c r="AY182" s="204" t="n"/>
      <c r="AZ182" s="204" t="n"/>
      <c r="BA182" s="38" t="inlineStr">
        <is>
          <t>.</t>
        </is>
      </c>
      <c r="BB182" s="190">
        <f>SUM(BC182:BN182)</f>
        <v/>
      </c>
      <c r="BC182" s="191">
        <f>L182*0.0702730030</f>
        <v/>
      </c>
      <c r="BD182" s="191">
        <f>L182*0.0734327604</f>
        <v/>
      </c>
      <c r="BE182" s="191">
        <f>L182*0.0752022245</f>
        <v/>
      </c>
      <c r="BF182" s="191">
        <f>L182*0.0771612740</f>
        <v/>
      </c>
      <c r="BG182" s="191">
        <f>L182*0.0796890799</f>
        <v/>
      </c>
      <c r="BH182" s="191">
        <f>L182*0.0817745197</f>
        <v/>
      </c>
      <c r="BI182" s="191">
        <f>L182*0.0849342770</f>
        <v/>
      </c>
      <c r="BJ182" s="191">
        <f>L182*0.0870197169</f>
        <v/>
      </c>
      <c r="BK182" s="191">
        <f>L182*0.0889787664</f>
        <v/>
      </c>
      <c r="BL182" s="191">
        <f>L182*0.0911905966</f>
        <v/>
      </c>
      <c r="BM182" s="191">
        <f>L182*0.0935920121</f>
        <v/>
      </c>
      <c r="BN182" s="192">
        <f>L182*0.0967517695</f>
        <v/>
      </c>
      <c r="BO182" s="36" t="inlineStr">
        <is>
          <t>.</t>
        </is>
      </c>
      <c r="BP182" s="193">
        <f>SUM(BQ182:CB182)</f>
        <v/>
      </c>
      <c r="BQ182" s="191">
        <f>MAX(0,BC182-AA182)</f>
        <v/>
      </c>
      <c r="BR182" s="191">
        <f>MAX(0,BD182-AB182)</f>
        <v/>
      </c>
      <c r="BS182" s="191">
        <f>MAX(0,BE182-AC182)</f>
        <v/>
      </c>
      <c r="BT182" s="191">
        <f>MAX(0,BF182-AD182)</f>
        <v/>
      </c>
      <c r="BU182" s="191">
        <f>MAX(0,BG182-AE182)</f>
        <v/>
      </c>
      <c r="BV182" s="191">
        <f>MAX(0,BH182-AF182)</f>
        <v/>
      </c>
      <c r="BW182" s="191">
        <f>MAX(0,BI182-AG182)</f>
        <v/>
      </c>
      <c r="BX182" s="191">
        <f>MAX(0,BJ182-AH182)</f>
        <v/>
      </c>
      <c r="BY182" s="191">
        <f>MAX(0,BK182-AI182)</f>
        <v/>
      </c>
      <c r="BZ182" s="191">
        <f>MAX(0,BL182-AJ182)</f>
        <v/>
      </c>
      <c r="CA182" s="191">
        <f>MAX(0,BM182-AK182)</f>
        <v/>
      </c>
      <c r="CB182" s="192">
        <f>MAX(0,BN182-AL182)</f>
        <v/>
      </c>
    </row>
    <row r="183">
      <c r="A183" s="64" t="inlineStr">
        <is>
          <t>17847228000203</t>
        </is>
      </c>
      <c r="B183" s="57" t="inlineStr">
        <is>
          <t>SACOI BRASIL COMERCIO DE ALIMENTOS LTDA</t>
        </is>
      </c>
      <c r="C183" s="57" t="inlineStr">
        <is>
          <t>SEM GRUPO</t>
        </is>
      </c>
      <c r="D183" s="61" t="inlineStr">
        <is>
          <t>LARISSA PADILHA</t>
        </is>
      </c>
      <c r="E183" s="30" t="inlineStr">
        <is>
          <t>.</t>
        </is>
      </c>
      <c r="F183" s="63" t="n"/>
      <c r="G183" s="179" t="n"/>
      <c r="H183" s="57" t="n"/>
      <c r="I183" s="57" t="n"/>
      <c r="J183" s="61" t="n"/>
      <c r="K183" s="30" t="inlineStr">
        <is>
          <t>.</t>
        </is>
      </c>
      <c r="L183" s="180" t="n">
        <v>6582.469999999999</v>
      </c>
      <c r="M183" s="181" t="n">
        <v>462.57</v>
      </c>
      <c r="N183" s="181" t="n">
        <v>483.37</v>
      </c>
      <c r="O183" s="181" t="n">
        <v>495.02</v>
      </c>
      <c r="P183" s="181" t="n">
        <v>507.91</v>
      </c>
      <c r="Q183" s="181" t="n">
        <v>524.55</v>
      </c>
      <c r="R183" s="181" t="n">
        <v>538.28</v>
      </c>
      <c r="S183" s="181" t="n">
        <v>559.08</v>
      </c>
      <c r="T183" s="181" t="n">
        <v>572.8</v>
      </c>
      <c r="U183" s="181" t="n">
        <v>585.7</v>
      </c>
      <c r="V183" s="181" t="n">
        <v>600.26</v>
      </c>
      <c r="W183" s="181" t="n">
        <v>616.0700000000001</v>
      </c>
      <c r="X183" s="182" t="n">
        <v>636.86</v>
      </c>
      <c r="Y183" s="183" t="inlineStr">
        <is>
          <t>.</t>
        </is>
      </c>
      <c r="Z183" s="184">
        <f>SUM(AA183:AL183)</f>
        <v/>
      </c>
      <c r="AA183" s="185" t="n">
        <v>0</v>
      </c>
      <c r="AB183" s="185" t="n">
        <v>0</v>
      </c>
      <c r="AC183" s="185" t="n">
        <v>0</v>
      </c>
      <c r="AD183" s="185" t="n">
        <v>0</v>
      </c>
      <c r="AE183" s="185" t="n">
        <v>0</v>
      </c>
      <c r="AF183" s="185" t="n">
        <v>0</v>
      </c>
      <c r="AG183" s="185" t="n">
        <v>0</v>
      </c>
      <c r="AH183" s="185" t="n">
        <v>0</v>
      </c>
      <c r="AI183" s="185" t="n">
        <v>0</v>
      </c>
      <c r="AJ183" s="185" t="n">
        <v>0</v>
      </c>
      <c r="AK183" s="185" t="n">
        <v>0</v>
      </c>
      <c r="AL183" s="186" t="n">
        <v>2901.08</v>
      </c>
      <c r="AM183" s="30" t="inlineStr">
        <is>
          <t>.</t>
        </is>
      </c>
      <c r="AN183" s="187">
        <f>IF(L183=0,0,Z183/L183)</f>
        <v/>
      </c>
      <c r="AO183" s="57">
        <f>IF(AN183&gt;=1,"🟢",IF(AN183&gt;=0.7,"🟡",IF(AN183&gt;=0.4,"🟠","🔴")))</f>
        <v/>
      </c>
      <c r="AP183" s="185">
        <f>L183-Z183</f>
        <v/>
      </c>
      <c r="AQ183" s="55">
        <f>RANK(Z183,$Z$4:$Z$503,0)</f>
        <v/>
      </c>
      <c r="AR183" s="39" t="inlineStr">
        <is>
          <t>.</t>
        </is>
      </c>
      <c r="AS183" s="27" t="n"/>
      <c r="AT183" s="27" t="n"/>
      <c r="AU183" s="27" t="n"/>
      <c r="AV183" s="27" t="n"/>
      <c r="AW183" s="27" t="n"/>
      <c r="AX183" s="27" t="n"/>
      <c r="AY183" s="204" t="n"/>
      <c r="AZ183" s="204" t="n"/>
      <c r="BA183" s="38" t="inlineStr">
        <is>
          <t>.</t>
        </is>
      </c>
      <c r="BB183" s="190">
        <f>SUM(BC183:BN183)</f>
        <v/>
      </c>
      <c r="BC183" s="191">
        <f>L183*0.0702730030</f>
        <v/>
      </c>
      <c r="BD183" s="191">
        <f>L183*0.0734327604</f>
        <v/>
      </c>
      <c r="BE183" s="191">
        <f>L183*0.0752022245</f>
        <v/>
      </c>
      <c r="BF183" s="191">
        <f>L183*0.0771612740</f>
        <v/>
      </c>
      <c r="BG183" s="191">
        <f>L183*0.0796890799</f>
        <v/>
      </c>
      <c r="BH183" s="191">
        <f>L183*0.0817745197</f>
        <v/>
      </c>
      <c r="BI183" s="191">
        <f>L183*0.0849342770</f>
        <v/>
      </c>
      <c r="BJ183" s="191">
        <f>L183*0.0870197169</f>
        <v/>
      </c>
      <c r="BK183" s="191">
        <f>L183*0.0889787664</f>
        <v/>
      </c>
      <c r="BL183" s="191">
        <f>L183*0.0911905966</f>
        <v/>
      </c>
      <c r="BM183" s="191">
        <f>L183*0.0935920121</f>
        <v/>
      </c>
      <c r="BN183" s="192">
        <f>L183*0.0967517695</f>
        <v/>
      </c>
      <c r="BO183" s="36" t="inlineStr">
        <is>
          <t>.</t>
        </is>
      </c>
      <c r="BP183" s="193">
        <f>SUM(BQ183:CB183)</f>
        <v/>
      </c>
      <c r="BQ183" s="191">
        <f>MAX(0,BC183-AA183)</f>
        <v/>
      </c>
      <c r="BR183" s="191">
        <f>MAX(0,BD183-AB183)</f>
        <v/>
      </c>
      <c r="BS183" s="191">
        <f>MAX(0,BE183-AC183)</f>
        <v/>
      </c>
      <c r="BT183" s="191">
        <f>MAX(0,BF183-AD183)</f>
        <v/>
      </c>
      <c r="BU183" s="191">
        <f>MAX(0,BG183-AE183)</f>
        <v/>
      </c>
      <c r="BV183" s="191">
        <f>MAX(0,BH183-AF183)</f>
        <v/>
      </c>
      <c r="BW183" s="191">
        <f>MAX(0,BI183-AG183)</f>
        <v/>
      </c>
      <c r="BX183" s="191">
        <f>MAX(0,BJ183-AH183)</f>
        <v/>
      </c>
      <c r="BY183" s="191">
        <f>MAX(0,BK183-AI183)</f>
        <v/>
      </c>
      <c r="BZ183" s="191">
        <f>MAX(0,BL183-AJ183)</f>
        <v/>
      </c>
      <c r="CA183" s="191">
        <f>MAX(0,BM183-AK183)</f>
        <v/>
      </c>
      <c r="CB183" s="192">
        <f>MAX(0,BN183-AL183)</f>
        <v/>
      </c>
    </row>
    <row r="184">
      <c r="A184" s="64" t="inlineStr">
        <is>
          <t>40185487000149</t>
        </is>
      </c>
      <c r="B184" s="57" t="inlineStr">
        <is>
          <t>40.185.487 ANTONIO JURANDI DA SILVA - ME</t>
        </is>
      </c>
      <c r="C184" s="57" t="inlineStr">
        <is>
          <t>SEM GRUPO</t>
        </is>
      </c>
      <c r="D184" s="61" t="inlineStr">
        <is>
          <t>LARISSA PADILHA</t>
        </is>
      </c>
      <c r="E184" s="30" t="inlineStr">
        <is>
          <t>.</t>
        </is>
      </c>
      <c r="F184" s="63" t="n"/>
      <c r="G184" s="179" t="n"/>
      <c r="H184" s="57" t="n"/>
      <c r="I184" s="57" t="n"/>
      <c r="J184" s="61" t="n"/>
      <c r="K184" s="30" t="inlineStr">
        <is>
          <t>.</t>
        </is>
      </c>
      <c r="L184" s="180" t="n">
        <v>6580</v>
      </c>
      <c r="M184" s="181" t="n">
        <v>462.4</v>
      </c>
      <c r="N184" s="181" t="n">
        <v>483.19</v>
      </c>
      <c r="O184" s="181" t="n">
        <v>494.83</v>
      </c>
      <c r="P184" s="181" t="n">
        <v>507.72</v>
      </c>
      <c r="Q184" s="181" t="n">
        <v>524.35</v>
      </c>
      <c r="R184" s="181" t="n">
        <v>538.08</v>
      </c>
      <c r="S184" s="181" t="n">
        <v>558.87</v>
      </c>
      <c r="T184" s="181" t="n">
        <v>572.59</v>
      </c>
      <c r="U184" s="181" t="n">
        <v>585.48</v>
      </c>
      <c r="V184" s="181" t="n">
        <v>600.03</v>
      </c>
      <c r="W184" s="181" t="n">
        <v>615.83</v>
      </c>
      <c r="X184" s="182" t="n">
        <v>636.63</v>
      </c>
      <c r="Y184" s="183" t="inlineStr">
        <is>
          <t>.</t>
        </is>
      </c>
      <c r="Z184" s="184">
        <f>SUM(AA184:AL184)</f>
        <v/>
      </c>
      <c r="AA184" s="185" t="n">
        <v>0</v>
      </c>
      <c r="AB184" s="185" t="n">
        <v>0</v>
      </c>
      <c r="AC184" s="185" t="n">
        <v>0</v>
      </c>
      <c r="AD184" s="185" t="n">
        <v>896.7</v>
      </c>
      <c r="AE184" s="185" t="n">
        <v>0</v>
      </c>
      <c r="AF184" s="185" t="n">
        <v>815.73</v>
      </c>
      <c r="AG184" s="185" t="n">
        <v>0</v>
      </c>
      <c r="AH184" s="185" t="n">
        <v>851.05</v>
      </c>
      <c r="AI184" s="185" t="n">
        <v>0</v>
      </c>
      <c r="AJ184" s="185" t="n">
        <v>0</v>
      </c>
      <c r="AK184" s="185" t="n">
        <v>0</v>
      </c>
      <c r="AL184" s="186" t="n">
        <v>0</v>
      </c>
      <c r="AM184" s="30" t="inlineStr">
        <is>
          <t>.</t>
        </is>
      </c>
      <c r="AN184" s="187">
        <f>IF(L184=0,0,Z184/L184)</f>
        <v/>
      </c>
      <c r="AO184" s="57">
        <f>IF(AN184&gt;=1,"🟢",IF(AN184&gt;=0.7,"🟡",IF(AN184&gt;=0.4,"🟠","🔴")))</f>
        <v/>
      </c>
      <c r="AP184" s="185">
        <f>L184-Z184</f>
        <v/>
      </c>
      <c r="AQ184" s="55">
        <f>RANK(Z184,$Z$4:$Z$503,0)</f>
        <v/>
      </c>
      <c r="AR184" s="39" t="inlineStr">
        <is>
          <t>.</t>
        </is>
      </c>
      <c r="AS184" s="27" t="n"/>
      <c r="AT184" s="27" t="n"/>
      <c r="AU184" s="27" t="n"/>
      <c r="AV184" s="27" t="n"/>
      <c r="AW184" s="27" t="n"/>
      <c r="AX184" s="27" t="n"/>
      <c r="AY184" s="204" t="n"/>
      <c r="AZ184" s="204" t="n"/>
      <c r="BA184" s="38" t="inlineStr">
        <is>
          <t>.</t>
        </is>
      </c>
      <c r="BB184" s="190">
        <f>SUM(BC184:BN184)</f>
        <v/>
      </c>
      <c r="BC184" s="191">
        <f>L184*0.0702730030</f>
        <v/>
      </c>
      <c r="BD184" s="191">
        <f>L184*0.0734327604</f>
        <v/>
      </c>
      <c r="BE184" s="191">
        <f>L184*0.0752022245</f>
        <v/>
      </c>
      <c r="BF184" s="191">
        <f>L184*0.0771612740</f>
        <v/>
      </c>
      <c r="BG184" s="191">
        <f>L184*0.0796890799</f>
        <v/>
      </c>
      <c r="BH184" s="191">
        <f>L184*0.0817745197</f>
        <v/>
      </c>
      <c r="BI184" s="191">
        <f>L184*0.0849342770</f>
        <v/>
      </c>
      <c r="BJ184" s="191">
        <f>L184*0.0870197169</f>
        <v/>
      </c>
      <c r="BK184" s="191">
        <f>L184*0.0889787664</f>
        <v/>
      </c>
      <c r="BL184" s="191">
        <f>L184*0.0911905966</f>
        <v/>
      </c>
      <c r="BM184" s="191">
        <f>L184*0.0935920121</f>
        <v/>
      </c>
      <c r="BN184" s="192">
        <f>L184*0.0967517695</f>
        <v/>
      </c>
      <c r="BO184" s="36" t="inlineStr">
        <is>
          <t>.</t>
        </is>
      </c>
      <c r="BP184" s="193">
        <f>SUM(BQ184:CB184)</f>
        <v/>
      </c>
      <c r="BQ184" s="191">
        <f>MAX(0,BC184-AA184)</f>
        <v/>
      </c>
      <c r="BR184" s="191">
        <f>MAX(0,BD184-AB184)</f>
        <v/>
      </c>
      <c r="BS184" s="191">
        <f>MAX(0,BE184-AC184)</f>
        <v/>
      </c>
      <c r="BT184" s="191">
        <f>MAX(0,BF184-AD184)</f>
        <v/>
      </c>
      <c r="BU184" s="191">
        <f>MAX(0,BG184-AE184)</f>
        <v/>
      </c>
      <c r="BV184" s="191">
        <f>MAX(0,BH184-AF184)</f>
        <v/>
      </c>
      <c r="BW184" s="191">
        <f>MAX(0,BI184-AG184)</f>
        <v/>
      </c>
      <c r="BX184" s="191">
        <f>MAX(0,BJ184-AH184)</f>
        <v/>
      </c>
      <c r="BY184" s="191">
        <f>MAX(0,BK184-AI184)</f>
        <v/>
      </c>
      <c r="BZ184" s="191">
        <f>MAX(0,BL184-AJ184)</f>
        <v/>
      </c>
      <c r="CA184" s="191">
        <f>MAX(0,BM184-AK184)</f>
        <v/>
      </c>
      <c r="CB184" s="192">
        <f>MAX(0,BN184-AL184)</f>
        <v/>
      </c>
    </row>
    <row r="185">
      <c r="A185" s="64" t="inlineStr">
        <is>
          <t>62617017000140</t>
        </is>
      </c>
      <c r="B185" s="57" t="inlineStr">
        <is>
          <t>CASANOVA PRODUTOS NATURAIS LTDA - ME</t>
        </is>
      </c>
      <c r="C185" s="57" t="inlineStr">
        <is>
          <t>VIDA LEVE</t>
        </is>
      </c>
      <c r="D185" s="61" t="inlineStr">
        <is>
          <t>DAIANE STAVICKI</t>
        </is>
      </c>
      <c r="E185" s="30" t="inlineStr">
        <is>
          <t>.</t>
        </is>
      </c>
      <c r="F185" s="63" t="n">
        <v>81</v>
      </c>
      <c r="G185" s="179" t="n">
        <v>0.08</v>
      </c>
      <c r="H185" s="57" t="inlineStr">
        <is>
          <t>🔴 VERMELHO</t>
        </is>
      </c>
      <c r="I185" s="57" t="inlineStr">
        <is>
          <t>ATIVAÇÃO</t>
        </is>
      </c>
      <c r="J185" s="61" t="inlineStr">
        <is>
          <t>Reativar inativos + Prospectar</t>
        </is>
      </c>
      <c r="K185" s="30" t="inlineStr">
        <is>
          <t>.</t>
        </is>
      </c>
      <c r="L185" s="180" t="n">
        <v>6499.409999999999</v>
      </c>
      <c r="M185" s="181" t="n">
        <v>456.73</v>
      </c>
      <c r="N185" s="181" t="n">
        <v>477.27</v>
      </c>
      <c r="O185" s="181" t="n">
        <v>488.77</v>
      </c>
      <c r="P185" s="181" t="n">
        <v>501.5</v>
      </c>
      <c r="Q185" s="181" t="n">
        <v>517.9299999999999</v>
      </c>
      <c r="R185" s="181" t="n">
        <v>531.49</v>
      </c>
      <c r="S185" s="181" t="n">
        <v>552.02</v>
      </c>
      <c r="T185" s="181" t="n">
        <v>565.58</v>
      </c>
      <c r="U185" s="181" t="n">
        <v>578.3099999999999</v>
      </c>
      <c r="V185" s="181" t="n">
        <v>592.6900000000001</v>
      </c>
      <c r="W185" s="181" t="n">
        <v>608.29</v>
      </c>
      <c r="X185" s="182" t="n">
        <v>628.83</v>
      </c>
      <c r="Y185" s="183" t="inlineStr">
        <is>
          <t>.</t>
        </is>
      </c>
      <c r="Z185" s="184">
        <f>SUM(AA185:AL185)</f>
        <v/>
      </c>
      <c r="AA185" s="185" t="n">
        <v>0</v>
      </c>
      <c r="AB185" s="185" t="n">
        <v>0</v>
      </c>
      <c r="AC185" s="185" t="n">
        <v>0</v>
      </c>
      <c r="AD185" s="185" t="n">
        <v>0</v>
      </c>
      <c r="AE185" s="185" t="n">
        <v>0</v>
      </c>
      <c r="AF185" s="185" t="n">
        <v>0</v>
      </c>
      <c r="AG185" s="185" t="n">
        <v>0</v>
      </c>
      <c r="AH185" s="185" t="n">
        <v>0</v>
      </c>
      <c r="AI185" s="185" t="n">
        <v>0</v>
      </c>
      <c r="AJ185" s="185" t="n">
        <v>2121.82</v>
      </c>
      <c r="AK185" s="185" t="n">
        <v>0</v>
      </c>
      <c r="AL185" s="186" t="n">
        <v>0</v>
      </c>
      <c r="AM185" s="30" t="inlineStr">
        <is>
          <t>.</t>
        </is>
      </c>
      <c r="AN185" s="187">
        <f>IF(L185=0,0,Z185/L185)</f>
        <v/>
      </c>
      <c r="AO185" s="57">
        <f>IF(AN185&gt;=1,"🟢",IF(AN185&gt;=0.7,"🟡",IF(AN185&gt;=0.4,"🟠","🔴")))</f>
        <v/>
      </c>
      <c r="AP185" s="185">
        <f>L185-Z185</f>
        <v/>
      </c>
      <c r="AQ185" s="55">
        <f>RANK(Z185,$Z$4:$Z$503,0)</f>
        <v/>
      </c>
      <c r="AR185" s="39" t="inlineStr">
        <is>
          <t>.</t>
        </is>
      </c>
      <c r="AS185" s="27" t="n"/>
      <c r="AT185" s="27" t="n"/>
      <c r="AU185" s="27" t="n"/>
      <c r="AV185" s="27" t="n"/>
      <c r="AW185" s="27" t="n"/>
      <c r="AX185" s="27" t="n"/>
      <c r="AY185" s="204" t="n"/>
      <c r="AZ185" s="204" t="n"/>
      <c r="BA185" s="38" t="inlineStr">
        <is>
          <t>.</t>
        </is>
      </c>
      <c r="BB185" s="190">
        <f>SUM(BC185:BN185)</f>
        <v/>
      </c>
      <c r="BC185" s="191">
        <f>L185*0.0702730030</f>
        <v/>
      </c>
      <c r="BD185" s="191">
        <f>L185*0.0734327604</f>
        <v/>
      </c>
      <c r="BE185" s="191">
        <f>L185*0.0752022245</f>
        <v/>
      </c>
      <c r="BF185" s="191">
        <f>L185*0.0771612740</f>
        <v/>
      </c>
      <c r="BG185" s="191">
        <f>L185*0.0796890799</f>
        <v/>
      </c>
      <c r="BH185" s="191">
        <f>L185*0.0817745197</f>
        <v/>
      </c>
      <c r="BI185" s="191">
        <f>L185*0.0849342770</f>
        <v/>
      </c>
      <c r="BJ185" s="191">
        <f>L185*0.0870197169</f>
        <v/>
      </c>
      <c r="BK185" s="191">
        <f>L185*0.0889787664</f>
        <v/>
      </c>
      <c r="BL185" s="191">
        <f>L185*0.0911905966</f>
        <v/>
      </c>
      <c r="BM185" s="191">
        <f>L185*0.0935920121</f>
        <v/>
      </c>
      <c r="BN185" s="192">
        <f>L185*0.0967517695</f>
        <v/>
      </c>
      <c r="BO185" s="36" t="inlineStr">
        <is>
          <t>.</t>
        </is>
      </c>
      <c r="BP185" s="193">
        <f>SUM(BQ185:CB185)</f>
        <v/>
      </c>
      <c r="BQ185" s="191">
        <f>MAX(0,BC185-AA185)</f>
        <v/>
      </c>
      <c r="BR185" s="191">
        <f>MAX(0,BD185-AB185)</f>
        <v/>
      </c>
      <c r="BS185" s="191">
        <f>MAX(0,BE185-AC185)</f>
        <v/>
      </c>
      <c r="BT185" s="191">
        <f>MAX(0,BF185-AD185)</f>
        <v/>
      </c>
      <c r="BU185" s="191">
        <f>MAX(0,BG185-AE185)</f>
        <v/>
      </c>
      <c r="BV185" s="191">
        <f>MAX(0,BH185-AF185)</f>
        <v/>
      </c>
      <c r="BW185" s="191">
        <f>MAX(0,BI185-AG185)</f>
        <v/>
      </c>
      <c r="BX185" s="191">
        <f>MAX(0,BJ185-AH185)</f>
        <v/>
      </c>
      <c r="BY185" s="191">
        <f>MAX(0,BK185-AI185)</f>
        <v/>
      </c>
      <c r="BZ185" s="191">
        <f>MAX(0,BL185-AJ185)</f>
        <v/>
      </c>
      <c r="CA185" s="191">
        <f>MAX(0,BM185-AK185)</f>
        <v/>
      </c>
      <c r="CB185" s="192">
        <f>MAX(0,BN185-AL185)</f>
        <v/>
      </c>
    </row>
    <row r="186">
      <c r="A186" s="64" t="inlineStr">
        <is>
          <t>57701048000144</t>
        </is>
      </c>
      <c r="B186" s="57" t="inlineStr">
        <is>
          <t>PRO FIT SUPLEMENTOS LTDA - ME</t>
        </is>
      </c>
      <c r="C186" s="57" t="inlineStr">
        <is>
          <t>FITLAND</t>
        </is>
      </c>
      <c r="D186" s="61" t="inlineStr">
        <is>
          <t>JULIO GADRET</t>
        </is>
      </c>
      <c r="E186" s="30" t="inlineStr">
        <is>
          <t>.</t>
        </is>
      </c>
      <c r="F186" s="63" t="n">
        <v>89</v>
      </c>
      <c r="G186" s="179" t="n">
        <v>0.298</v>
      </c>
      <c r="H186" s="57" t="inlineStr">
        <is>
          <t>🔴 VERMELHO</t>
        </is>
      </c>
      <c r="I186" s="57" t="inlineStr">
        <is>
          <t>POSITIVAÇÃO</t>
        </is>
      </c>
      <c r="J186" s="61" t="inlineStr">
        <is>
          <t>Aumentar frequência + Expandir base</t>
        </is>
      </c>
      <c r="K186" s="30" t="inlineStr">
        <is>
          <t>.</t>
        </is>
      </c>
      <c r="L186" s="180" t="n">
        <v>6388.07</v>
      </c>
      <c r="M186" s="181" t="n">
        <v>448.91</v>
      </c>
      <c r="N186" s="181" t="n">
        <v>469.09</v>
      </c>
      <c r="O186" s="181" t="n">
        <v>480.4</v>
      </c>
      <c r="P186" s="181" t="n">
        <v>492.91</v>
      </c>
      <c r="Q186" s="181" t="n">
        <v>509.06</v>
      </c>
      <c r="R186" s="181" t="n">
        <v>522.38</v>
      </c>
      <c r="S186" s="181" t="n">
        <v>542.5700000000001</v>
      </c>
      <c r="T186" s="181" t="n">
        <v>555.89</v>
      </c>
      <c r="U186" s="181" t="n">
        <v>568.4</v>
      </c>
      <c r="V186" s="181" t="n">
        <v>582.53</v>
      </c>
      <c r="W186" s="181" t="n">
        <v>597.87</v>
      </c>
      <c r="X186" s="182" t="n">
        <v>618.0599999999999</v>
      </c>
      <c r="Y186" s="183" t="inlineStr">
        <is>
          <t>.</t>
        </is>
      </c>
      <c r="Z186" s="184">
        <f>SUM(AA186:AL186)</f>
        <v/>
      </c>
      <c r="AA186" s="185" t="n">
        <v>0</v>
      </c>
      <c r="AB186" s="185" t="n">
        <v>0</v>
      </c>
      <c r="AC186" s="185" t="n">
        <v>0</v>
      </c>
      <c r="AD186" s="185" t="n">
        <v>0</v>
      </c>
      <c r="AE186" s="185" t="n">
        <v>0</v>
      </c>
      <c r="AF186" s="185" t="n">
        <v>1209.23</v>
      </c>
      <c r="AG186" s="185" t="n">
        <v>0</v>
      </c>
      <c r="AH186" s="185" t="n">
        <v>0</v>
      </c>
      <c r="AI186" s="185" t="n">
        <v>1529.61</v>
      </c>
      <c r="AJ186" s="185" t="n">
        <v>0</v>
      </c>
      <c r="AK186" s="185" t="n">
        <v>0</v>
      </c>
      <c r="AL186" s="186" t="n">
        <v>0</v>
      </c>
      <c r="AM186" s="30" t="inlineStr">
        <is>
          <t>.</t>
        </is>
      </c>
      <c r="AN186" s="187">
        <f>IF(L186=0,0,Z186/L186)</f>
        <v/>
      </c>
      <c r="AO186" s="57">
        <f>IF(AN186&gt;=1,"🟢",IF(AN186&gt;=0.7,"🟡",IF(AN186&gt;=0.4,"🟠","🔴")))</f>
        <v/>
      </c>
      <c r="AP186" s="185">
        <f>L186-Z186</f>
        <v/>
      </c>
      <c r="AQ186" s="55">
        <f>RANK(Z186,$Z$4:$Z$503,0)</f>
        <v/>
      </c>
      <c r="AR186" s="39" t="inlineStr">
        <is>
          <t>.</t>
        </is>
      </c>
      <c r="AS186" s="27" t="n"/>
      <c r="AT186" s="27" t="n"/>
      <c r="AU186" s="27" t="n"/>
      <c r="AV186" s="27" t="n"/>
      <c r="AW186" s="27" t="n"/>
      <c r="AX186" s="27" t="n"/>
      <c r="AY186" s="204" t="n"/>
      <c r="AZ186" s="204" t="n"/>
      <c r="BA186" s="38" t="inlineStr">
        <is>
          <t>.</t>
        </is>
      </c>
      <c r="BB186" s="190">
        <f>SUM(BC186:BN186)</f>
        <v/>
      </c>
      <c r="BC186" s="191">
        <f>L186*0.0702730030</f>
        <v/>
      </c>
      <c r="BD186" s="191">
        <f>L186*0.0734327604</f>
        <v/>
      </c>
      <c r="BE186" s="191">
        <f>L186*0.0752022245</f>
        <v/>
      </c>
      <c r="BF186" s="191">
        <f>L186*0.0771612740</f>
        <v/>
      </c>
      <c r="BG186" s="191">
        <f>L186*0.0796890799</f>
        <v/>
      </c>
      <c r="BH186" s="191">
        <f>L186*0.0817745197</f>
        <v/>
      </c>
      <c r="BI186" s="191">
        <f>L186*0.0849342770</f>
        <v/>
      </c>
      <c r="BJ186" s="191">
        <f>L186*0.0870197169</f>
        <v/>
      </c>
      <c r="BK186" s="191">
        <f>L186*0.0889787664</f>
        <v/>
      </c>
      <c r="BL186" s="191">
        <f>L186*0.0911905966</f>
        <v/>
      </c>
      <c r="BM186" s="191">
        <f>L186*0.0935920121</f>
        <v/>
      </c>
      <c r="BN186" s="192">
        <f>L186*0.0967517695</f>
        <v/>
      </c>
      <c r="BO186" s="36" t="inlineStr">
        <is>
          <t>.</t>
        </is>
      </c>
      <c r="BP186" s="193">
        <f>SUM(BQ186:CB186)</f>
        <v/>
      </c>
      <c r="BQ186" s="191">
        <f>MAX(0,BC186-AA186)</f>
        <v/>
      </c>
      <c r="BR186" s="191">
        <f>MAX(0,BD186-AB186)</f>
        <v/>
      </c>
      <c r="BS186" s="191">
        <f>MAX(0,BE186-AC186)</f>
        <v/>
      </c>
      <c r="BT186" s="191">
        <f>MAX(0,BF186-AD186)</f>
        <v/>
      </c>
      <c r="BU186" s="191">
        <f>MAX(0,BG186-AE186)</f>
        <v/>
      </c>
      <c r="BV186" s="191">
        <f>MAX(0,BH186-AF186)</f>
        <v/>
      </c>
      <c r="BW186" s="191">
        <f>MAX(0,BI186-AG186)</f>
        <v/>
      </c>
      <c r="BX186" s="191">
        <f>MAX(0,BJ186-AH186)</f>
        <v/>
      </c>
      <c r="BY186" s="191">
        <f>MAX(0,BK186-AI186)</f>
        <v/>
      </c>
      <c r="BZ186" s="191">
        <f>MAX(0,BL186-AJ186)</f>
        <v/>
      </c>
      <c r="CA186" s="191">
        <f>MAX(0,BM186-AK186)</f>
        <v/>
      </c>
      <c r="CB186" s="192">
        <f>MAX(0,BN186-AL186)</f>
        <v/>
      </c>
    </row>
    <row r="187">
      <c r="A187" s="64" t="inlineStr">
        <is>
          <t>42502454000100</t>
        </is>
      </c>
      <c r="B187" s="57" t="inlineStr">
        <is>
          <t>REDE HIPER GRAO DE BACAXA LTDA - EPP</t>
        </is>
      </c>
      <c r="C187" s="57" t="inlineStr">
        <is>
          <t>SEM GRUPO</t>
        </is>
      </c>
      <c r="D187" s="61" t="inlineStr">
        <is>
          <t>LARISSA PADILHA</t>
        </is>
      </c>
      <c r="E187" s="30" t="inlineStr">
        <is>
          <t>.</t>
        </is>
      </c>
      <c r="F187" s="63" t="n"/>
      <c r="G187" s="179" t="n"/>
      <c r="H187" s="57" t="n"/>
      <c r="I187" s="57" t="n"/>
      <c r="J187" s="61" t="n"/>
      <c r="K187" s="30" t="inlineStr">
        <is>
          <t>.</t>
        </is>
      </c>
      <c r="L187" s="180" t="n">
        <v>6386.79</v>
      </c>
      <c r="M187" s="181" t="n">
        <v>448.82</v>
      </c>
      <c r="N187" s="181" t="n">
        <v>469</v>
      </c>
      <c r="O187" s="181" t="n">
        <v>480.3</v>
      </c>
      <c r="P187" s="181" t="n">
        <v>492.81</v>
      </c>
      <c r="Q187" s="181" t="n">
        <v>508.96</v>
      </c>
      <c r="R187" s="181" t="n">
        <v>522.28</v>
      </c>
      <c r="S187" s="181" t="n">
        <v>542.46</v>
      </c>
      <c r="T187" s="181" t="n">
        <v>555.78</v>
      </c>
      <c r="U187" s="181" t="n">
        <v>568.29</v>
      </c>
      <c r="V187" s="181" t="n">
        <v>582.41</v>
      </c>
      <c r="W187" s="181" t="n">
        <v>597.75</v>
      </c>
      <c r="X187" s="182" t="n">
        <v>617.9299999999999</v>
      </c>
      <c r="Y187" s="183" t="inlineStr">
        <is>
          <t>.</t>
        </is>
      </c>
      <c r="Z187" s="184">
        <f>SUM(AA187:AL187)</f>
        <v/>
      </c>
      <c r="AA187" s="185" t="n">
        <v>0</v>
      </c>
      <c r="AB187" s="185" t="n">
        <v>0</v>
      </c>
      <c r="AC187" s="185" t="n">
        <v>0</v>
      </c>
      <c r="AD187" s="185" t="n">
        <v>0</v>
      </c>
      <c r="AE187" s="185" t="n">
        <v>1360.01</v>
      </c>
      <c r="AF187" s="185" t="n">
        <v>0</v>
      </c>
      <c r="AG187" s="185" t="n">
        <v>0</v>
      </c>
      <c r="AH187" s="185" t="n">
        <v>1314.53</v>
      </c>
      <c r="AI187" s="185" t="n">
        <v>0</v>
      </c>
      <c r="AJ187" s="185" t="n">
        <v>0</v>
      </c>
      <c r="AK187" s="185" t="n">
        <v>0</v>
      </c>
      <c r="AL187" s="186" t="n">
        <v>0</v>
      </c>
      <c r="AM187" s="30" t="inlineStr">
        <is>
          <t>.</t>
        </is>
      </c>
      <c r="AN187" s="187">
        <f>IF(L187=0,0,Z187/L187)</f>
        <v/>
      </c>
      <c r="AO187" s="57">
        <f>IF(AN187&gt;=1,"🟢",IF(AN187&gt;=0.7,"🟡",IF(AN187&gt;=0.4,"🟠","🔴")))</f>
        <v/>
      </c>
      <c r="AP187" s="185">
        <f>L187-Z187</f>
        <v/>
      </c>
      <c r="AQ187" s="55">
        <f>RANK(Z187,$Z$4:$Z$503,0)</f>
        <v/>
      </c>
      <c r="AR187" s="39" t="inlineStr">
        <is>
          <t>.</t>
        </is>
      </c>
      <c r="AS187" s="27" t="n"/>
      <c r="AT187" s="27" t="n"/>
      <c r="AU187" s="27" t="n"/>
      <c r="AV187" s="27" t="n"/>
      <c r="AW187" s="27" t="n"/>
      <c r="AX187" s="27" t="n"/>
      <c r="AY187" s="204" t="n"/>
      <c r="AZ187" s="204" t="n"/>
      <c r="BA187" s="38" t="inlineStr">
        <is>
          <t>.</t>
        </is>
      </c>
      <c r="BB187" s="190">
        <f>SUM(BC187:BN187)</f>
        <v/>
      </c>
      <c r="BC187" s="191">
        <f>L187*0.0702730030</f>
        <v/>
      </c>
      <c r="BD187" s="191">
        <f>L187*0.0734327604</f>
        <v/>
      </c>
      <c r="BE187" s="191">
        <f>L187*0.0752022245</f>
        <v/>
      </c>
      <c r="BF187" s="191">
        <f>L187*0.0771612740</f>
        <v/>
      </c>
      <c r="BG187" s="191">
        <f>L187*0.0796890799</f>
        <v/>
      </c>
      <c r="BH187" s="191">
        <f>L187*0.0817745197</f>
        <v/>
      </c>
      <c r="BI187" s="191">
        <f>L187*0.0849342770</f>
        <v/>
      </c>
      <c r="BJ187" s="191">
        <f>L187*0.0870197169</f>
        <v/>
      </c>
      <c r="BK187" s="191">
        <f>L187*0.0889787664</f>
        <v/>
      </c>
      <c r="BL187" s="191">
        <f>L187*0.0911905966</f>
        <v/>
      </c>
      <c r="BM187" s="191">
        <f>L187*0.0935920121</f>
        <v/>
      </c>
      <c r="BN187" s="192">
        <f>L187*0.0967517695</f>
        <v/>
      </c>
      <c r="BO187" s="36" t="inlineStr">
        <is>
          <t>.</t>
        </is>
      </c>
      <c r="BP187" s="193">
        <f>SUM(BQ187:CB187)</f>
        <v/>
      </c>
      <c r="BQ187" s="191">
        <f>MAX(0,BC187-AA187)</f>
        <v/>
      </c>
      <c r="BR187" s="191">
        <f>MAX(0,BD187-AB187)</f>
        <v/>
      </c>
      <c r="BS187" s="191">
        <f>MAX(0,BE187-AC187)</f>
        <v/>
      </c>
      <c r="BT187" s="191">
        <f>MAX(0,BF187-AD187)</f>
        <v/>
      </c>
      <c r="BU187" s="191">
        <f>MAX(0,BG187-AE187)</f>
        <v/>
      </c>
      <c r="BV187" s="191">
        <f>MAX(0,BH187-AF187)</f>
        <v/>
      </c>
      <c r="BW187" s="191">
        <f>MAX(0,BI187-AG187)</f>
        <v/>
      </c>
      <c r="BX187" s="191">
        <f>MAX(0,BJ187-AH187)</f>
        <v/>
      </c>
      <c r="BY187" s="191">
        <f>MAX(0,BK187-AI187)</f>
        <v/>
      </c>
      <c r="BZ187" s="191">
        <f>MAX(0,BL187-AJ187)</f>
        <v/>
      </c>
      <c r="CA187" s="191">
        <f>MAX(0,BM187-AK187)</f>
        <v/>
      </c>
      <c r="CB187" s="192">
        <f>MAX(0,BN187-AL187)</f>
        <v/>
      </c>
    </row>
    <row r="188">
      <c r="A188" s="64" t="inlineStr">
        <is>
          <t>30194738000360</t>
        </is>
      </c>
      <c r="B188" s="57" t="inlineStr">
        <is>
          <t>JOELLY COSMETICOS LTDA - ME</t>
        </is>
      </c>
      <c r="C188" s="57" t="inlineStr">
        <is>
          <t>SEM GRUPO</t>
        </is>
      </c>
      <c r="D188" s="61" t="inlineStr">
        <is>
          <t>LARISSA PADILHA</t>
        </is>
      </c>
      <c r="E188" s="30" t="inlineStr">
        <is>
          <t>.</t>
        </is>
      </c>
      <c r="F188" s="63" t="n"/>
      <c r="G188" s="179" t="n"/>
      <c r="H188" s="57" t="n"/>
      <c r="I188" s="57" t="n"/>
      <c r="J188" s="61" t="n"/>
      <c r="K188" s="30" t="inlineStr">
        <is>
          <t>.</t>
        </is>
      </c>
      <c r="L188" s="180" t="n">
        <v>6381.88</v>
      </c>
      <c r="M188" s="181" t="n">
        <v>448.47</v>
      </c>
      <c r="N188" s="181" t="n">
        <v>468.64</v>
      </c>
      <c r="O188" s="181" t="n">
        <v>479.93</v>
      </c>
      <c r="P188" s="181" t="n">
        <v>492.43</v>
      </c>
      <c r="Q188" s="181" t="n">
        <v>508.57</v>
      </c>
      <c r="R188" s="181" t="n">
        <v>521.88</v>
      </c>
      <c r="S188" s="181" t="n">
        <v>542.04</v>
      </c>
      <c r="T188" s="181" t="n">
        <v>555.35</v>
      </c>
      <c r="U188" s="181" t="n">
        <v>567.85</v>
      </c>
      <c r="V188" s="181" t="n">
        <v>581.97</v>
      </c>
      <c r="W188" s="181" t="n">
        <v>597.29</v>
      </c>
      <c r="X188" s="182" t="n">
        <v>617.46</v>
      </c>
      <c r="Y188" s="183" t="inlineStr">
        <is>
          <t>.</t>
        </is>
      </c>
      <c r="Z188" s="184">
        <f>SUM(AA188:AL188)</f>
        <v/>
      </c>
      <c r="AA188" s="185" t="n">
        <v>0</v>
      </c>
      <c r="AB188" s="185" t="n">
        <v>0</v>
      </c>
      <c r="AC188" s="185" t="n">
        <v>0</v>
      </c>
      <c r="AD188" s="185" t="n">
        <v>0</v>
      </c>
      <c r="AE188" s="185" t="n">
        <v>0</v>
      </c>
      <c r="AF188" s="185" t="n">
        <v>0</v>
      </c>
      <c r="AG188" s="185" t="n">
        <v>0</v>
      </c>
      <c r="AH188" s="185" t="n">
        <v>0</v>
      </c>
      <c r="AI188" s="185" t="n">
        <v>0</v>
      </c>
      <c r="AJ188" s="185" t="n">
        <v>0</v>
      </c>
      <c r="AK188" s="185" t="n">
        <v>3404.23</v>
      </c>
      <c r="AL188" s="186" t="n">
        <v>0</v>
      </c>
      <c r="AM188" s="30" t="inlineStr">
        <is>
          <t>.</t>
        </is>
      </c>
      <c r="AN188" s="187">
        <f>IF(L188=0,0,Z188/L188)</f>
        <v/>
      </c>
      <c r="AO188" s="57">
        <f>IF(AN188&gt;=1,"🟢",IF(AN188&gt;=0.7,"🟡",IF(AN188&gt;=0.4,"🟠","🔴")))</f>
        <v/>
      </c>
      <c r="AP188" s="185">
        <f>L188-Z188</f>
        <v/>
      </c>
      <c r="AQ188" s="55">
        <f>RANK(Z188,$Z$4:$Z$503,0)</f>
        <v/>
      </c>
      <c r="AR188" s="39" t="inlineStr">
        <is>
          <t>.</t>
        </is>
      </c>
      <c r="AS188" s="27" t="n"/>
      <c r="AT188" s="27" t="n"/>
      <c r="AU188" s="27" t="n"/>
      <c r="AV188" s="27" t="n"/>
      <c r="AW188" s="27" t="n"/>
      <c r="AX188" s="27" t="n"/>
      <c r="AY188" s="204" t="n"/>
      <c r="AZ188" s="204" t="n"/>
      <c r="BA188" s="38" t="inlineStr">
        <is>
          <t>.</t>
        </is>
      </c>
      <c r="BB188" s="190">
        <f>SUM(BC188:BN188)</f>
        <v/>
      </c>
      <c r="BC188" s="191">
        <f>L188*0.0702730030</f>
        <v/>
      </c>
      <c r="BD188" s="191">
        <f>L188*0.0734327604</f>
        <v/>
      </c>
      <c r="BE188" s="191">
        <f>L188*0.0752022245</f>
        <v/>
      </c>
      <c r="BF188" s="191">
        <f>L188*0.0771612740</f>
        <v/>
      </c>
      <c r="BG188" s="191">
        <f>L188*0.0796890799</f>
        <v/>
      </c>
      <c r="BH188" s="191">
        <f>L188*0.0817745197</f>
        <v/>
      </c>
      <c r="BI188" s="191">
        <f>L188*0.0849342770</f>
        <v/>
      </c>
      <c r="BJ188" s="191">
        <f>L188*0.0870197169</f>
        <v/>
      </c>
      <c r="BK188" s="191">
        <f>L188*0.0889787664</f>
        <v/>
      </c>
      <c r="BL188" s="191">
        <f>L188*0.0911905966</f>
        <v/>
      </c>
      <c r="BM188" s="191">
        <f>L188*0.0935920121</f>
        <v/>
      </c>
      <c r="BN188" s="192">
        <f>L188*0.0967517695</f>
        <v/>
      </c>
      <c r="BO188" s="36" t="inlineStr">
        <is>
          <t>.</t>
        </is>
      </c>
      <c r="BP188" s="193">
        <f>SUM(BQ188:CB188)</f>
        <v/>
      </c>
      <c r="BQ188" s="191">
        <f>MAX(0,BC188-AA188)</f>
        <v/>
      </c>
      <c r="BR188" s="191">
        <f>MAX(0,BD188-AB188)</f>
        <v/>
      </c>
      <c r="BS188" s="191">
        <f>MAX(0,BE188-AC188)</f>
        <v/>
      </c>
      <c r="BT188" s="191">
        <f>MAX(0,BF188-AD188)</f>
        <v/>
      </c>
      <c r="BU188" s="191">
        <f>MAX(0,BG188-AE188)</f>
        <v/>
      </c>
      <c r="BV188" s="191">
        <f>MAX(0,BH188-AF188)</f>
        <v/>
      </c>
      <c r="BW188" s="191">
        <f>MAX(0,BI188-AG188)</f>
        <v/>
      </c>
      <c r="BX188" s="191">
        <f>MAX(0,BJ188-AH188)</f>
        <v/>
      </c>
      <c r="BY188" s="191">
        <f>MAX(0,BK188-AI188)</f>
        <v/>
      </c>
      <c r="BZ188" s="191">
        <f>MAX(0,BL188-AJ188)</f>
        <v/>
      </c>
      <c r="CA188" s="191">
        <f>MAX(0,BM188-AK188)</f>
        <v/>
      </c>
      <c r="CB188" s="192">
        <f>MAX(0,BN188-AL188)</f>
        <v/>
      </c>
    </row>
    <row r="189">
      <c r="A189" s="64" t="inlineStr">
        <is>
          <t>37717783000139</t>
        </is>
      </c>
      <c r="B189" s="57" t="inlineStr">
        <is>
          <t>EMPORIO MUNDO FITNESS LTDA - ME</t>
        </is>
      </c>
      <c r="C189" s="57" t="inlineStr">
        <is>
          <t>SEM GRUPO</t>
        </is>
      </c>
      <c r="D189" s="61" t="inlineStr">
        <is>
          <t>LARISSA PADILHA</t>
        </is>
      </c>
      <c r="E189" s="30" t="inlineStr">
        <is>
          <t>.</t>
        </is>
      </c>
      <c r="F189" s="63" t="n"/>
      <c r="G189" s="179" t="n"/>
      <c r="H189" s="57" t="n"/>
      <c r="I189" s="57" t="n"/>
      <c r="J189" s="61" t="n"/>
      <c r="K189" s="30" t="inlineStr">
        <is>
          <t>.</t>
        </is>
      </c>
      <c r="L189" s="180" t="n">
        <v>6374.11</v>
      </c>
      <c r="M189" s="181" t="n">
        <v>447.93</v>
      </c>
      <c r="N189" s="181" t="n">
        <v>468.07</v>
      </c>
      <c r="O189" s="181" t="n">
        <v>479.35</v>
      </c>
      <c r="P189" s="181" t="n">
        <v>491.83</v>
      </c>
      <c r="Q189" s="181" t="n">
        <v>507.95</v>
      </c>
      <c r="R189" s="181" t="n">
        <v>521.24</v>
      </c>
      <c r="S189" s="181" t="n">
        <v>541.38</v>
      </c>
      <c r="T189" s="181" t="n">
        <v>554.67</v>
      </c>
      <c r="U189" s="181" t="n">
        <v>567.16</v>
      </c>
      <c r="V189" s="181" t="n">
        <v>581.26</v>
      </c>
      <c r="W189" s="181" t="n">
        <v>596.5599999999999</v>
      </c>
      <c r="X189" s="182" t="n">
        <v>616.71</v>
      </c>
      <c r="Y189" s="183" t="inlineStr">
        <is>
          <t>.</t>
        </is>
      </c>
      <c r="Z189" s="184">
        <f>SUM(AA189:AL189)</f>
        <v/>
      </c>
      <c r="AA189" s="185" t="n">
        <v>0</v>
      </c>
      <c r="AB189" s="185" t="n">
        <v>0</v>
      </c>
      <c r="AC189" s="185" t="n">
        <v>0</v>
      </c>
      <c r="AD189" s="185" t="n">
        <v>0</v>
      </c>
      <c r="AE189" s="185" t="n">
        <v>0</v>
      </c>
      <c r="AF189" s="185" t="n">
        <v>1394.64</v>
      </c>
      <c r="AG189" s="185" t="n">
        <v>0</v>
      </c>
      <c r="AH189" s="185" t="n">
        <v>1222.48</v>
      </c>
      <c r="AI189" s="185" t="n">
        <v>0</v>
      </c>
      <c r="AJ189" s="185" t="n">
        <v>0</v>
      </c>
      <c r="AK189" s="185" t="n">
        <v>0</v>
      </c>
      <c r="AL189" s="186" t="n">
        <v>0</v>
      </c>
      <c r="AM189" s="30" t="inlineStr">
        <is>
          <t>.</t>
        </is>
      </c>
      <c r="AN189" s="187">
        <f>IF(L189=0,0,Z189/L189)</f>
        <v/>
      </c>
      <c r="AO189" s="57">
        <f>IF(AN189&gt;=1,"🟢",IF(AN189&gt;=0.7,"🟡",IF(AN189&gt;=0.4,"🟠","🔴")))</f>
        <v/>
      </c>
      <c r="AP189" s="185">
        <f>L189-Z189</f>
        <v/>
      </c>
      <c r="AQ189" s="55">
        <f>RANK(Z189,$Z$4:$Z$503,0)</f>
        <v/>
      </c>
      <c r="AR189" s="39" t="inlineStr">
        <is>
          <t>.</t>
        </is>
      </c>
      <c r="AS189" s="27" t="n"/>
      <c r="AT189" s="27" t="n"/>
      <c r="AU189" s="27" t="n"/>
      <c r="AV189" s="27" t="n"/>
      <c r="AW189" s="27" t="n"/>
      <c r="AX189" s="27" t="n"/>
      <c r="AY189" s="204" t="n"/>
      <c r="AZ189" s="204" t="n"/>
      <c r="BA189" s="38" t="inlineStr">
        <is>
          <t>.</t>
        </is>
      </c>
      <c r="BB189" s="190">
        <f>SUM(BC189:BN189)</f>
        <v/>
      </c>
      <c r="BC189" s="191">
        <f>L189*0.0702730030</f>
        <v/>
      </c>
      <c r="BD189" s="191">
        <f>L189*0.0734327604</f>
        <v/>
      </c>
      <c r="BE189" s="191">
        <f>L189*0.0752022245</f>
        <v/>
      </c>
      <c r="BF189" s="191">
        <f>L189*0.0771612740</f>
        <v/>
      </c>
      <c r="BG189" s="191">
        <f>L189*0.0796890799</f>
        <v/>
      </c>
      <c r="BH189" s="191">
        <f>L189*0.0817745197</f>
        <v/>
      </c>
      <c r="BI189" s="191">
        <f>L189*0.0849342770</f>
        <v/>
      </c>
      <c r="BJ189" s="191">
        <f>L189*0.0870197169</f>
        <v/>
      </c>
      <c r="BK189" s="191">
        <f>L189*0.0889787664</f>
        <v/>
      </c>
      <c r="BL189" s="191">
        <f>L189*0.0911905966</f>
        <v/>
      </c>
      <c r="BM189" s="191">
        <f>L189*0.0935920121</f>
        <v/>
      </c>
      <c r="BN189" s="192">
        <f>L189*0.0967517695</f>
        <v/>
      </c>
      <c r="BO189" s="36" t="inlineStr">
        <is>
          <t>.</t>
        </is>
      </c>
      <c r="BP189" s="193">
        <f>SUM(BQ189:CB189)</f>
        <v/>
      </c>
      <c r="BQ189" s="191">
        <f>MAX(0,BC189-AA189)</f>
        <v/>
      </c>
      <c r="BR189" s="191">
        <f>MAX(0,BD189-AB189)</f>
        <v/>
      </c>
      <c r="BS189" s="191">
        <f>MAX(0,BE189-AC189)</f>
        <v/>
      </c>
      <c r="BT189" s="191">
        <f>MAX(0,BF189-AD189)</f>
        <v/>
      </c>
      <c r="BU189" s="191">
        <f>MAX(0,BG189-AE189)</f>
        <v/>
      </c>
      <c r="BV189" s="191">
        <f>MAX(0,BH189-AF189)</f>
        <v/>
      </c>
      <c r="BW189" s="191">
        <f>MAX(0,BI189-AG189)</f>
        <v/>
      </c>
      <c r="BX189" s="191">
        <f>MAX(0,BJ189-AH189)</f>
        <v/>
      </c>
      <c r="BY189" s="191">
        <f>MAX(0,BK189-AI189)</f>
        <v/>
      </c>
      <c r="BZ189" s="191">
        <f>MAX(0,BL189-AJ189)</f>
        <v/>
      </c>
      <c r="CA189" s="191">
        <f>MAX(0,BM189-AK189)</f>
        <v/>
      </c>
      <c r="CB189" s="192">
        <f>MAX(0,BN189-AL189)</f>
        <v/>
      </c>
    </row>
    <row r="190">
      <c r="A190" s="64" t="inlineStr">
        <is>
          <t>50324818000138</t>
        </is>
      </c>
      <c r="B190" s="57" t="inlineStr">
        <is>
          <t>REDE HIPER GRAOS RIO DAS OSTRAS LTDA - E</t>
        </is>
      </c>
      <c r="C190" s="57" t="inlineStr">
        <is>
          <t>SEM GRUPO</t>
        </is>
      </c>
      <c r="D190" s="61" t="inlineStr">
        <is>
          <t>LARISSA PADILHA</t>
        </is>
      </c>
      <c r="E190" s="30" t="inlineStr">
        <is>
          <t>.</t>
        </is>
      </c>
      <c r="F190" s="63" t="n"/>
      <c r="G190" s="179" t="n"/>
      <c r="H190" s="57" t="n"/>
      <c r="I190" s="57" t="n"/>
      <c r="J190" s="61" t="n"/>
      <c r="K190" s="30" t="inlineStr">
        <is>
          <t>.</t>
        </is>
      </c>
      <c r="L190" s="180" t="n">
        <v>6359.809999999999</v>
      </c>
      <c r="M190" s="181" t="n">
        <v>446.92</v>
      </c>
      <c r="N190" s="181" t="n">
        <v>467.02</v>
      </c>
      <c r="O190" s="181" t="n">
        <v>478.27</v>
      </c>
      <c r="P190" s="181" t="n">
        <v>490.73</v>
      </c>
      <c r="Q190" s="181" t="n">
        <v>506.81</v>
      </c>
      <c r="R190" s="181" t="n">
        <v>520.0700000000001</v>
      </c>
      <c r="S190" s="181" t="n">
        <v>540.17</v>
      </c>
      <c r="T190" s="181" t="n">
        <v>553.4299999999999</v>
      </c>
      <c r="U190" s="181" t="n">
        <v>565.89</v>
      </c>
      <c r="V190" s="181" t="n">
        <v>579.95</v>
      </c>
      <c r="W190" s="181" t="n">
        <v>595.23</v>
      </c>
      <c r="X190" s="182" t="n">
        <v>615.3200000000001</v>
      </c>
      <c r="Y190" s="183" t="inlineStr">
        <is>
          <t>.</t>
        </is>
      </c>
      <c r="Z190" s="184">
        <f>SUM(AA190:AL190)</f>
        <v/>
      </c>
      <c r="AA190" s="185" t="n">
        <v>0</v>
      </c>
      <c r="AB190" s="185" t="n">
        <v>0</v>
      </c>
      <c r="AC190" s="185" t="n">
        <v>0</v>
      </c>
      <c r="AD190" s="185" t="n">
        <v>0</v>
      </c>
      <c r="AE190" s="185" t="n">
        <v>1360.01</v>
      </c>
      <c r="AF190" s="185" t="n">
        <v>0</v>
      </c>
      <c r="AG190" s="185" t="n">
        <v>0</v>
      </c>
      <c r="AH190" s="185" t="n">
        <v>1267.51</v>
      </c>
      <c r="AI190" s="185" t="n">
        <v>0</v>
      </c>
      <c r="AJ190" s="185" t="n">
        <v>0</v>
      </c>
      <c r="AK190" s="185" t="n">
        <v>0</v>
      </c>
      <c r="AL190" s="186" t="n">
        <v>0</v>
      </c>
      <c r="AM190" s="30" t="inlineStr">
        <is>
          <t>.</t>
        </is>
      </c>
      <c r="AN190" s="187">
        <f>IF(L190=0,0,Z190/L190)</f>
        <v/>
      </c>
      <c r="AO190" s="57">
        <f>IF(AN190&gt;=1,"🟢",IF(AN190&gt;=0.7,"🟡",IF(AN190&gt;=0.4,"🟠","🔴")))</f>
        <v/>
      </c>
      <c r="AP190" s="185">
        <f>L190-Z190</f>
        <v/>
      </c>
      <c r="AQ190" s="55">
        <f>RANK(Z190,$Z$4:$Z$503,0)</f>
        <v/>
      </c>
      <c r="AR190" s="39" t="inlineStr">
        <is>
          <t>.</t>
        </is>
      </c>
      <c r="AS190" s="27" t="n"/>
      <c r="AT190" s="27" t="n"/>
      <c r="AU190" s="27" t="n"/>
      <c r="AV190" s="27" t="n"/>
      <c r="AW190" s="27" t="n"/>
      <c r="AX190" s="27" t="n"/>
      <c r="AY190" s="204" t="n"/>
      <c r="AZ190" s="204" t="n"/>
      <c r="BA190" s="38" t="inlineStr">
        <is>
          <t>.</t>
        </is>
      </c>
      <c r="BB190" s="190">
        <f>SUM(BC190:BN190)</f>
        <v/>
      </c>
      <c r="BC190" s="191">
        <f>L190*0.0702730030</f>
        <v/>
      </c>
      <c r="BD190" s="191">
        <f>L190*0.0734327604</f>
        <v/>
      </c>
      <c r="BE190" s="191">
        <f>L190*0.0752022245</f>
        <v/>
      </c>
      <c r="BF190" s="191">
        <f>L190*0.0771612740</f>
        <v/>
      </c>
      <c r="BG190" s="191">
        <f>L190*0.0796890799</f>
        <v/>
      </c>
      <c r="BH190" s="191">
        <f>L190*0.0817745197</f>
        <v/>
      </c>
      <c r="BI190" s="191">
        <f>L190*0.0849342770</f>
        <v/>
      </c>
      <c r="BJ190" s="191">
        <f>L190*0.0870197169</f>
        <v/>
      </c>
      <c r="BK190" s="191">
        <f>L190*0.0889787664</f>
        <v/>
      </c>
      <c r="BL190" s="191">
        <f>L190*0.0911905966</f>
        <v/>
      </c>
      <c r="BM190" s="191">
        <f>L190*0.0935920121</f>
        <v/>
      </c>
      <c r="BN190" s="192">
        <f>L190*0.0967517695</f>
        <v/>
      </c>
      <c r="BO190" s="36" t="inlineStr">
        <is>
          <t>.</t>
        </is>
      </c>
      <c r="BP190" s="193">
        <f>SUM(BQ190:CB190)</f>
        <v/>
      </c>
      <c r="BQ190" s="191">
        <f>MAX(0,BC190-AA190)</f>
        <v/>
      </c>
      <c r="BR190" s="191">
        <f>MAX(0,BD190-AB190)</f>
        <v/>
      </c>
      <c r="BS190" s="191">
        <f>MAX(0,BE190-AC190)</f>
        <v/>
      </c>
      <c r="BT190" s="191">
        <f>MAX(0,BF190-AD190)</f>
        <v/>
      </c>
      <c r="BU190" s="191">
        <f>MAX(0,BG190-AE190)</f>
        <v/>
      </c>
      <c r="BV190" s="191">
        <f>MAX(0,BH190-AF190)</f>
        <v/>
      </c>
      <c r="BW190" s="191">
        <f>MAX(0,BI190-AG190)</f>
        <v/>
      </c>
      <c r="BX190" s="191">
        <f>MAX(0,BJ190-AH190)</f>
        <v/>
      </c>
      <c r="BY190" s="191">
        <f>MAX(0,BK190-AI190)</f>
        <v/>
      </c>
      <c r="BZ190" s="191">
        <f>MAX(0,BL190-AJ190)</f>
        <v/>
      </c>
      <c r="CA190" s="191">
        <f>MAX(0,BM190-AK190)</f>
        <v/>
      </c>
      <c r="CB190" s="192">
        <f>MAX(0,BN190-AL190)</f>
        <v/>
      </c>
    </row>
    <row r="191">
      <c r="A191" s="64" t="inlineStr">
        <is>
          <t>54801197000197</t>
        </is>
      </c>
      <c r="B191" s="57" t="inlineStr">
        <is>
          <t>GC NATURALIS LTDA - ME</t>
        </is>
      </c>
      <c r="C191" s="57" t="inlineStr">
        <is>
          <t>FITLAND</t>
        </is>
      </c>
      <c r="D191" s="61" t="inlineStr">
        <is>
          <t>JULIO GADRET</t>
        </is>
      </c>
      <c r="E191" s="30" t="inlineStr">
        <is>
          <t>.</t>
        </is>
      </c>
      <c r="F191" s="63" t="n">
        <v>89</v>
      </c>
      <c r="G191" s="179" t="n">
        <v>0.298</v>
      </c>
      <c r="H191" s="57" t="inlineStr">
        <is>
          <t>🔴 VERMELHO</t>
        </is>
      </c>
      <c r="I191" s="57" t="inlineStr">
        <is>
          <t>POSITIVAÇÃO</t>
        </is>
      </c>
      <c r="J191" s="61" t="inlineStr">
        <is>
          <t>Aumentar frequência + Expandir base</t>
        </is>
      </c>
      <c r="K191" s="30" t="inlineStr">
        <is>
          <t>.</t>
        </is>
      </c>
      <c r="L191" s="180" t="n">
        <v>6303.42</v>
      </c>
      <c r="M191" s="181" t="n">
        <v>442.96</v>
      </c>
      <c r="N191" s="181" t="n">
        <v>462.88</v>
      </c>
      <c r="O191" s="181" t="n">
        <v>474.03</v>
      </c>
      <c r="P191" s="181" t="n">
        <v>486.38</v>
      </c>
      <c r="Q191" s="181" t="n">
        <v>502.31</v>
      </c>
      <c r="R191" s="181" t="n">
        <v>515.46</v>
      </c>
      <c r="S191" s="181" t="n">
        <v>535.38</v>
      </c>
      <c r="T191" s="181" t="n">
        <v>548.52</v>
      </c>
      <c r="U191" s="181" t="n">
        <v>560.87</v>
      </c>
      <c r="V191" s="181" t="n">
        <v>574.8099999999999</v>
      </c>
      <c r="W191" s="181" t="n">
        <v>589.95</v>
      </c>
      <c r="X191" s="182" t="n">
        <v>609.87</v>
      </c>
      <c r="Y191" s="183" t="inlineStr">
        <is>
          <t>.</t>
        </is>
      </c>
      <c r="Z191" s="184">
        <f>SUM(AA191:AL191)</f>
        <v/>
      </c>
      <c r="AA191" s="185" t="n">
        <v>0</v>
      </c>
      <c r="AB191" s="185" t="n">
        <v>638.8200000000001</v>
      </c>
      <c r="AC191" s="185" t="n">
        <v>0</v>
      </c>
      <c r="AD191" s="185" t="n">
        <v>0</v>
      </c>
      <c r="AE191" s="185" t="n">
        <v>642.65</v>
      </c>
      <c r="AF191" s="185" t="n">
        <v>0</v>
      </c>
      <c r="AG191" s="185" t="n">
        <v>2071.48</v>
      </c>
      <c r="AH191" s="185" t="n">
        <v>0</v>
      </c>
      <c r="AI191" s="185" t="n">
        <v>0</v>
      </c>
      <c r="AJ191" s="185" t="n">
        <v>0</v>
      </c>
      <c r="AK191" s="185" t="n">
        <v>0</v>
      </c>
      <c r="AL191" s="186" t="n">
        <v>0</v>
      </c>
      <c r="AM191" s="30" t="inlineStr">
        <is>
          <t>.</t>
        </is>
      </c>
      <c r="AN191" s="187">
        <f>IF(L191=0,0,Z191/L191)</f>
        <v/>
      </c>
      <c r="AO191" s="57">
        <f>IF(AN191&gt;=1,"🟢",IF(AN191&gt;=0.7,"🟡",IF(AN191&gt;=0.4,"🟠","🔴")))</f>
        <v/>
      </c>
      <c r="AP191" s="185">
        <f>L191-Z191</f>
        <v/>
      </c>
      <c r="AQ191" s="55">
        <f>RANK(Z191,$Z$4:$Z$503,0)</f>
        <v/>
      </c>
      <c r="AR191" s="39" t="inlineStr">
        <is>
          <t>.</t>
        </is>
      </c>
      <c r="AS191" s="27" t="n"/>
      <c r="AT191" s="27" t="n"/>
      <c r="AU191" s="27" t="n"/>
      <c r="AV191" s="27" t="n"/>
      <c r="AW191" s="27" t="n"/>
      <c r="AX191" s="27" t="n"/>
      <c r="AY191" s="204" t="n"/>
      <c r="AZ191" s="204" t="n"/>
      <c r="BA191" s="38" t="inlineStr">
        <is>
          <t>.</t>
        </is>
      </c>
      <c r="BB191" s="190">
        <f>SUM(BC191:BN191)</f>
        <v/>
      </c>
      <c r="BC191" s="191">
        <f>L191*0.0702730030</f>
        <v/>
      </c>
      <c r="BD191" s="191">
        <f>L191*0.0734327604</f>
        <v/>
      </c>
      <c r="BE191" s="191">
        <f>L191*0.0752022245</f>
        <v/>
      </c>
      <c r="BF191" s="191">
        <f>L191*0.0771612740</f>
        <v/>
      </c>
      <c r="BG191" s="191">
        <f>L191*0.0796890799</f>
        <v/>
      </c>
      <c r="BH191" s="191">
        <f>L191*0.0817745197</f>
        <v/>
      </c>
      <c r="BI191" s="191">
        <f>L191*0.0849342770</f>
        <v/>
      </c>
      <c r="BJ191" s="191">
        <f>L191*0.0870197169</f>
        <v/>
      </c>
      <c r="BK191" s="191">
        <f>L191*0.0889787664</f>
        <v/>
      </c>
      <c r="BL191" s="191">
        <f>L191*0.0911905966</f>
        <v/>
      </c>
      <c r="BM191" s="191">
        <f>L191*0.0935920121</f>
        <v/>
      </c>
      <c r="BN191" s="192">
        <f>L191*0.0967517695</f>
        <v/>
      </c>
      <c r="BO191" s="36" t="inlineStr">
        <is>
          <t>.</t>
        </is>
      </c>
      <c r="BP191" s="193">
        <f>SUM(BQ191:CB191)</f>
        <v/>
      </c>
      <c r="BQ191" s="191">
        <f>MAX(0,BC191-AA191)</f>
        <v/>
      </c>
      <c r="BR191" s="191">
        <f>MAX(0,BD191-AB191)</f>
        <v/>
      </c>
      <c r="BS191" s="191">
        <f>MAX(0,BE191-AC191)</f>
        <v/>
      </c>
      <c r="BT191" s="191">
        <f>MAX(0,BF191-AD191)</f>
        <v/>
      </c>
      <c r="BU191" s="191">
        <f>MAX(0,BG191-AE191)</f>
        <v/>
      </c>
      <c r="BV191" s="191">
        <f>MAX(0,BH191-AF191)</f>
        <v/>
      </c>
      <c r="BW191" s="191">
        <f>MAX(0,BI191-AG191)</f>
        <v/>
      </c>
      <c r="BX191" s="191">
        <f>MAX(0,BJ191-AH191)</f>
        <v/>
      </c>
      <c r="BY191" s="191">
        <f>MAX(0,BK191-AI191)</f>
        <v/>
      </c>
      <c r="BZ191" s="191">
        <f>MAX(0,BL191-AJ191)</f>
        <v/>
      </c>
      <c r="CA191" s="191">
        <f>MAX(0,BM191-AK191)</f>
        <v/>
      </c>
      <c r="CB191" s="192">
        <f>MAX(0,BN191-AL191)</f>
        <v/>
      </c>
    </row>
    <row r="192">
      <c r="A192" s="64" t="inlineStr">
        <is>
          <t>26225527000108</t>
        </is>
      </c>
      <c r="B192" s="57" t="inlineStr">
        <is>
          <t>REDE HIPER DOCE DE CABO FRIO LTDA - ME</t>
        </is>
      </c>
      <c r="C192" s="57" t="inlineStr">
        <is>
          <t>SEM GRUPO</t>
        </is>
      </c>
      <c r="D192" s="61" t="inlineStr">
        <is>
          <t>LARISSA PADILHA</t>
        </is>
      </c>
      <c r="E192" s="30" t="inlineStr">
        <is>
          <t>.</t>
        </is>
      </c>
      <c r="F192" s="63" t="n"/>
      <c r="G192" s="179" t="n"/>
      <c r="H192" s="57" t="n"/>
      <c r="I192" s="57" t="n"/>
      <c r="J192" s="61" t="n"/>
      <c r="K192" s="30" t="inlineStr">
        <is>
          <t>.</t>
        </is>
      </c>
      <c r="L192" s="180" t="n">
        <v>6285.400000000001</v>
      </c>
      <c r="M192" s="181" t="n">
        <v>441.69</v>
      </c>
      <c r="N192" s="181" t="n">
        <v>461.55</v>
      </c>
      <c r="O192" s="181" t="n">
        <v>472.68</v>
      </c>
      <c r="P192" s="181" t="n">
        <v>484.99</v>
      </c>
      <c r="Q192" s="181" t="n">
        <v>500.88</v>
      </c>
      <c r="R192" s="181" t="n">
        <v>513.99</v>
      </c>
      <c r="S192" s="181" t="n">
        <v>533.85</v>
      </c>
      <c r="T192" s="181" t="n">
        <v>546.95</v>
      </c>
      <c r="U192" s="181" t="n">
        <v>559.27</v>
      </c>
      <c r="V192" s="181" t="n">
        <v>573.17</v>
      </c>
      <c r="W192" s="181" t="n">
        <v>588.26</v>
      </c>
      <c r="X192" s="182" t="n">
        <v>608.12</v>
      </c>
      <c r="Y192" s="183" t="inlineStr">
        <is>
          <t>.</t>
        </is>
      </c>
      <c r="Z192" s="184">
        <f>SUM(AA192:AL192)</f>
        <v/>
      </c>
      <c r="AA192" s="185" t="n">
        <v>0</v>
      </c>
      <c r="AB192" s="185" t="n">
        <v>0</v>
      </c>
      <c r="AC192" s="185" t="n">
        <v>0</v>
      </c>
      <c r="AD192" s="185" t="n">
        <v>0</v>
      </c>
      <c r="AE192" s="185" t="n">
        <v>1360.01</v>
      </c>
      <c r="AF192" s="185" t="n">
        <v>0</v>
      </c>
      <c r="AG192" s="185" t="n">
        <v>0</v>
      </c>
      <c r="AH192" s="185" t="n">
        <v>1236.24</v>
      </c>
      <c r="AI192" s="185" t="n">
        <v>0</v>
      </c>
      <c r="AJ192" s="185" t="n">
        <v>0</v>
      </c>
      <c r="AK192" s="185" t="n">
        <v>0</v>
      </c>
      <c r="AL192" s="186" t="n">
        <v>0</v>
      </c>
      <c r="AM192" s="30" t="inlineStr">
        <is>
          <t>.</t>
        </is>
      </c>
      <c r="AN192" s="187">
        <f>IF(L192=0,0,Z192/L192)</f>
        <v/>
      </c>
      <c r="AO192" s="57">
        <f>IF(AN192&gt;=1,"🟢",IF(AN192&gt;=0.7,"🟡",IF(AN192&gt;=0.4,"🟠","🔴")))</f>
        <v/>
      </c>
      <c r="AP192" s="185">
        <f>L192-Z192</f>
        <v/>
      </c>
      <c r="AQ192" s="55">
        <f>RANK(Z192,$Z$4:$Z$503,0)</f>
        <v/>
      </c>
      <c r="AR192" s="39" t="inlineStr">
        <is>
          <t>.</t>
        </is>
      </c>
      <c r="AS192" s="27" t="n"/>
      <c r="AT192" s="27" t="n"/>
      <c r="AU192" s="27" t="n"/>
      <c r="AV192" s="27" t="n"/>
      <c r="AW192" s="27" t="n"/>
      <c r="AX192" s="27" t="n"/>
      <c r="AY192" s="204" t="n"/>
      <c r="AZ192" s="204" t="n"/>
      <c r="BA192" s="38" t="inlineStr">
        <is>
          <t>.</t>
        </is>
      </c>
      <c r="BB192" s="190">
        <f>SUM(BC192:BN192)</f>
        <v/>
      </c>
      <c r="BC192" s="191">
        <f>L192*0.0702730030</f>
        <v/>
      </c>
      <c r="BD192" s="191">
        <f>L192*0.0734327604</f>
        <v/>
      </c>
      <c r="BE192" s="191">
        <f>L192*0.0752022245</f>
        <v/>
      </c>
      <c r="BF192" s="191">
        <f>L192*0.0771612740</f>
        <v/>
      </c>
      <c r="BG192" s="191">
        <f>L192*0.0796890799</f>
        <v/>
      </c>
      <c r="BH192" s="191">
        <f>L192*0.0817745197</f>
        <v/>
      </c>
      <c r="BI192" s="191">
        <f>L192*0.0849342770</f>
        <v/>
      </c>
      <c r="BJ192" s="191">
        <f>L192*0.0870197169</f>
        <v/>
      </c>
      <c r="BK192" s="191">
        <f>L192*0.0889787664</f>
        <v/>
      </c>
      <c r="BL192" s="191">
        <f>L192*0.0911905966</f>
        <v/>
      </c>
      <c r="BM192" s="191">
        <f>L192*0.0935920121</f>
        <v/>
      </c>
      <c r="BN192" s="192">
        <f>L192*0.0967517695</f>
        <v/>
      </c>
      <c r="BO192" s="36" t="inlineStr">
        <is>
          <t>.</t>
        </is>
      </c>
      <c r="BP192" s="193">
        <f>SUM(BQ192:CB192)</f>
        <v/>
      </c>
      <c r="BQ192" s="191">
        <f>MAX(0,BC192-AA192)</f>
        <v/>
      </c>
      <c r="BR192" s="191">
        <f>MAX(0,BD192-AB192)</f>
        <v/>
      </c>
      <c r="BS192" s="191">
        <f>MAX(0,BE192-AC192)</f>
        <v/>
      </c>
      <c r="BT192" s="191">
        <f>MAX(0,BF192-AD192)</f>
        <v/>
      </c>
      <c r="BU192" s="191">
        <f>MAX(0,BG192-AE192)</f>
        <v/>
      </c>
      <c r="BV192" s="191">
        <f>MAX(0,BH192-AF192)</f>
        <v/>
      </c>
      <c r="BW192" s="191">
        <f>MAX(0,BI192-AG192)</f>
        <v/>
      </c>
      <c r="BX192" s="191">
        <f>MAX(0,BJ192-AH192)</f>
        <v/>
      </c>
      <c r="BY192" s="191">
        <f>MAX(0,BK192-AI192)</f>
        <v/>
      </c>
      <c r="BZ192" s="191">
        <f>MAX(0,BL192-AJ192)</f>
        <v/>
      </c>
      <c r="CA192" s="191">
        <f>MAX(0,BM192-AK192)</f>
        <v/>
      </c>
      <c r="CB192" s="192">
        <f>MAX(0,BN192-AL192)</f>
        <v/>
      </c>
    </row>
    <row r="193">
      <c r="A193" s="64" t="inlineStr">
        <is>
          <t>56157640000164</t>
        </is>
      </c>
      <c r="B193" s="57" t="inlineStr">
        <is>
          <t>KLOSTERMANN SUPLEMENTOS LTDA - EPP</t>
        </is>
      </c>
      <c r="C193" s="57" t="inlineStr">
        <is>
          <t>FITLAND</t>
        </is>
      </c>
      <c r="D193" s="61" t="inlineStr">
        <is>
          <t>JULIO GADRET</t>
        </is>
      </c>
      <c r="E193" s="30" t="inlineStr">
        <is>
          <t>.</t>
        </is>
      </c>
      <c r="F193" s="63" t="n">
        <v>89</v>
      </c>
      <c r="G193" s="179" t="n">
        <v>0.298</v>
      </c>
      <c r="H193" s="57" t="inlineStr">
        <is>
          <t>🔴 VERMELHO</t>
        </is>
      </c>
      <c r="I193" s="57" t="inlineStr">
        <is>
          <t>POSITIVAÇÃO</t>
        </is>
      </c>
      <c r="J193" s="61" t="inlineStr">
        <is>
          <t>Aumentar frequência + Expandir base</t>
        </is>
      </c>
      <c r="K193" s="30" t="inlineStr">
        <is>
          <t>.</t>
        </is>
      </c>
      <c r="L193" s="180" t="n">
        <v>6260.48</v>
      </c>
      <c r="M193" s="181" t="n">
        <v>439.94</v>
      </c>
      <c r="N193" s="181" t="n">
        <v>459.72</v>
      </c>
      <c r="O193" s="181" t="n">
        <v>470.8</v>
      </c>
      <c r="P193" s="181" t="n">
        <v>483.07</v>
      </c>
      <c r="Q193" s="181" t="n">
        <v>498.89</v>
      </c>
      <c r="R193" s="181" t="n">
        <v>511.95</v>
      </c>
      <c r="S193" s="181" t="n">
        <v>531.73</v>
      </c>
      <c r="T193" s="181" t="n">
        <v>544.79</v>
      </c>
      <c r="U193" s="181" t="n">
        <v>557.05</v>
      </c>
      <c r="V193" s="181" t="n">
        <v>570.9</v>
      </c>
      <c r="W193" s="181" t="n">
        <v>585.9299999999999</v>
      </c>
      <c r="X193" s="182" t="n">
        <v>605.71</v>
      </c>
      <c r="Y193" s="183" t="inlineStr">
        <is>
          <t>.</t>
        </is>
      </c>
      <c r="Z193" s="184">
        <f>SUM(AA193:AL193)</f>
        <v/>
      </c>
      <c r="AA193" s="185" t="n">
        <v>0</v>
      </c>
      <c r="AB193" s="185" t="n">
        <v>0</v>
      </c>
      <c r="AC193" s="185" t="n">
        <v>626.39</v>
      </c>
      <c r="AD193" s="185" t="n">
        <v>0</v>
      </c>
      <c r="AE193" s="185" t="n">
        <v>0</v>
      </c>
      <c r="AF193" s="185" t="n">
        <v>2260.14</v>
      </c>
      <c r="AG193" s="185" t="n">
        <v>0</v>
      </c>
      <c r="AH193" s="185" t="n">
        <v>0</v>
      </c>
      <c r="AI193" s="185" t="n">
        <v>0</v>
      </c>
      <c r="AJ193" s="185" t="n">
        <v>0</v>
      </c>
      <c r="AK193" s="185" t="n">
        <v>0</v>
      </c>
      <c r="AL193" s="186" t="n">
        <v>0</v>
      </c>
      <c r="AM193" s="30" t="inlineStr">
        <is>
          <t>.</t>
        </is>
      </c>
      <c r="AN193" s="187">
        <f>IF(L193=0,0,Z193/L193)</f>
        <v/>
      </c>
      <c r="AO193" s="57">
        <f>IF(AN193&gt;=1,"🟢",IF(AN193&gt;=0.7,"🟡",IF(AN193&gt;=0.4,"🟠","🔴")))</f>
        <v/>
      </c>
      <c r="AP193" s="185">
        <f>L193-Z193</f>
        <v/>
      </c>
      <c r="AQ193" s="55">
        <f>RANK(Z193,$Z$4:$Z$503,0)</f>
        <v/>
      </c>
      <c r="AR193" s="39" t="inlineStr">
        <is>
          <t>.</t>
        </is>
      </c>
      <c r="AS193" s="27" t="n"/>
      <c r="AT193" s="27" t="n"/>
      <c r="AU193" s="27" t="n"/>
      <c r="AV193" s="27" t="n"/>
      <c r="AW193" s="27" t="n"/>
      <c r="AX193" s="27" t="n"/>
      <c r="AY193" s="204" t="n"/>
      <c r="AZ193" s="204" t="n"/>
      <c r="BA193" s="38" t="inlineStr">
        <is>
          <t>.</t>
        </is>
      </c>
      <c r="BB193" s="190">
        <f>SUM(BC193:BN193)</f>
        <v/>
      </c>
      <c r="BC193" s="191">
        <f>L193*0.0702730030</f>
        <v/>
      </c>
      <c r="BD193" s="191">
        <f>L193*0.0734327604</f>
        <v/>
      </c>
      <c r="BE193" s="191">
        <f>L193*0.0752022245</f>
        <v/>
      </c>
      <c r="BF193" s="191">
        <f>L193*0.0771612740</f>
        <v/>
      </c>
      <c r="BG193" s="191">
        <f>L193*0.0796890799</f>
        <v/>
      </c>
      <c r="BH193" s="191">
        <f>L193*0.0817745197</f>
        <v/>
      </c>
      <c r="BI193" s="191">
        <f>L193*0.0849342770</f>
        <v/>
      </c>
      <c r="BJ193" s="191">
        <f>L193*0.0870197169</f>
        <v/>
      </c>
      <c r="BK193" s="191">
        <f>L193*0.0889787664</f>
        <v/>
      </c>
      <c r="BL193" s="191">
        <f>L193*0.0911905966</f>
        <v/>
      </c>
      <c r="BM193" s="191">
        <f>L193*0.0935920121</f>
        <v/>
      </c>
      <c r="BN193" s="192">
        <f>L193*0.0967517695</f>
        <v/>
      </c>
      <c r="BO193" s="36" t="inlineStr">
        <is>
          <t>.</t>
        </is>
      </c>
      <c r="BP193" s="193">
        <f>SUM(BQ193:CB193)</f>
        <v/>
      </c>
      <c r="BQ193" s="191">
        <f>MAX(0,BC193-AA193)</f>
        <v/>
      </c>
      <c r="BR193" s="191">
        <f>MAX(0,BD193-AB193)</f>
        <v/>
      </c>
      <c r="BS193" s="191">
        <f>MAX(0,BE193-AC193)</f>
        <v/>
      </c>
      <c r="BT193" s="191">
        <f>MAX(0,BF193-AD193)</f>
        <v/>
      </c>
      <c r="BU193" s="191">
        <f>MAX(0,BG193-AE193)</f>
        <v/>
      </c>
      <c r="BV193" s="191">
        <f>MAX(0,BH193-AF193)</f>
        <v/>
      </c>
      <c r="BW193" s="191">
        <f>MAX(0,BI193-AG193)</f>
        <v/>
      </c>
      <c r="BX193" s="191">
        <f>MAX(0,BJ193-AH193)</f>
        <v/>
      </c>
      <c r="BY193" s="191">
        <f>MAX(0,BK193-AI193)</f>
        <v/>
      </c>
      <c r="BZ193" s="191">
        <f>MAX(0,BL193-AJ193)</f>
        <v/>
      </c>
      <c r="CA193" s="191">
        <f>MAX(0,BM193-AK193)</f>
        <v/>
      </c>
      <c r="CB193" s="192">
        <f>MAX(0,BN193-AL193)</f>
        <v/>
      </c>
    </row>
    <row r="194">
      <c r="A194" s="64" t="inlineStr">
        <is>
          <t>28825262000104</t>
        </is>
      </c>
      <c r="B194" s="57" t="inlineStr">
        <is>
          <t>VALDIRENE MENESES DE LIMA HONDA PENIDO L</t>
        </is>
      </c>
      <c r="C194" s="57" t="inlineStr">
        <is>
          <t>SEM GRUPO</t>
        </is>
      </c>
      <c r="D194" s="61" t="inlineStr">
        <is>
          <t>LARISSA PADILHA</t>
        </is>
      </c>
      <c r="E194" s="30" t="inlineStr">
        <is>
          <t>.</t>
        </is>
      </c>
      <c r="F194" s="63" t="n"/>
      <c r="G194" s="179" t="n"/>
      <c r="H194" s="57" t="n"/>
      <c r="I194" s="57" t="n"/>
      <c r="J194" s="61" t="n"/>
      <c r="K194" s="30" t="inlineStr">
        <is>
          <t>.</t>
        </is>
      </c>
      <c r="L194" s="180" t="n">
        <v>6243.920000000001</v>
      </c>
      <c r="M194" s="181" t="n">
        <v>438.78</v>
      </c>
      <c r="N194" s="181" t="n">
        <v>458.51</v>
      </c>
      <c r="O194" s="181" t="n">
        <v>469.56</v>
      </c>
      <c r="P194" s="181" t="n">
        <v>481.79</v>
      </c>
      <c r="Q194" s="181" t="n">
        <v>497.57</v>
      </c>
      <c r="R194" s="181" t="n">
        <v>510.59</v>
      </c>
      <c r="S194" s="181" t="n">
        <v>530.3200000000001</v>
      </c>
      <c r="T194" s="181" t="n">
        <v>543.34</v>
      </c>
      <c r="U194" s="181" t="n">
        <v>555.58</v>
      </c>
      <c r="V194" s="181" t="n">
        <v>569.39</v>
      </c>
      <c r="W194" s="181" t="n">
        <v>584.38</v>
      </c>
      <c r="X194" s="182" t="n">
        <v>604.11</v>
      </c>
      <c r="Y194" s="183" t="inlineStr">
        <is>
          <t>.</t>
        </is>
      </c>
      <c r="Z194" s="184">
        <f>SUM(AA194:AL194)</f>
        <v/>
      </c>
      <c r="AA194" s="185" t="n">
        <v>0</v>
      </c>
      <c r="AB194" s="185" t="n">
        <v>0</v>
      </c>
      <c r="AC194" s="185" t="n">
        <v>0</v>
      </c>
      <c r="AD194" s="185" t="n">
        <v>0</v>
      </c>
      <c r="AE194" s="185" t="n">
        <v>0</v>
      </c>
      <c r="AF194" s="185" t="n">
        <v>0</v>
      </c>
      <c r="AG194" s="185" t="n">
        <v>0</v>
      </c>
      <c r="AH194" s="185" t="n">
        <v>1169.34</v>
      </c>
      <c r="AI194" s="185" t="n">
        <v>1571.27</v>
      </c>
      <c r="AJ194" s="185" t="n">
        <v>0</v>
      </c>
      <c r="AK194" s="185" t="n">
        <v>0</v>
      </c>
      <c r="AL194" s="186" t="n">
        <v>0</v>
      </c>
      <c r="AM194" s="30" t="inlineStr">
        <is>
          <t>.</t>
        </is>
      </c>
      <c r="AN194" s="187">
        <f>IF(L194=0,0,Z194/L194)</f>
        <v/>
      </c>
      <c r="AO194" s="57">
        <f>IF(AN194&gt;=1,"🟢",IF(AN194&gt;=0.7,"🟡",IF(AN194&gt;=0.4,"🟠","🔴")))</f>
        <v/>
      </c>
      <c r="AP194" s="185">
        <f>L194-Z194</f>
        <v/>
      </c>
      <c r="AQ194" s="55">
        <f>RANK(Z194,$Z$4:$Z$503,0)</f>
        <v/>
      </c>
      <c r="AR194" s="39" t="inlineStr">
        <is>
          <t>.</t>
        </is>
      </c>
      <c r="AS194" s="27" t="n"/>
      <c r="AT194" s="27" t="n"/>
      <c r="AU194" s="27" t="n"/>
      <c r="AV194" s="27" t="n"/>
      <c r="AW194" s="27" t="n"/>
      <c r="AX194" s="27" t="n"/>
      <c r="AY194" s="204" t="n"/>
      <c r="AZ194" s="204" t="n"/>
      <c r="BA194" s="38" t="inlineStr">
        <is>
          <t>.</t>
        </is>
      </c>
      <c r="BB194" s="190">
        <f>SUM(BC194:BN194)</f>
        <v/>
      </c>
      <c r="BC194" s="191">
        <f>L194*0.0702730030</f>
        <v/>
      </c>
      <c r="BD194" s="191">
        <f>L194*0.0734327604</f>
        <v/>
      </c>
      <c r="BE194" s="191">
        <f>L194*0.0752022245</f>
        <v/>
      </c>
      <c r="BF194" s="191">
        <f>L194*0.0771612740</f>
        <v/>
      </c>
      <c r="BG194" s="191">
        <f>L194*0.0796890799</f>
        <v/>
      </c>
      <c r="BH194" s="191">
        <f>L194*0.0817745197</f>
        <v/>
      </c>
      <c r="BI194" s="191">
        <f>L194*0.0849342770</f>
        <v/>
      </c>
      <c r="BJ194" s="191">
        <f>L194*0.0870197169</f>
        <v/>
      </c>
      <c r="BK194" s="191">
        <f>L194*0.0889787664</f>
        <v/>
      </c>
      <c r="BL194" s="191">
        <f>L194*0.0911905966</f>
        <v/>
      </c>
      <c r="BM194" s="191">
        <f>L194*0.0935920121</f>
        <v/>
      </c>
      <c r="BN194" s="192">
        <f>L194*0.0967517695</f>
        <v/>
      </c>
      <c r="BO194" s="36" t="inlineStr">
        <is>
          <t>.</t>
        </is>
      </c>
      <c r="BP194" s="193">
        <f>SUM(BQ194:CB194)</f>
        <v/>
      </c>
      <c r="BQ194" s="191">
        <f>MAX(0,BC194-AA194)</f>
        <v/>
      </c>
      <c r="BR194" s="191">
        <f>MAX(0,BD194-AB194)</f>
        <v/>
      </c>
      <c r="BS194" s="191">
        <f>MAX(0,BE194-AC194)</f>
        <v/>
      </c>
      <c r="BT194" s="191">
        <f>MAX(0,BF194-AD194)</f>
        <v/>
      </c>
      <c r="BU194" s="191">
        <f>MAX(0,BG194-AE194)</f>
        <v/>
      </c>
      <c r="BV194" s="191">
        <f>MAX(0,BH194-AF194)</f>
        <v/>
      </c>
      <c r="BW194" s="191">
        <f>MAX(0,BI194-AG194)</f>
        <v/>
      </c>
      <c r="BX194" s="191">
        <f>MAX(0,BJ194-AH194)</f>
        <v/>
      </c>
      <c r="BY194" s="191">
        <f>MAX(0,BK194-AI194)</f>
        <v/>
      </c>
      <c r="BZ194" s="191">
        <f>MAX(0,BL194-AJ194)</f>
        <v/>
      </c>
      <c r="CA194" s="191">
        <f>MAX(0,BM194-AK194)</f>
        <v/>
      </c>
      <c r="CB194" s="192">
        <f>MAX(0,BN194-AL194)</f>
        <v/>
      </c>
    </row>
    <row r="195">
      <c r="A195" s="64" t="inlineStr">
        <is>
          <t>62766524000145</t>
        </is>
      </c>
      <c r="B195" s="57" t="inlineStr">
        <is>
          <t>B V DA S SOUSA</t>
        </is>
      </c>
      <c r="C195" s="57" t="inlineStr">
        <is>
          <t>VIDA LEVE</t>
        </is>
      </c>
      <c r="D195" s="61" t="inlineStr">
        <is>
          <t>DAIANE STAVICKI</t>
        </is>
      </c>
      <c r="E195" s="30" t="inlineStr">
        <is>
          <t>.</t>
        </is>
      </c>
      <c r="F195" s="63" t="n">
        <v>81</v>
      </c>
      <c r="G195" s="179" t="n">
        <v>0.08</v>
      </c>
      <c r="H195" s="57" t="inlineStr">
        <is>
          <t>🔴 VERMELHO</t>
        </is>
      </c>
      <c r="I195" s="57" t="inlineStr">
        <is>
          <t>ATIVAÇÃO</t>
        </is>
      </c>
      <c r="J195" s="61" t="inlineStr">
        <is>
          <t>Reativar inativos + Prospectar</t>
        </is>
      </c>
      <c r="K195" s="30" t="inlineStr">
        <is>
          <t>.</t>
        </is>
      </c>
      <c r="L195" s="180" t="n">
        <v>6220.570000000001</v>
      </c>
      <c r="M195" s="181" t="n">
        <v>437.14</v>
      </c>
      <c r="N195" s="181" t="n">
        <v>456.79</v>
      </c>
      <c r="O195" s="181" t="n">
        <v>467.8</v>
      </c>
      <c r="P195" s="181" t="n">
        <v>479.99</v>
      </c>
      <c r="Q195" s="181" t="n">
        <v>495.71</v>
      </c>
      <c r="R195" s="181" t="n">
        <v>508.68</v>
      </c>
      <c r="S195" s="181" t="n">
        <v>528.34</v>
      </c>
      <c r="T195" s="181" t="n">
        <v>541.3099999999999</v>
      </c>
      <c r="U195" s="181" t="n">
        <v>553.5</v>
      </c>
      <c r="V195" s="181" t="n">
        <v>567.26</v>
      </c>
      <c r="W195" s="181" t="n">
        <v>582.2</v>
      </c>
      <c r="X195" s="182" t="n">
        <v>601.85</v>
      </c>
      <c r="Y195" s="183" t="inlineStr">
        <is>
          <t>.</t>
        </is>
      </c>
      <c r="Z195" s="184">
        <f>SUM(AA195:AL195)</f>
        <v/>
      </c>
      <c r="AA195" s="185" t="n">
        <v>0</v>
      </c>
      <c r="AB195" s="185" t="n">
        <v>0</v>
      </c>
      <c r="AC195" s="185" t="n">
        <v>0</v>
      </c>
      <c r="AD195" s="185" t="n">
        <v>0</v>
      </c>
      <c r="AE195" s="185" t="n">
        <v>0</v>
      </c>
      <c r="AF195" s="185" t="n">
        <v>0</v>
      </c>
      <c r="AG195" s="185" t="n">
        <v>0</v>
      </c>
      <c r="AH195" s="185" t="n">
        <v>0</v>
      </c>
      <c r="AI195" s="185" t="n">
        <v>0</v>
      </c>
      <c r="AJ195" s="185" t="n">
        <v>0</v>
      </c>
      <c r="AK195" s="185" t="n">
        <v>0</v>
      </c>
      <c r="AL195" s="186" t="n">
        <v>2741.59</v>
      </c>
      <c r="AM195" s="30" t="inlineStr">
        <is>
          <t>.</t>
        </is>
      </c>
      <c r="AN195" s="187">
        <f>IF(L195=0,0,Z195/L195)</f>
        <v/>
      </c>
      <c r="AO195" s="57">
        <f>IF(AN195&gt;=1,"🟢",IF(AN195&gt;=0.7,"🟡",IF(AN195&gt;=0.4,"🟠","🔴")))</f>
        <v/>
      </c>
      <c r="AP195" s="185">
        <f>L195-Z195</f>
        <v/>
      </c>
      <c r="AQ195" s="55">
        <f>RANK(Z195,$Z$4:$Z$503,0)</f>
        <v/>
      </c>
      <c r="AR195" s="39" t="inlineStr">
        <is>
          <t>.</t>
        </is>
      </c>
      <c r="AS195" s="27" t="n"/>
      <c r="AT195" s="27" t="n"/>
      <c r="AU195" s="27" t="n"/>
      <c r="AV195" s="27" t="n"/>
      <c r="AW195" s="27" t="n"/>
      <c r="AX195" s="27" t="n"/>
      <c r="AY195" s="204" t="n"/>
      <c r="AZ195" s="204" t="n"/>
      <c r="BA195" s="38" t="inlineStr">
        <is>
          <t>.</t>
        </is>
      </c>
      <c r="BB195" s="190">
        <f>SUM(BC195:BN195)</f>
        <v/>
      </c>
      <c r="BC195" s="191">
        <f>L195*0.0702730030</f>
        <v/>
      </c>
      <c r="BD195" s="191">
        <f>L195*0.0734327604</f>
        <v/>
      </c>
      <c r="BE195" s="191">
        <f>L195*0.0752022245</f>
        <v/>
      </c>
      <c r="BF195" s="191">
        <f>L195*0.0771612740</f>
        <v/>
      </c>
      <c r="BG195" s="191">
        <f>L195*0.0796890799</f>
        <v/>
      </c>
      <c r="BH195" s="191">
        <f>L195*0.0817745197</f>
        <v/>
      </c>
      <c r="BI195" s="191">
        <f>L195*0.0849342770</f>
        <v/>
      </c>
      <c r="BJ195" s="191">
        <f>L195*0.0870197169</f>
        <v/>
      </c>
      <c r="BK195" s="191">
        <f>L195*0.0889787664</f>
        <v/>
      </c>
      <c r="BL195" s="191">
        <f>L195*0.0911905966</f>
        <v/>
      </c>
      <c r="BM195" s="191">
        <f>L195*0.0935920121</f>
        <v/>
      </c>
      <c r="BN195" s="192">
        <f>L195*0.0967517695</f>
        <v/>
      </c>
      <c r="BO195" s="36" t="inlineStr">
        <is>
          <t>.</t>
        </is>
      </c>
      <c r="BP195" s="193">
        <f>SUM(BQ195:CB195)</f>
        <v/>
      </c>
      <c r="BQ195" s="191">
        <f>MAX(0,BC195-AA195)</f>
        <v/>
      </c>
      <c r="BR195" s="191">
        <f>MAX(0,BD195-AB195)</f>
        <v/>
      </c>
      <c r="BS195" s="191">
        <f>MAX(0,BE195-AC195)</f>
        <v/>
      </c>
      <c r="BT195" s="191">
        <f>MAX(0,BF195-AD195)</f>
        <v/>
      </c>
      <c r="BU195" s="191">
        <f>MAX(0,BG195-AE195)</f>
        <v/>
      </c>
      <c r="BV195" s="191">
        <f>MAX(0,BH195-AF195)</f>
        <v/>
      </c>
      <c r="BW195" s="191">
        <f>MAX(0,BI195-AG195)</f>
        <v/>
      </c>
      <c r="BX195" s="191">
        <f>MAX(0,BJ195-AH195)</f>
        <v/>
      </c>
      <c r="BY195" s="191">
        <f>MAX(0,BK195-AI195)</f>
        <v/>
      </c>
      <c r="BZ195" s="191">
        <f>MAX(0,BL195-AJ195)</f>
        <v/>
      </c>
      <c r="CA195" s="191">
        <f>MAX(0,BM195-AK195)</f>
        <v/>
      </c>
      <c r="CB195" s="192">
        <f>MAX(0,BN195-AL195)</f>
        <v/>
      </c>
    </row>
    <row r="196">
      <c r="A196" s="64" t="inlineStr">
        <is>
          <t>30372997000171</t>
        </is>
      </c>
      <c r="B196" s="57" t="inlineStr">
        <is>
          <t>DSJ COMERCIO DE ALIMENTOS EM GERAL E PAN</t>
        </is>
      </c>
      <c r="C196" s="57" t="inlineStr">
        <is>
          <t>SEM GRUPO</t>
        </is>
      </c>
      <c r="D196" s="61" t="inlineStr">
        <is>
          <t>LARISSA PADILHA</t>
        </is>
      </c>
      <c r="E196" s="30" t="inlineStr">
        <is>
          <t>.</t>
        </is>
      </c>
      <c r="F196" s="63" t="n"/>
      <c r="G196" s="179" t="n"/>
      <c r="H196" s="57" t="n"/>
      <c r="I196" s="57" t="n"/>
      <c r="J196" s="61" t="n"/>
      <c r="K196" s="30" t="inlineStr">
        <is>
          <t>.</t>
        </is>
      </c>
      <c r="L196" s="180" t="n">
        <v>6214.610000000001</v>
      </c>
      <c r="M196" s="181" t="n">
        <v>436.72</v>
      </c>
      <c r="N196" s="181" t="n">
        <v>456.36</v>
      </c>
      <c r="O196" s="181" t="n">
        <v>467.35</v>
      </c>
      <c r="P196" s="181" t="n">
        <v>479.53</v>
      </c>
      <c r="Q196" s="181" t="n">
        <v>495.24</v>
      </c>
      <c r="R196" s="181" t="n">
        <v>508.2</v>
      </c>
      <c r="S196" s="181" t="n">
        <v>527.83</v>
      </c>
      <c r="T196" s="181" t="n">
        <v>540.79</v>
      </c>
      <c r="U196" s="181" t="n">
        <v>552.97</v>
      </c>
      <c r="V196" s="181" t="n">
        <v>566.71</v>
      </c>
      <c r="W196" s="181" t="n">
        <v>581.64</v>
      </c>
      <c r="X196" s="182" t="n">
        <v>601.27</v>
      </c>
      <c r="Y196" s="183" t="inlineStr">
        <is>
          <t>.</t>
        </is>
      </c>
      <c r="Z196" s="184">
        <f>SUM(AA196:AL196)</f>
        <v/>
      </c>
      <c r="AA196" s="185" t="n">
        <v>0</v>
      </c>
      <c r="AB196" s="185" t="n">
        <v>0</v>
      </c>
      <c r="AC196" s="185" t="n">
        <v>0</v>
      </c>
      <c r="AD196" s="185" t="n">
        <v>0</v>
      </c>
      <c r="AE196" s="185" t="n">
        <v>0</v>
      </c>
      <c r="AF196" s="185" t="n">
        <v>0</v>
      </c>
      <c r="AG196" s="185" t="n">
        <v>0</v>
      </c>
      <c r="AH196" s="185" t="n">
        <v>0</v>
      </c>
      <c r="AI196" s="185" t="n">
        <v>0</v>
      </c>
      <c r="AJ196" s="185" t="n">
        <v>0</v>
      </c>
      <c r="AK196" s="185" t="n">
        <v>0</v>
      </c>
      <c r="AL196" s="186" t="n">
        <v>0</v>
      </c>
      <c r="AM196" s="30" t="inlineStr">
        <is>
          <t>.</t>
        </is>
      </c>
      <c r="AN196" s="187">
        <f>IF(L196=0,0,Z196/L196)</f>
        <v/>
      </c>
      <c r="AO196" s="57">
        <f>IF(AN196&gt;=1,"🟢",IF(AN196&gt;=0.7,"🟡",IF(AN196&gt;=0.4,"🟠","🔴")))</f>
        <v/>
      </c>
      <c r="AP196" s="185">
        <f>L196-Z196</f>
        <v/>
      </c>
      <c r="AQ196" s="55">
        <f>RANK(Z196,$Z$4:$Z$503,0)</f>
        <v/>
      </c>
      <c r="AR196" s="39" t="inlineStr">
        <is>
          <t>.</t>
        </is>
      </c>
      <c r="AS196" s="27" t="n"/>
      <c r="AT196" s="27" t="n"/>
      <c r="AU196" s="27" t="n"/>
      <c r="AV196" s="27" t="n"/>
      <c r="AW196" s="27" t="n"/>
      <c r="AX196" s="27" t="n"/>
      <c r="AY196" s="204" t="n"/>
      <c r="AZ196" s="204" t="n"/>
      <c r="BA196" s="38" t="inlineStr">
        <is>
          <t>.</t>
        </is>
      </c>
      <c r="BB196" s="190">
        <f>SUM(BC196:BN196)</f>
        <v/>
      </c>
      <c r="BC196" s="191">
        <f>L196*0.0702730030</f>
        <v/>
      </c>
      <c r="BD196" s="191">
        <f>L196*0.0734327604</f>
        <v/>
      </c>
      <c r="BE196" s="191">
        <f>L196*0.0752022245</f>
        <v/>
      </c>
      <c r="BF196" s="191">
        <f>L196*0.0771612740</f>
        <v/>
      </c>
      <c r="BG196" s="191">
        <f>L196*0.0796890799</f>
        <v/>
      </c>
      <c r="BH196" s="191">
        <f>L196*0.0817745197</f>
        <v/>
      </c>
      <c r="BI196" s="191">
        <f>L196*0.0849342770</f>
        <v/>
      </c>
      <c r="BJ196" s="191">
        <f>L196*0.0870197169</f>
        <v/>
      </c>
      <c r="BK196" s="191">
        <f>L196*0.0889787664</f>
        <v/>
      </c>
      <c r="BL196" s="191">
        <f>L196*0.0911905966</f>
        <v/>
      </c>
      <c r="BM196" s="191">
        <f>L196*0.0935920121</f>
        <v/>
      </c>
      <c r="BN196" s="192">
        <f>L196*0.0967517695</f>
        <v/>
      </c>
      <c r="BO196" s="36" t="inlineStr">
        <is>
          <t>.</t>
        </is>
      </c>
      <c r="BP196" s="193">
        <f>SUM(BQ196:CB196)</f>
        <v/>
      </c>
      <c r="BQ196" s="191">
        <f>MAX(0,BC196-AA196)</f>
        <v/>
      </c>
      <c r="BR196" s="191">
        <f>MAX(0,BD196-AB196)</f>
        <v/>
      </c>
      <c r="BS196" s="191">
        <f>MAX(0,BE196-AC196)</f>
        <v/>
      </c>
      <c r="BT196" s="191">
        <f>MAX(0,BF196-AD196)</f>
        <v/>
      </c>
      <c r="BU196" s="191">
        <f>MAX(0,BG196-AE196)</f>
        <v/>
      </c>
      <c r="BV196" s="191">
        <f>MAX(0,BH196-AF196)</f>
        <v/>
      </c>
      <c r="BW196" s="191">
        <f>MAX(0,BI196-AG196)</f>
        <v/>
      </c>
      <c r="BX196" s="191">
        <f>MAX(0,BJ196-AH196)</f>
        <v/>
      </c>
      <c r="BY196" s="191">
        <f>MAX(0,BK196-AI196)</f>
        <v/>
      </c>
      <c r="BZ196" s="191">
        <f>MAX(0,BL196-AJ196)</f>
        <v/>
      </c>
      <c r="CA196" s="191">
        <f>MAX(0,BM196-AK196)</f>
        <v/>
      </c>
      <c r="CB196" s="192">
        <f>MAX(0,BN196-AL196)</f>
        <v/>
      </c>
    </row>
    <row r="197">
      <c r="A197" s="64" t="inlineStr">
        <is>
          <t>31118319000140</t>
        </is>
      </c>
      <c r="B197" s="57" t="inlineStr">
        <is>
          <t>ELIAS MACIEL DA ROSA - ME</t>
        </is>
      </c>
      <c r="C197" s="57" t="inlineStr">
        <is>
          <t>SEM GRUPO</t>
        </is>
      </c>
      <c r="D197" s="61" t="inlineStr">
        <is>
          <t>HEMANUELE DITZEL (MANU)</t>
        </is>
      </c>
      <c r="E197" s="30" t="inlineStr">
        <is>
          <t>.</t>
        </is>
      </c>
      <c r="F197" s="63" t="n"/>
      <c r="G197" s="179" t="n"/>
      <c r="H197" s="57" t="n"/>
      <c r="I197" s="57" t="n"/>
      <c r="J197" s="61" t="n"/>
      <c r="K197" s="30" t="inlineStr">
        <is>
          <t>.</t>
        </is>
      </c>
      <c r="L197" s="180" t="n">
        <v>6206.64</v>
      </c>
      <c r="M197" s="181" t="n">
        <v>436.16</v>
      </c>
      <c r="N197" s="181" t="n">
        <v>455.77</v>
      </c>
      <c r="O197" s="181" t="n">
        <v>466.75</v>
      </c>
      <c r="P197" s="181" t="n">
        <v>478.91</v>
      </c>
      <c r="Q197" s="181" t="n">
        <v>494.6</v>
      </c>
      <c r="R197" s="181" t="n">
        <v>507.55</v>
      </c>
      <c r="S197" s="181" t="n">
        <v>527.16</v>
      </c>
      <c r="T197" s="181" t="n">
        <v>540.1</v>
      </c>
      <c r="U197" s="181" t="n">
        <v>552.26</v>
      </c>
      <c r="V197" s="181" t="n">
        <v>565.99</v>
      </c>
      <c r="W197" s="181" t="n">
        <v>580.89</v>
      </c>
      <c r="X197" s="182" t="n">
        <v>600.5</v>
      </c>
      <c r="Y197" s="183" t="inlineStr">
        <is>
          <t>.</t>
        </is>
      </c>
      <c r="Z197" s="184">
        <f>SUM(AA197:AL197)</f>
        <v/>
      </c>
      <c r="AA197" s="185" t="n">
        <v>0</v>
      </c>
      <c r="AB197" s="185" t="n">
        <v>0</v>
      </c>
      <c r="AC197" s="185" t="n">
        <v>0</v>
      </c>
      <c r="AD197" s="185" t="n">
        <v>0</v>
      </c>
      <c r="AE197" s="185" t="n">
        <v>0</v>
      </c>
      <c r="AF197" s="185" t="n">
        <v>0</v>
      </c>
      <c r="AG197" s="185" t="n">
        <v>0</v>
      </c>
      <c r="AH197" s="185" t="n">
        <v>0</v>
      </c>
      <c r="AI197" s="185" t="n">
        <v>0</v>
      </c>
      <c r="AJ197" s="185" t="n">
        <v>3530.72</v>
      </c>
      <c r="AK197" s="185" t="n">
        <v>0</v>
      </c>
      <c r="AL197" s="186" t="n">
        <v>0</v>
      </c>
      <c r="AM197" s="30" t="inlineStr">
        <is>
          <t>.</t>
        </is>
      </c>
      <c r="AN197" s="187">
        <f>IF(L197=0,0,Z197/L197)</f>
        <v/>
      </c>
      <c r="AO197" s="57">
        <f>IF(AN197&gt;=1,"🟢",IF(AN197&gt;=0.7,"🟡",IF(AN197&gt;=0.4,"🟠","🔴")))</f>
        <v/>
      </c>
      <c r="AP197" s="185">
        <f>L197-Z197</f>
        <v/>
      </c>
      <c r="AQ197" s="55">
        <f>RANK(Z197,$Z$4:$Z$503,0)</f>
        <v/>
      </c>
      <c r="AR197" s="39" t="inlineStr">
        <is>
          <t>.</t>
        </is>
      </c>
      <c r="AS197" s="27" t="n"/>
      <c r="AT197" s="27" t="n"/>
      <c r="AU197" s="27" t="n"/>
      <c r="AV197" s="27" t="n"/>
      <c r="AW197" s="27" t="n"/>
      <c r="AX197" s="27" t="n"/>
      <c r="AY197" s="204" t="n"/>
      <c r="AZ197" s="204" t="n"/>
      <c r="BA197" s="38" t="inlineStr">
        <is>
          <t>.</t>
        </is>
      </c>
      <c r="BB197" s="190">
        <f>SUM(BC197:BN197)</f>
        <v/>
      </c>
      <c r="BC197" s="191">
        <f>L197*0.0702730030</f>
        <v/>
      </c>
      <c r="BD197" s="191">
        <f>L197*0.0734327604</f>
        <v/>
      </c>
      <c r="BE197" s="191">
        <f>L197*0.0752022245</f>
        <v/>
      </c>
      <c r="BF197" s="191">
        <f>L197*0.0771612740</f>
        <v/>
      </c>
      <c r="BG197" s="191">
        <f>L197*0.0796890799</f>
        <v/>
      </c>
      <c r="BH197" s="191">
        <f>L197*0.0817745197</f>
        <v/>
      </c>
      <c r="BI197" s="191">
        <f>L197*0.0849342770</f>
        <v/>
      </c>
      <c r="BJ197" s="191">
        <f>L197*0.0870197169</f>
        <v/>
      </c>
      <c r="BK197" s="191">
        <f>L197*0.0889787664</f>
        <v/>
      </c>
      <c r="BL197" s="191">
        <f>L197*0.0911905966</f>
        <v/>
      </c>
      <c r="BM197" s="191">
        <f>L197*0.0935920121</f>
        <v/>
      </c>
      <c r="BN197" s="192">
        <f>L197*0.0967517695</f>
        <v/>
      </c>
      <c r="BO197" s="36" t="inlineStr">
        <is>
          <t>.</t>
        </is>
      </c>
      <c r="BP197" s="193">
        <f>SUM(BQ197:CB197)</f>
        <v/>
      </c>
      <c r="BQ197" s="191">
        <f>MAX(0,BC197-AA197)</f>
        <v/>
      </c>
      <c r="BR197" s="191">
        <f>MAX(0,BD197-AB197)</f>
        <v/>
      </c>
      <c r="BS197" s="191">
        <f>MAX(0,BE197-AC197)</f>
        <v/>
      </c>
      <c r="BT197" s="191">
        <f>MAX(0,BF197-AD197)</f>
        <v/>
      </c>
      <c r="BU197" s="191">
        <f>MAX(0,BG197-AE197)</f>
        <v/>
      </c>
      <c r="BV197" s="191">
        <f>MAX(0,BH197-AF197)</f>
        <v/>
      </c>
      <c r="BW197" s="191">
        <f>MAX(0,BI197-AG197)</f>
        <v/>
      </c>
      <c r="BX197" s="191">
        <f>MAX(0,BJ197-AH197)</f>
        <v/>
      </c>
      <c r="BY197" s="191">
        <f>MAX(0,BK197-AI197)</f>
        <v/>
      </c>
      <c r="BZ197" s="191">
        <f>MAX(0,BL197-AJ197)</f>
        <v/>
      </c>
      <c r="CA197" s="191">
        <f>MAX(0,BM197-AK197)</f>
        <v/>
      </c>
      <c r="CB197" s="192">
        <f>MAX(0,BN197-AL197)</f>
        <v/>
      </c>
    </row>
    <row r="198">
      <c r="A198" s="64" t="inlineStr">
        <is>
          <t>62333916000110</t>
        </is>
      </c>
      <c r="B198" s="57" t="inlineStr">
        <is>
          <t>JOAO MANOEL SILVA NASCIMENTO LTDA - ME</t>
        </is>
      </c>
      <c r="C198" s="57" t="inlineStr">
        <is>
          <t>VIDA LEVE</t>
        </is>
      </c>
      <c r="D198" s="61" t="inlineStr">
        <is>
          <t>DAIANE STAVICKI</t>
        </is>
      </c>
      <c r="E198" s="30" t="inlineStr">
        <is>
          <t>.</t>
        </is>
      </c>
      <c r="F198" s="63" t="n">
        <v>81</v>
      </c>
      <c r="G198" s="179" t="n">
        <v>0.08</v>
      </c>
      <c r="H198" s="57" t="inlineStr">
        <is>
          <t>🔴 VERMELHO</t>
        </is>
      </c>
      <c r="I198" s="57" t="inlineStr">
        <is>
          <t>ATIVAÇÃO</t>
        </is>
      </c>
      <c r="J198" s="61" t="inlineStr">
        <is>
          <t>Reativar inativos + Prospectar</t>
        </is>
      </c>
      <c r="K198" s="30" t="inlineStr">
        <is>
          <t>.</t>
        </is>
      </c>
      <c r="L198" s="180" t="n">
        <v>6202.9</v>
      </c>
      <c r="M198" s="181" t="n">
        <v>435.9</v>
      </c>
      <c r="N198" s="181" t="n">
        <v>455.5</v>
      </c>
      <c r="O198" s="181" t="n">
        <v>466.47</v>
      </c>
      <c r="P198" s="181" t="n">
        <v>478.62</v>
      </c>
      <c r="Q198" s="181" t="n">
        <v>494.3</v>
      </c>
      <c r="R198" s="181" t="n">
        <v>507.24</v>
      </c>
      <c r="S198" s="181" t="n">
        <v>526.84</v>
      </c>
      <c r="T198" s="181" t="n">
        <v>539.77</v>
      </c>
      <c r="U198" s="181" t="n">
        <v>551.9299999999999</v>
      </c>
      <c r="V198" s="181" t="n">
        <v>565.65</v>
      </c>
      <c r="W198" s="181" t="n">
        <v>580.54</v>
      </c>
      <c r="X198" s="182" t="n">
        <v>600.14</v>
      </c>
      <c r="Y198" s="183" t="inlineStr">
        <is>
          <t>.</t>
        </is>
      </c>
      <c r="Z198" s="184">
        <f>SUM(AA198:AL198)</f>
        <v/>
      </c>
      <c r="AA198" s="185" t="n">
        <v>0</v>
      </c>
      <c r="AB198" s="185" t="n">
        <v>0</v>
      </c>
      <c r="AC198" s="185" t="n">
        <v>0</v>
      </c>
      <c r="AD198" s="185" t="n">
        <v>0</v>
      </c>
      <c r="AE198" s="185" t="n">
        <v>0</v>
      </c>
      <c r="AF198" s="185" t="n">
        <v>0</v>
      </c>
      <c r="AG198" s="185" t="n">
        <v>0</v>
      </c>
      <c r="AH198" s="185" t="n">
        <v>0</v>
      </c>
      <c r="AI198" s="185" t="n">
        <v>0</v>
      </c>
      <c r="AJ198" s="185" t="n">
        <v>0</v>
      </c>
      <c r="AK198" s="185" t="n">
        <v>0</v>
      </c>
      <c r="AL198" s="186" t="n">
        <v>2733.8</v>
      </c>
      <c r="AM198" s="30" t="inlineStr">
        <is>
          <t>.</t>
        </is>
      </c>
      <c r="AN198" s="187">
        <f>IF(L198=0,0,Z198/L198)</f>
        <v/>
      </c>
      <c r="AO198" s="57">
        <f>IF(AN198&gt;=1,"🟢",IF(AN198&gt;=0.7,"🟡",IF(AN198&gt;=0.4,"🟠","🔴")))</f>
        <v/>
      </c>
      <c r="AP198" s="185">
        <f>L198-Z198</f>
        <v/>
      </c>
      <c r="AQ198" s="55">
        <f>RANK(Z198,$Z$4:$Z$503,0)</f>
        <v/>
      </c>
      <c r="AR198" s="39" t="inlineStr">
        <is>
          <t>.</t>
        </is>
      </c>
      <c r="AS198" s="27" t="n"/>
      <c r="AT198" s="27" t="n"/>
      <c r="AU198" s="27" t="n"/>
      <c r="AV198" s="27" t="n"/>
      <c r="AW198" s="27" t="n"/>
      <c r="AX198" s="27" t="n"/>
      <c r="AY198" s="204" t="n"/>
      <c r="AZ198" s="204" t="n"/>
      <c r="BA198" s="38" t="inlineStr">
        <is>
          <t>.</t>
        </is>
      </c>
      <c r="BB198" s="190">
        <f>SUM(BC198:BN198)</f>
        <v/>
      </c>
      <c r="BC198" s="191">
        <f>L198*0.0702730030</f>
        <v/>
      </c>
      <c r="BD198" s="191">
        <f>L198*0.0734327604</f>
        <v/>
      </c>
      <c r="BE198" s="191">
        <f>L198*0.0752022245</f>
        <v/>
      </c>
      <c r="BF198" s="191">
        <f>L198*0.0771612740</f>
        <v/>
      </c>
      <c r="BG198" s="191">
        <f>L198*0.0796890799</f>
        <v/>
      </c>
      <c r="BH198" s="191">
        <f>L198*0.0817745197</f>
        <v/>
      </c>
      <c r="BI198" s="191">
        <f>L198*0.0849342770</f>
        <v/>
      </c>
      <c r="BJ198" s="191">
        <f>L198*0.0870197169</f>
        <v/>
      </c>
      <c r="BK198" s="191">
        <f>L198*0.0889787664</f>
        <v/>
      </c>
      <c r="BL198" s="191">
        <f>L198*0.0911905966</f>
        <v/>
      </c>
      <c r="BM198" s="191">
        <f>L198*0.0935920121</f>
        <v/>
      </c>
      <c r="BN198" s="192">
        <f>L198*0.0967517695</f>
        <v/>
      </c>
      <c r="BO198" s="36" t="inlineStr">
        <is>
          <t>.</t>
        </is>
      </c>
      <c r="BP198" s="193">
        <f>SUM(BQ198:CB198)</f>
        <v/>
      </c>
      <c r="BQ198" s="191">
        <f>MAX(0,BC198-AA198)</f>
        <v/>
      </c>
      <c r="BR198" s="191">
        <f>MAX(0,BD198-AB198)</f>
        <v/>
      </c>
      <c r="BS198" s="191">
        <f>MAX(0,BE198-AC198)</f>
        <v/>
      </c>
      <c r="BT198" s="191">
        <f>MAX(0,BF198-AD198)</f>
        <v/>
      </c>
      <c r="BU198" s="191">
        <f>MAX(0,BG198-AE198)</f>
        <v/>
      </c>
      <c r="BV198" s="191">
        <f>MAX(0,BH198-AF198)</f>
        <v/>
      </c>
      <c r="BW198" s="191">
        <f>MAX(0,BI198-AG198)</f>
        <v/>
      </c>
      <c r="BX198" s="191">
        <f>MAX(0,BJ198-AH198)</f>
        <v/>
      </c>
      <c r="BY198" s="191">
        <f>MAX(0,BK198-AI198)</f>
        <v/>
      </c>
      <c r="BZ198" s="191">
        <f>MAX(0,BL198-AJ198)</f>
        <v/>
      </c>
      <c r="CA198" s="191">
        <f>MAX(0,BM198-AK198)</f>
        <v/>
      </c>
      <c r="CB198" s="192">
        <f>MAX(0,BN198-AL198)</f>
        <v/>
      </c>
    </row>
    <row r="199">
      <c r="A199" s="64" t="inlineStr">
        <is>
          <t>36093651000110</t>
        </is>
      </c>
      <c r="B199" s="57" t="inlineStr">
        <is>
          <t>MODESTA VEGANA MERCADO E CAFE LTDA - ME</t>
        </is>
      </c>
      <c r="C199" s="57" t="inlineStr">
        <is>
          <t>SEM GRUPO</t>
        </is>
      </c>
      <c r="D199" s="61" t="inlineStr">
        <is>
          <t>HEMANUELE DITZEL (MANU)</t>
        </is>
      </c>
      <c r="E199" s="30" t="inlineStr">
        <is>
          <t>.</t>
        </is>
      </c>
      <c r="F199" s="63" t="n"/>
      <c r="G199" s="179" t="n"/>
      <c r="H199" s="57" t="n"/>
      <c r="I199" s="57" t="n"/>
      <c r="J199" s="61" t="n"/>
      <c r="K199" s="30" t="inlineStr">
        <is>
          <t>.</t>
        </is>
      </c>
      <c r="L199" s="180" t="n">
        <v>6110.35</v>
      </c>
      <c r="M199" s="181" t="n">
        <v>429.39</v>
      </c>
      <c r="N199" s="181" t="n">
        <v>448.7</v>
      </c>
      <c r="O199" s="181" t="n">
        <v>459.51</v>
      </c>
      <c r="P199" s="181" t="n">
        <v>471.48</v>
      </c>
      <c r="Q199" s="181" t="n">
        <v>486.93</v>
      </c>
      <c r="R199" s="181" t="n">
        <v>499.67</v>
      </c>
      <c r="S199" s="181" t="n">
        <v>518.98</v>
      </c>
      <c r="T199" s="181" t="n">
        <v>531.72</v>
      </c>
      <c r="U199" s="181" t="n">
        <v>543.6900000000001</v>
      </c>
      <c r="V199" s="181" t="n">
        <v>557.21</v>
      </c>
      <c r="W199" s="181" t="n">
        <v>571.88</v>
      </c>
      <c r="X199" s="182" t="n">
        <v>591.1900000000001</v>
      </c>
      <c r="Y199" s="183" t="inlineStr">
        <is>
          <t>.</t>
        </is>
      </c>
      <c r="Z199" s="184">
        <f>SUM(AA199:AL199)</f>
        <v/>
      </c>
      <c r="AA199" s="185" t="n">
        <v>0</v>
      </c>
      <c r="AB199" s="185" t="n">
        <v>0</v>
      </c>
      <c r="AC199" s="185" t="n">
        <v>794.66</v>
      </c>
      <c r="AD199" s="185" t="n">
        <v>0</v>
      </c>
      <c r="AE199" s="185" t="n">
        <v>0</v>
      </c>
      <c r="AF199" s="185" t="n">
        <v>0</v>
      </c>
      <c r="AG199" s="185" t="n">
        <v>1077.66</v>
      </c>
      <c r="AH199" s="185" t="n">
        <v>0</v>
      </c>
      <c r="AI199" s="185" t="n">
        <v>0</v>
      </c>
      <c r="AJ199" s="185" t="n">
        <v>0</v>
      </c>
      <c r="AK199" s="185" t="n">
        <v>0</v>
      </c>
      <c r="AL199" s="186" t="n">
        <v>866.3200000000001</v>
      </c>
      <c r="AM199" s="30" t="inlineStr">
        <is>
          <t>.</t>
        </is>
      </c>
      <c r="AN199" s="187">
        <f>IF(L199=0,0,Z199/L199)</f>
        <v/>
      </c>
      <c r="AO199" s="57">
        <f>IF(AN199&gt;=1,"🟢",IF(AN199&gt;=0.7,"🟡",IF(AN199&gt;=0.4,"🟠","🔴")))</f>
        <v/>
      </c>
      <c r="AP199" s="185">
        <f>L199-Z199</f>
        <v/>
      </c>
      <c r="AQ199" s="55">
        <f>RANK(Z199,$Z$4:$Z$503,0)</f>
        <v/>
      </c>
      <c r="AR199" s="39" t="inlineStr">
        <is>
          <t>.</t>
        </is>
      </c>
      <c r="AS199" s="27" t="n"/>
      <c r="AT199" s="27" t="n"/>
      <c r="AU199" s="27" t="n"/>
      <c r="AV199" s="27" t="n"/>
      <c r="AW199" s="27" t="n"/>
      <c r="AX199" s="27" t="n"/>
      <c r="AY199" s="204" t="n"/>
      <c r="AZ199" s="204" t="n"/>
      <c r="BA199" s="38" t="inlineStr">
        <is>
          <t>.</t>
        </is>
      </c>
      <c r="BB199" s="190">
        <f>SUM(BC199:BN199)</f>
        <v/>
      </c>
      <c r="BC199" s="191">
        <f>L199*0.0702730030</f>
        <v/>
      </c>
      <c r="BD199" s="191">
        <f>L199*0.0734327604</f>
        <v/>
      </c>
      <c r="BE199" s="191">
        <f>L199*0.0752022245</f>
        <v/>
      </c>
      <c r="BF199" s="191">
        <f>L199*0.0771612740</f>
        <v/>
      </c>
      <c r="BG199" s="191">
        <f>L199*0.0796890799</f>
        <v/>
      </c>
      <c r="BH199" s="191">
        <f>L199*0.0817745197</f>
        <v/>
      </c>
      <c r="BI199" s="191">
        <f>L199*0.0849342770</f>
        <v/>
      </c>
      <c r="BJ199" s="191">
        <f>L199*0.0870197169</f>
        <v/>
      </c>
      <c r="BK199" s="191">
        <f>L199*0.0889787664</f>
        <v/>
      </c>
      <c r="BL199" s="191">
        <f>L199*0.0911905966</f>
        <v/>
      </c>
      <c r="BM199" s="191">
        <f>L199*0.0935920121</f>
        <v/>
      </c>
      <c r="BN199" s="192">
        <f>L199*0.0967517695</f>
        <v/>
      </c>
      <c r="BO199" s="36" t="inlineStr">
        <is>
          <t>.</t>
        </is>
      </c>
      <c r="BP199" s="193">
        <f>SUM(BQ199:CB199)</f>
        <v/>
      </c>
      <c r="BQ199" s="191">
        <f>MAX(0,BC199-AA199)</f>
        <v/>
      </c>
      <c r="BR199" s="191">
        <f>MAX(0,BD199-AB199)</f>
        <v/>
      </c>
      <c r="BS199" s="191">
        <f>MAX(0,BE199-AC199)</f>
        <v/>
      </c>
      <c r="BT199" s="191">
        <f>MAX(0,BF199-AD199)</f>
        <v/>
      </c>
      <c r="BU199" s="191">
        <f>MAX(0,BG199-AE199)</f>
        <v/>
      </c>
      <c r="BV199" s="191">
        <f>MAX(0,BH199-AF199)</f>
        <v/>
      </c>
      <c r="BW199" s="191">
        <f>MAX(0,BI199-AG199)</f>
        <v/>
      </c>
      <c r="BX199" s="191">
        <f>MAX(0,BJ199-AH199)</f>
        <v/>
      </c>
      <c r="BY199" s="191">
        <f>MAX(0,BK199-AI199)</f>
        <v/>
      </c>
      <c r="BZ199" s="191">
        <f>MAX(0,BL199-AJ199)</f>
        <v/>
      </c>
      <c r="CA199" s="191">
        <f>MAX(0,BM199-AK199)</f>
        <v/>
      </c>
      <c r="CB199" s="192">
        <f>MAX(0,BN199-AL199)</f>
        <v/>
      </c>
    </row>
    <row r="200">
      <c r="A200" s="64" t="inlineStr">
        <is>
          <t>26240684000192</t>
        </is>
      </c>
      <c r="B200" s="57" t="inlineStr">
        <is>
          <t>FORCE SUPLEMENTOS E PRODUTOS NATURAIS LT</t>
        </is>
      </c>
      <c r="C200" s="57" t="inlineStr">
        <is>
          <t>SEM GRUPO</t>
        </is>
      </c>
      <c r="D200" s="61" t="inlineStr">
        <is>
          <t>HEMANUELE DITZEL (MANU)</t>
        </is>
      </c>
      <c r="E200" s="30" t="inlineStr">
        <is>
          <t>.</t>
        </is>
      </c>
      <c r="F200" s="63" t="n"/>
      <c r="G200" s="179" t="n"/>
      <c r="H200" s="57" t="n"/>
      <c r="I200" s="57" t="n"/>
      <c r="J200" s="61" t="n"/>
      <c r="K200" s="30" t="inlineStr">
        <is>
          <t>.</t>
        </is>
      </c>
      <c r="L200" s="180" t="n">
        <v>6086.51</v>
      </c>
      <c r="M200" s="181" t="n">
        <v>427.72</v>
      </c>
      <c r="N200" s="181" t="n">
        <v>446.95</v>
      </c>
      <c r="O200" s="181" t="n">
        <v>457.72</v>
      </c>
      <c r="P200" s="181" t="n">
        <v>469.64</v>
      </c>
      <c r="Q200" s="181" t="n">
        <v>485.03</v>
      </c>
      <c r="R200" s="181" t="n">
        <v>497.72</v>
      </c>
      <c r="S200" s="181" t="n">
        <v>516.95</v>
      </c>
      <c r="T200" s="181" t="n">
        <v>529.65</v>
      </c>
      <c r="U200" s="181" t="n">
        <v>541.5700000000001</v>
      </c>
      <c r="V200" s="181" t="n">
        <v>555.03</v>
      </c>
      <c r="W200" s="181" t="n">
        <v>569.65</v>
      </c>
      <c r="X200" s="182" t="n">
        <v>588.88</v>
      </c>
      <c r="Y200" s="183" t="inlineStr">
        <is>
          <t>.</t>
        </is>
      </c>
      <c r="Z200" s="184">
        <f>SUM(AA200:AL200)</f>
        <v/>
      </c>
      <c r="AA200" s="185" t="n">
        <v>0</v>
      </c>
      <c r="AB200" s="185" t="n">
        <v>0</v>
      </c>
      <c r="AC200" s="185" t="n">
        <v>0</v>
      </c>
      <c r="AD200" s="185" t="n">
        <v>0</v>
      </c>
      <c r="AE200" s="185" t="n">
        <v>0</v>
      </c>
      <c r="AF200" s="185" t="n">
        <v>0</v>
      </c>
      <c r="AG200" s="185" t="n">
        <v>0</v>
      </c>
      <c r="AH200" s="185" t="n">
        <v>2564.68</v>
      </c>
      <c r="AI200" s="185" t="n">
        <v>0</v>
      </c>
      <c r="AJ200" s="185" t="n">
        <v>0</v>
      </c>
      <c r="AK200" s="185" t="n">
        <v>0</v>
      </c>
      <c r="AL200" s="186" t="n">
        <v>0</v>
      </c>
      <c r="AM200" s="30" t="inlineStr">
        <is>
          <t>.</t>
        </is>
      </c>
      <c r="AN200" s="187">
        <f>IF(L200=0,0,Z200/L200)</f>
        <v/>
      </c>
      <c r="AO200" s="57">
        <f>IF(AN200&gt;=1,"🟢",IF(AN200&gt;=0.7,"🟡",IF(AN200&gt;=0.4,"🟠","🔴")))</f>
        <v/>
      </c>
      <c r="AP200" s="185">
        <f>L200-Z200</f>
        <v/>
      </c>
      <c r="AQ200" s="55">
        <f>RANK(Z200,$Z$4:$Z$503,0)</f>
        <v/>
      </c>
      <c r="AR200" s="39" t="inlineStr">
        <is>
          <t>.</t>
        </is>
      </c>
      <c r="AS200" s="27" t="n"/>
      <c r="AT200" s="27" t="n"/>
      <c r="AU200" s="27" t="n"/>
      <c r="AV200" s="27" t="n"/>
      <c r="AW200" s="27" t="n"/>
      <c r="AX200" s="27" t="n"/>
      <c r="AY200" s="204" t="n"/>
      <c r="AZ200" s="204" t="n"/>
      <c r="BA200" s="38" t="inlineStr">
        <is>
          <t>.</t>
        </is>
      </c>
      <c r="BB200" s="190">
        <f>SUM(BC200:BN200)</f>
        <v/>
      </c>
      <c r="BC200" s="191">
        <f>L200*0.0702730030</f>
        <v/>
      </c>
      <c r="BD200" s="191">
        <f>L200*0.0734327604</f>
        <v/>
      </c>
      <c r="BE200" s="191">
        <f>L200*0.0752022245</f>
        <v/>
      </c>
      <c r="BF200" s="191">
        <f>L200*0.0771612740</f>
        <v/>
      </c>
      <c r="BG200" s="191">
        <f>L200*0.0796890799</f>
        <v/>
      </c>
      <c r="BH200" s="191">
        <f>L200*0.0817745197</f>
        <v/>
      </c>
      <c r="BI200" s="191">
        <f>L200*0.0849342770</f>
        <v/>
      </c>
      <c r="BJ200" s="191">
        <f>L200*0.0870197169</f>
        <v/>
      </c>
      <c r="BK200" s="191">
        <f>L200*0.0889787664</f>
        <v/>
      </c>
      <c r="BL200" s="191">
        <f>L200*0.0911905966</f>
        <v/>
      </c>
      <c r="BM200" s="191">
        <f>L200*0.0935920121</f>
        <v/>
      </c>
      <c r="BN200" s="192">
        <f>L200*0.0967517695</f>
        <v/>
      </c>
      <c r="BO200" s="36" t="inlineStr">
        <is>
          <t>.</t>
        </is>
      </c>
      <c r="BP200" s="193">
        <f>SUM(BQ200:CB200)</f>
        <v/>
      </c>
      <c r="BQ200" s="191">
        <f>MAX(0,BC200-AA200)</f>
        <v/>
      </c>
      <c r="BR200" s="191">
        <f>MAX(0,BD200-AB200)</f>
        <v/>
      </c>
      <c r="BS200" s="191">
        <f>MAX(0,BE200-AC200)</f>
        <v/>
      </c>
      <c r="BT200" s="191">
        <f>MAX(0,BF200-AD200)</f>
        <v/>
      </c>
      <c r="BU200" s="191">
        <f>MAX(0,BG200-AE200)</f>
        <v/>
      </c>
      <c r="BV200" s="191">
        <f>MAX(0,BH200-AF200)</f>
        <v/>
      </c>
      <c r="BW200" s="191">
        <f>MAX(0,BI200-AG200)</f>
        <v/>
      </c>
      <c r="BX200" s="191">
        <f>MAX(0,BJ200-AH200)</f>
        <v/>
      </c>
      <c r="BY200" s="191">
        <f>MAX(0,BK200-AI200)</f>
        <v/>
      </c>
      <c r="BZ200" s="191">
        <f>MAX(0,BL200-AJ200)</f>
        <v/>
      </c>
      <c r="CA200" s="191">
        <f>MAX(0,BM200-AK200)</f>
        <v/>
      </c>
      <c r="CB200" s="192">
        <f>MAX(0,BN200-AL200)</f>
        <v/>
      </c>
    </row>
    <row r="201">
      <c r="A201" s="64" t="inlineStr">
        <is>
          <t>60519117000108</t>
        </is>
      </c>
      <c r="B201" s="57" t="inlineStr">
        <is>
          <t>BARROSO E CECILIO COMERCIO LTDA - ME</t>
        </is>
      </c>
      <c r="C201" s="57" t="inlineStr">
        <is>
          <t>VIDA LEVE</t>
        </is>
      </c>
      <c r="D201" s="61" t="inlineStr">
        <is>
          <t>DAIANE STAVICKI</t>
        </is>
      </c>
      <c r="E201" s="30" t="inlineStr">
        <is>
          <t>.</t>
        </is>
      </c>
      <c r="F201" s="63" t="n">
        <v>81</v>
      </c>
      <c r="G201" s="179" t="n">
        <v>0.08</v>
      </c>
      <c r="H201" s="57" t="inlineStr">
        <is>
          <t>🔴 VERMELHO</t>
        </is>
      </c>
      <c r="I201" s="57" t="inlineStr">
        <is>
          <t>ATIVAÇÃO</t>
        </is>
      </c>
      <c r="J201" s="61" t="inlineStr">
        <is>
          <t>Reativar inativos + Prospectar</t>
        </is>
      </c>
      <c r="K201" s="30" t="inlineStr">
        <is>
          <t>.</t>
        </is>
      </c>
      <c r="L201" s="180" t="n">
        <v>5941.309999999999</v>
      </c>
      <c r="M201" s="181" t="n">
        <v>417.51</v>
      </c>
      <c r="N201" s="181" t="n">
        <v>436.29</v>
      </c>
      <c r="O201" s="181" t="n">
        <v>446.8</v>
      </c>
      <c r="P201" s="181" t="n">
        <v>458.44</v>
      </c>
      <c r="Q201" s="181" t="n">
        <v>473.46</v>
      </c>
      <c r="R201" s="181" t="n">
        <v>485.85</v>
      </c>
      <c r="S201" s="181" t="n">
        <v>504.62</v>
      </c>
      <c r="T201" s="181" t="n">
        <v>517.01</v>
      </c>
      <c r="U201" s="181" t="n">
        <v>528.65</v>
      </c>
      <c r="V201" s="181" t="n">
        <v>541.79</v>
      </c>
      <c r="W201" s="181" t="n">
        <v>556.0599999999999</v>
      </c>
      <c r="X201" s="182" t="n">
        <v>574.83</v>
      </c>
      <c r="Y201" s="183" t="inlineStr">
        <is>
          <t>.</t>
        </is>
      </c>
      <c r="Z201" s="184">
        <f>SUM(AA201:AL201)</f>
        <v/>
      </c>
      <c r="AA201" s="185" t="n">
        <v>0</v>
      </c>
      <c r="AB201" s="185" t="n">
        <v>0</v>
      </c>
      <c r="AC201" s="185" t="n">
        <v>0</v>
      </c>
      <c r="AD201" s="185" t="n">
        <v>0</v>
      </c>
      <c r="AE201" s="185" t="n">
        <v>0</v>
      </c>
      <c r="AF201" s="185" t="n">
        <v>0</v>
      </c>
      <c r="AG201" s="185" t="n">
        <v>0</v>
      </c>
      <c r="AH201" s="185" t="n">
        <v>0</v>
      </c>
      <c r="AI201" s="185" t="n">
        <v>0</v>
      </c>
      <c r="AJ201" s="185" t="n">
        <v>0</v>
      </c>
      <c r="AK201" s="185" t="n">
        <v>3169.21</v>
      </c>
      <c r="AL201" s="186" t="n">
        <v>0</v>
      </c>
      <c r="AM201" s="30" t="inlineStr">
        <is>
          <t>.</t>
        </is>
      </c>
      <c r="AN201" s="187">
        <f>IF(L201=0,0,Z201/L201)</f>
        <v/>
      </c>
      <c r="AO201" s="57">
        <f>IF(AN201&gt;=1,"🟢",IF(AN201&gt;=0.7,"🟡",IF(AN201&gt;=0.4,"🟠","🔴")))</f>
        <v/>
      </c>
      <c r="AP201" s="185">
        <f>L201-Z201</f>
        <v/>
      </c>
      <c r="AQ201" s="55">
        <f>RANK(Z201,$Z$4:$Z$503,0)</f>
        <v/>
      </c>
      <c r="AR201" s="39" t="inlineStr">
        <is>
          <t>.</t>
        </is>
      </c>
      <c r="AS201" s="27" t="n"/>
      <c r="AT201" s="27" t="n"/>
      <c r="AU201" s="27" t="n"/>
      <c r="AV201" s="27" t="n"/>
      <c r="AW201" s="27" t="n"/>
      <c r="AX201" s="27" t="n"/>
      <c r="AY201" s="204" t="n"/>
      <c r="AZ201" s="204" t="n"/>
      <c r="BA201" s="38" t="inlineStr">
        <is>
          <t>.</t>
        </is>
      </c>
      <c r="BB201" s="190">
        <f>SUM(BC201:BN201)</f>
        <v/>
      </c>
      <c r="BC201" s="191">
        <f>L201*0.0702730030</f>
        <v/>
      </c>
      <c r="BD201" s="191">
        <f>L201*0.0734327604</f>
        <v/>
      </c>
      <c r="BE201" s="191">
        <f>L201*0.0752022245</f>
        <v/>
      </c>
      <c r="BF201" s="191">
        <f>L201*0.0771612740</f>
        <v/>
      </c>
      <c r="BG201" s="191">
        <f>L201*0.0796890799</f>
        <v/>
      </c>
      <c r="BH201" s="191">
        <f>L201*0.0817745197</f>
        <v/>
      </c>
      <c r="BI201" s="191">
        <f>L201*0.0849342770</f>
        <v/>
      </c>
      <c r="BJ201" s="191">
        <f>L201*0.0870197169</f>
        <v/>
      </c>
      <c r="BK201" s="191">
        <f>L201*0.0889787664</f>
        <v/>
      </c>
      <c r="BL201" s="191">
        <f>L201*0.0911905966</f>
        <v/>
      </c>
      <c r="BM201" s="191">
        <f>L201*0.0935920121</f>
        <v/>
      </c>
      <c r="BN201" s="192">
        <f>L201*0.0967517695</f>
        <v/>
      </c>
      <c r="BO201" s="36" t="inlineStr">
        <is>
          <t>.</t>
        </is>
      </c>
      <c r="BP201" s="193">
        <f>SUM(BQ201:CB201)</f>
        <v/>
      </c>
      <c r="BQ201" s="191">
        <f>MAX(0,BC201-AA201)</f>
        <v/>
      </c>
      <c r="BR201" s="191">
        <f>MAX(0,BD201-AB201)</f>
        <v/>
      </c>
      <c r="BS201" s="191">
        <f>MAX(0,BE201-AC201)</f>
        <v/>
      </c>
      <c r="BT201" s="191">
        <f>MAX(0,BF201-AD201)</f>
        <v/>
      </c>
      <c r="BU201" s="191">
        <f>MAX(0,BG201-AE201)</f>
        <v/>
      </c>
      <c r="BV201" s="191">
        <f>MAX(0,BH201-AF201)</f>
        <v/>
      </c>
      <c r="BW201" s="191">
        <f>MAX(0,BI201-AG201)</f>
        <v/>
      </c>
      <c r="BX201" s="191">
        <f>MAX(0,BJ201-AH201)</f>
        <v/>
      </c>
      <c r="BY201" s="191">
        <f>MAX(0,BK201-AI201)</f>
        <v/>
      </c>
      <c r="BZ201" s="191">
        <f>MAX(0,BL201-AJ201)</f>
        <v/>
      </c>
      <c r="CA201" s="191">
        <f>MAX(0,BM201-AK201)</f>
        <v/>
      </c>
      <c r="CB201" s="192">
        <f>MAX(0,BN201-AL201)</f>
        <v/>
      </c>
    </row>
    <row r="202">
      <c r="A202" s="64" t="inlineStr">
        <is>
          <t>62555863000182</t>
        </is>
      </c>
      <c r="B202" s="57" t="inlineStr">
        <is>
          <t>EVOLUCAO FIT NUTRICAO LTDA - ME</t>
        </is>
      </c>
      <c r="C202" s="57" t="inlineStr">
        <is>
          <t>FITLAND</t>
        </is>
      </c>
      <c r="D202" s="61" t="inlineStr">
        <is>
          <t>JULIO GADRET</t>
        </is>
      </c>
      <c r="E202" s="30" t="inlineStr">
        <is>
          <t>.</t>
        </is>
      </c>
      <c r="F202" s="63" t="n">
        <v>89</v>
      </c>
      <c r="G202" s="179" t="n">
        <v>0.298</v>
      </c>
      <c r="H202" s="57" t="inlineStr">
        <is>
          <t>🔴 VERMELHO</t>
        </is>
      </c>
      <c r="I202" s="57" t="inlineStr">
        <is>
          <t>POSITIVAÇÃO</t>
        </is>
      </c>
      <c r="J202" s="61" t="inlineStr">
        <is>
          <t>Aumentar frequência + Expandir base</t>
        </is>
      </c>
      <c r="K202" s="30" t="inlineStr">
        <is>
          <t>.</t>
        </is>
      </c>
      <c r="L202" s="180" t="n">
        <v>5934.229999999999</v>
      </c>
      <c r="M202" s="181" t="n">
        <v>417.02</v>
      </c>
      <c r="N202" s="181" t="n">
        <v>435.77</v>
      </c>
      <c r="O202" s="181" t="n">
        <v>446.27</v>
      </c>
      <c r="P202" s="181" t="n">
        <v>457.89</v>
      </c>
      <c r="Q202" s="181" t="n">
        <v>472.89</v>
      </c>
      <c r="R202" s="181" t="n">
        <v>485.27</v>
      </c>
      <c r="S202" s="181" t="n">
        <v>504.02</v>
      </c>
      <c r="T202" s="181" t="n">
        <v>516.39</v>
      </c>
      <c r="U202" s="181" t="n">
        <v>528.02</v>
      </c>
      <c r="V202" s="181" t="n">
        <v>541.14</v>
      </c>
      <c r="W202" s="181" t="n">
        <v>555.4</v>
      </c>
      <c r="X202" s="182" t="n">
        <v>574.15</v>
      </c>
      <c r="Y202" s="183" t="inlineStr">
        <is>
          <t>.</t>
        </is>
      </c>
      <c r="Z202" s="184">
        <f>SUM(AA202:AL202)</f>
        <v/>
      </c>
      <c r="AA202" s="185" t="n">
        <v>0</v>
      </c>
      <c r="AB202" s="185" t="n">
        <v>0</v>
      </c>
      <c r="AC202" s="185" t="n">
        <v>0</v>
      </c>
      <c r="AD202" s="185" t="n">
        <v>0</v>
      </c>
      <c r="AE202" s="185" t="n">
        <v>0</v>
      </c>
      <c r="AF202" s="185" t="n">
        <v>0</v>
      </c>
      <c r="AG202" s="185" t="n">
        <v>0</v>
      </c>
      <c r="AH202" s="185" t="n">
        <v>0</v>
      </c>
      <c r="AI202" s="185" t="n">
        <v>1148.17</v>
      </c>
      <c r="AJ202" s="185" t="n">
        <v>0</v>
      </c>
      <c r="AK202" s="185" t="n">
        <v>1813.33</v>
      </c>
      <c r="AL202" s="186" t="n">
        <v>0</v>
      </c>
      <c r="AM202" s="222" t="n">
        <v>729.9400000000001</v>
      </c>
      <c r="AN202" s="187">
        <f>IF(L202=0,0,Z202/L202)</f>
        <v/>
      </c>
      <c r="AO202" s="57">
        <f>IF(AN202&gt;=1,"🟢",IF(AN202&gt;=0.7,"🟡",IF(AN202&gt;=0.4,"🟠","🔴")))</f>
        <v/>
      </c>
      <c r="AP202" s="185">
        <f>L202-Z202</f>
        <v/>
      </c>
      <c r="AQ202" s="55">
        <f>RANK(Z202,$Z$4:$Z$503,0)</f>
        <v/>
      </c>
      <c r="AR202" s="39" t="inlineStr">
        <is>
          <t>.</t>
        </is>
      </c>
      <c r="AS202" s="27" t="n"/>
      <c r="AT202" s="27" t="n"/>
      <c r="AU202" s="27" t="n"/>
      <c r="AV202" s="27" t="n"/>
      <c r="AW202" s="27" t="n"/>
      <c r="AX202" s="27" t="n"/>
      <c r="AY202" s="204" t="n"/>
      <c r="AZ202" s="204" t="n"/>
      <c r="BA202" s="38" t="inlineStr">
        <is>
          <t>.</t>
        </is>
      </c>
      <c r="BB202" s="190">
        <f>SUM(BC202:BN202)</f>
        <v/>
      </c>
      <c r="BC202" s="191">
        <f>L202*0.0702730030</f>
        <v/>
      </c>
      <c r="BD202" s="191">
        <f>L202*0.0734327604</f>
        <v/>
      </c>
      <c r="BE202" s="191">
        <f>L202*0.0752022245</f>
        <v/>
      </c>
      <c r="BF202" s="191">
        <f>L202*0.0771612740</f>
        <v/>
      </c>
      <c r="BG202" s="191">
        <f>L202*0.0796890799</f>
        <v/>
      </c>
      <c r="BH202" s="191">
        <f>L202*0.0817745197</f>
        <v/>
      </c>
      <c r="BI202" s="191">
        <f>L202*0.0849342770</f>
        <v/>
      </c>
      <c r="BJ202" s="191">
        <f>L202*0.0870197169</f>
        <v/>
      </c>
      <c r="BK202" s="191">
        <f>L202*0.0889787664</f>
        <v/>
      </c>
      <c r="BL202" s="191">
        <f>L202*0.0911905966</f>
        <v/>
      </c>
      <c r="BM202" s="191">
        <f>L202*0.0935920121</f>
        <v/>
      </c>
      <c r="BN202" s="192">
        <f>L202*0.0967517695</f>
        <v/>
      </c>
      <c r="BO202" s="36" t="inlineStr">
        <is>
          <t>.</t>
        </is>
      </c>
      <c r="BP202" s="193">
        <f>SUM(BQ202:CB202)</f>
        <v/>
      </c>
      <c r="BQ202" s="191">
        <f>MAX(0,BC202-AA202)</f>
        <v/>
      </c>
      <c r="BR202" s="191">
        <f>MAX(0,BD202-AB202)</f>
        <v/>
      </c>
      <c r="BS202" s="191">
        <f>MAX(0,BE202-AC202)</f>
        <v/>
      </c>
      <c r="BT202" s="191">
        <f>MAX(0,BF202-AD202)</f>
        <v/>
      </c>
      <c r="BU202" s="191">
        <f>MAX(0,BG202-AE202)</f>
        <v/>
      </c>
      <c r="BV202" s="191">
        <f>MAX(0,BH202-AF202)</f>
        <v/>
      </c>
      <c r="BW202" s="191">
        <f>MAX(0,BI202-AG202)</f>
        <v/>
      </c>
      <c r="BX202" s="191">
        <f>MAX(0,BJ202-AH202)</f>
        <v/>
      </c>
      <c r="BY202" s="191">
        <f>MAX(0,BK202-AI202)</f>
        <v/>
      </c>
      <c r="BZ202" s="191">
        <f>MAX(0,BL202-AJ202)</f>
        <v/>
      </c>
      <c r="CA202" s="191">
        <f>MAX(0,BM202-AK202)</f>
        <v/>
      </c>
      <c r="CB202" s="192">
        <f>MAX(0,BN202-AL202)</f>
        <v/>
      </c>
    </row>
    <row r="203">
      <c r="A203" s="64" t="inlineStr">
        <is>
          <t>52655585000181</t>
        </is>
      </c>
      <c r="B203" s="57" t="inlineStr">
        <is>
          <t>52.655.585 LAURA ISABEL RICARDO OCHOA -</t>
        </is>
      </c>
      <c r="C203" s="57" t="inlineStr">
        <is>
          <t>SEM GRUPO</t>
        </is>
      </c>
      <c r="D203" s="61" t="inlineStr">
        <is>
          <t>LARISSA PADILHA</t>
        </is>
      </c>
      <c r="E203" s="30" t="inlineStr">
        <is>
          <t>.</t>
        </is>
      </c>
      <c r="F203" s="63" t="inlineStr"/>
      <c r="G203" s="179" t="inlineStr"/>
      <c r="H203" s="57" t="inlineStr"/>
      <c r="I203" s="57" t="inlineStr"/>
      <c r="J203" s="61" t="inlineStr"/>
      <c r="K203" s="30" t="inlineStr">
        <is>
          <t>.</t>
        </is>
      </c>
      <c r="L203" s="180" t="n">
        <v>5886.1</v>
      </c>
      <c r="M203" s="181" t="n">
        <v>413.63</v>
      </c>
      <c r="N203" s="181" t="n">
        <v>432.23</v>
      </c>
      <c r="O203" s="181" t="n">
        <v>442.65</v>
      </c>
      <c r="P203" s="181" t="n">
        <v>454.18</v>
      </c>
      <c r="Q203" s="181" t="n">
        <v>469.06</v>
      </c>
      <c r="R203" s="181" t="n">
        <v>481.33</v>
      </c>
      <c r="S203" s="181" t="n">
        <v>499.93</v>
      </c>
      <c r="T203" s="181" t="n">
        <v>512.21</v>
      </c>
      <c r="U203" s="181" t="n">
        <v>523.74</v>
      </c>
      <c r="V203" s="181" t="n">
        <v>536.76</v>
      </c>
      <c r="W203" s="181" t="n">
        <v>550.89</v>
      </c>
      <c r="X203" s="182" t="n">
        <v>569.49</v>
      </c>
      <c r="Y203" s="183" t="inlineStr">
        <is>
          <t>.</t>
        </is>
      </c>
      <c r="Z203" s="184">
        <f>SUM(AA203:AL203)</f>
        <v/>
      </c>
      <c r="AA203" s="185" t="n">
        <v>0</v>
      </c>
      <c r="AB203" s="185" t="n">
        <v>0</v>
      </c>
      <c r="AC203" s="185" t="n">
        <v>0</v>
      </c>
      <c r="AD203" s="185" t="n">
        <v>0</v>
      </c>
      <c r="AE203" s="185" t="n">
        <v>0</v>
      </c>
      <c r="AF203" s="185" t="n">
        <v>0</v>
      </c>
      <c r="AG203" s="185" t="n">
        <v>0</v>
      </c>
      <c r="AH203" s="185" t="n">
        <v>0</v>
      </c>
      <c r="AI203" s="185" t="n">
        <v>1552.13</v>
      </c>
      <c r="AJ203" s="185" t="n">
        <v>1399.13</v>
      </c>
      <c r="AK203" s="185" t="n">
        <v>0</v>
      </c>
      <c r="AL203" s="186" t="n">
        <v>0</v>
      </c>
      <c r="AM203" s="30" t="inlineStr">
        <is>
          <t>.</t>
        </is>
      </c>
      <c r="AN203" s="187">
        <f>IF(L203=0,0,Z203/L203)</f>
        <v/>
      </c>
      <c r="AO203" s="57">
        <f>IF(AN203&gt;=1,"🟢",IF(AN203&gt;=0.7,"🟡",IF(AN203&gt;=0.4,"🟠","🔴")))</f>
        <v/>
      </c>
      <c r="AP203" s="185">
        <f>L203-Z203</f>
        <v/>
      </c>
      <c r="AQ203" s="55">
        <f>RANK(Z203,$Z$4:$Z$503,0)</f>
        <v/>
      </c>
      <c r="AR203" s="39" t="inlineStr">
        <is>
          <t>.</t>
        </is>
      </c>
      <c r="AS203" s="27" t="n"/>
      <c r="AT203" s="27" t="n"/>
      <c r="AU203" s="27" t="n"/>
      <c r="AV203" s="27" t="n"/>
      <c r="AW203" s="27" t="n"/>
      <c r="AX203" s="27" t="n"/>
      <c r="AY203" s="204" t="n"/>
      <c r="AZ203" s="204" t="n"/>
      <c r="BA203" s="38" t="inlineStr">
        <is>
          <t>.</t>
        </is>
      </c>
      <c r="BB203" s="190">
        <f>SUM(BC203:BN203)</f>
        <v/>
      </c>
      <c r="BC203" s="191">
        <f>L203*0.0702730030</f>
        <v/>
      </c>
      <c r="BD203" s="191">
        <f>L203*0.0734327604</f>
        <v/>
      </c>
      <c r="BE203" s="191">
        <f>L203*0.0752022245</f>
        <v/>
      </c>
      <c r="BF203" s="191">
        <f>L203*0.0771612740</f>
        <v/>
      </c>
      <c r="BG203" s="191">
        <f>L203*0.0796890799</f>
        <v/>
      </c>
      <c r="BH203" s="191">
        <f>L203*0.0817745197</f>
        <v/>
      </c>
      <c r="BI203" s="191">
        <f>L203*0.0849342770</f>
        <v/>
      </c>
      <c r="BJ203" s="191">
        <f>L203*0.0870197169</f>
        <v/>
      </c>
      <c r="BK203" s="191">
        <f>L203*0.0889787664</f>
        <v/>
      </c>
      <c r="BL203" s="191">
        <f>L203*0.0911905966</f>
        <v/>
      </c>
      <c r="BM203" s="191">
        <f>L203*0.0935920121</f>
        <v/>
      </c>
      <c r="BN203" s="192">
        <f>L203*0.0967517695</f>
        <v/>
      </c>
      <c r="BO203" s="36" t="inlineStr">
        <is>
          <t>.</t>
        </is>
      </c>
      <c r="BP203" s="193">
        <f>SUM(BQ203:CB203)</f>
        <v/>
      </c>
      <c r="BQ203" s="191">
        <f>MAX(0,BC203-AA203)</f>
        <v/>
      </c>
      <c r="BR203" s="191">
        <f>MAX(0,BD203-AB203)</f>
        <v/>
      </c>
      <c r="BS203" s="191">
        <f>MAX(0,BE203-AC203)</f>
        <v/>
      </c>
      <c r="BT203" s="191">
        <f>MAX(0,BF203-AD203)</f>
        <v/>
      </c>
      <c r="BU203" s="191">
        <f>MAX(0,BG203-AE203)</f>
        <v/>
      </c>
      <c r="BV203" s="191">
        <f>MAX(0,BH203-AF203)</f>
        <v/>
      </c>
      <c r="BW203" s="191">
        <f>MAX(0,BI203-AG203)</f>
        <v/>
      </c>
      <c r="BX203" s="191">
        <f>MAX(0,BJ203-AH203)</f>
        <v/>
      </c>
      <c r="BY203" s="191">
        <f>MAX(0,BK203-AI203)</f>
        <v/>
      </c>
      <c r="BZ203" s="191">
        <f>MAX(0,BL203-AJ203)</f>
        <v/>
      </c>
      <c r="CA203" s="191">
        <f>MAX(0,BM203-AK203)</f>
        <v/>
      </c>
      <c r="CB203" s="192">
        <f>MAX(0,BN203-AL203)</f>
        <v/>
      </c>
    </row>
    <row r="204">
      <c r="A204" s="64" t="inlineStr">
        <is>
          <t>95772216000181</t>
        </is>
      </c>
      <c r="B204" s="57" t="inlineStr">
        <is>
          <t>TRON GENEROS ALIMENTICIOS LTDA</t>
        </is>
      </c>
      <c r="C204" s="57" t="inlineStr">
        <is>
          <t>SEM GRUPO</t>
        </is>
      </c>
      <c r="D204" s="61" t="inlineStr">
        <is>
          <t>HEMANUELE DITZEL (MANU)</t>
        </is>
      </c>
      <c r="E204" s="30" t="inlineStr">
        <is>
          <t>.</t>
        </is>
      </c>
      <c r="F204" s="63" t="inlineStr"/>
      <c r="G204" s="179" t="inlineStr"/>
      <c r="H204" s="57" t="inlineStr"/>
      <c r="I204" s="57" t="inlineStr"/>
      <c r="J204" s="61" t="inlineStr"/>
      <c r="K204" s="30" t="inlineStr">
        <is>
          <t>.</t>
        </is>
      </c>
      <c r="L204" s="180" t="n">
        <v>5875.53</v>
      </c>
      <c r="M204" s="181" t="n">
        <v>412.89</v>
      </c>
      <c r="N204" s="181" t="n">
        <v>431.46</v>
      </c>
      <c r="O204" s="181" t="n">
        <v>441.85</v>
      </c>
      <c r="P204" s="181" t="n">
        <v>453.36</v>
      </c>
      <c r="Q204" s="181" t="n">
        <v>468.22</v>
      </c>
      <c r="R204" s="181" t="n">
        <v>480.47</v>
      </c>
      <c r="S204" s="181" t="n">
        <v>499.03</v>
      </c>
      <c r="T204" s="181" t="n">
        <v>511.29</v>
      </c>
      <c r="U204" s="181" t="n">
        <v>522.8</v>
      </c>
      <c r="V204" s="181" t="n">
        <v>535.79</v>
      </c>
      <c r="W204" s="181" t="n">
        <v>549.9</v>
      </c>
      <c r="X204" s="182" t="n">
        <v>568.47</v>
      </c>
      <c r="Y204" s="183" t="inlineStr">
        <is>
          <t>.</t>
        </is>
      </c>
      <c r="Z204" s="184">
        <f>SUM(AA204:AL204)</f>
        <v/>
      </c>
      <c r="AA204" s="185" t="n">
        <v>0</v>
      </c>
      <c r="AB204" s="185" t="n">
        <v>0</v>
      </c>
      <c r="AC204" s="185" t="n">
        <v>0</v>
      </c>
      <c r="AD204" s="185" t="n">
        <v>0</v>
      </c>
      <c r="AE204" s="185" t="n">
        <v>0</v>
      </c>
      <c r="AF204" s="185" t="n">
        <v>0</v>
      </c>
      <c r="AG204" s="185" t="n">
        <v>0</v>
      </c>
      <c r="AH204" s="185" t="n">
        <v>2607.57</v>
      </c>
      <c r="AI204" s="185" t="n">
        <v>0</v>
      </c>
      <c r="AJ204" s="185" t="n">
        <v>0</v>
      </c>
      <c r="AK204" s="185" t="n">
        <v>0</v>
      </c>
      <c r="AL204" s="186" t="n">
        <v>0</v>
      </c>
      <c r="AM204" s="30" t="inlineStr">
        <is>
          <t>.</t>
        </is>
      </c>
      <c r="AN204" s="187">
        <f>IF(L204=0,0,Z204/L204)</f>
        <v/>
      </c>
      <c r="AO204" s="57">
        <f>IF(AN204&gt;=1,"🟢",IF(AN204&gt;=0.7,"🟡",IF(AN204&gt;=0.4,"🟠","🔴")))</f>
        <v/>
      </c>
      <c r="AP204" s="185">
        <f>L204-Z204</f>
        <v/>
      </c>
      <c r="AQ204" s="55">
        <f>RANK(Z204,$Z$4:$Z$503,0)</f>
        <v/>
      </c>
      <c r="AR204" s="39" t="inlineStr">
        <is>
          <t>.</t>
        </is>
      </c>
      <c r="AS204" s="27" t="n"/>
      <c r="AT204" s="27" t="n"/>
      <c r="AU204" s="27" t="n"/>
      <c r="AV204" s="27" t="n"/>
      <c r="AW204" s="27" t="n"/>
      <c r="AX204" s="27" t="n"/>
      <c r="AY204" s="204" t="n"/>
      <c r="AZ204" s="204" t="n"/>
      <c r="BA204" s="38" t="inlineStr">
        <is>
          <t>.</t>
        </is>
      </c>
      <c r="BB204" s="190">
        <f>SUM(BC204:BN204)</f>
        <v/>
      </c>
      <c r="BC204" s="191">
        <f>L204*0.0702730030</f>
        <v/>
      </c>
      <c r="BD204" s="191">
        <f>L204*0.0734327604</f>
        <v/>
      </c>
      <c r="BE204" s="191">
        <f>L204*0.0752022245</f>
        <v/>
      </c>
      <c r="BF204" s="191">
        <f>L204*0.0771612740</f>
        <v/>
      </c>
      <c r="BG204" s="191">
        <f>L204*0.0796890799</f>
        <v/>
      </c>
      <c r="BH204" s="191">
        <f>L204*0.0817745197</f>
        <v/>
      </c>
      <c r="BI204" s="191">
        <f>L204*0.0849342770</f>
        <v/>
      </c>
      <c r="BJ204" s="191">
        <f>L204*0.0870197169</f>
        <v/>
      </c>
      <c r="BK204" s="191">
        <f>L204*0.0889787664</f>
        <v/>
      </c>
      <c r="BL204" s="191">
        <f>L204*0.0911905966</f>
        <v/>
      </c>
      <c r="BM204" s="191">
        <f>L204*0.0935920121</f>
        <v/>
      </c>
      <c r="BN204" s="192">
        <f>L204*0.0967517695</f>
        <v/>
      </c>
      <c r="BO204" s="36" t="inlineStr">
        <is>
          <t>.</t>
        </is>
      </c>
      <c r="BP204" s="193">
        <f>SUM(BQ204:CB204)</f>
        <v/>
      </c>
      <c r="BQ204" s="191">
        <f>MAX(0,BC204-AA204)</f>
        <v/>
      </c>
      <c r="BR204" s="191">
        <f>MAX(0,BD204-AB204)</f>
        <v/>
      </c>
      <c r="BS204" s="191">
        <f>MAX(0,BE204-AC204)</f>
        <v/>
      </c>
      <c r="BT204" s="191">
        <f>MAX(0,BF204-AD204)</f>
        <v/>
      </c>
      <c r="BU204" s="191">
        <f>MAX(0,BG204-AE204)</f>
        <v/>
      </c>
      <c r="BV204" s="191">
        <f>MAX(0,BH204-AF204)</f>
        <v/>
      </c>
      <c r="BW204" s="191">
        <f>MAX(0,BI204-AG204)</f>
        <v/>
      </c>
      <c r="BX204" s="191">
        <f>MAX(0,BJ204-AH204)</f>
        <v/>
      </c>
      <c r="BY204" s="191">
        <f>MAX(0,BK204-AI204)</f>
        <v/>
      </c>
      <c r="BZ204" s="191">
        <f>MAX(0,BL204-AJ204)</f>
        <v/>
      </c>
      <c r="CA204" s="191">
        <f>MAX(0,BM204-AK204)</f>
        <v/>
      </c>
      <c r="CB204" s="192">
        <f>MAX(0,BN204-AL204)</f>
        <v/>
      </c>
    </row>
    <row r="205">
      <c r="A205" s="64" t="inlineStr">
        <is>
          <t>57200778000161</t>
        </is>
      </c>
      <c r="B205" s="57" t="inlineStr">
        <is>
          <t>TOP FIT COMERCIO DE NUTRICAO LTDA - EPP</t>
        </is>
      </c>
      <c r="C205" s="57" t="inlineStr">
        <is>
          <t>FITLAND</t>
        </is>
      </c>
      <c r="D205" s="61" t="inlineStr">
        <is>
          <t>JULIO GADRET</t>
        </is>
      </c>
      <c r="E205" s="30" t="inlineStr">
        <is>
          <t>.</t>
        </is>
      </c>
      <c r="F205" s="63" t="n">
        <v>89</v>
      </c>
      <c r="G205" s="179" t="n">
        <v>0.298</v>
      </c>
      <c r="H205" s="57" t="inlineStr">
        <is>
          <t>🔴 VERMELHO</t>
        </is>
      </c>
      <c r="I205" s="57" t="inlineStr">
        <is>
          <t>POSITIVAÇÃO</t>
        </is>
      </c>
      <c r="J205" s="61" t="inlineStr">
        <is>
          <t>Aumentar frequência + Expandir base</t>
        </is>
      </c>
      <c r="K205" s="30" t="inlineStr">
        <is>
          <t>.</t>
        </is>
      </c>
      <c r="L205" s="180" t="n">
        <v>5856.349999999999</v>
      </c>
      <c r="M205" s="181" t="n">
        <v>411.54</v>
      </c>
      <c r="N205" s="181" t="n">
        <v>430.05</v>
      </c>
      <c r="O205" s="181" t="n">
        <v>440.41</v>
      </c>
      <c r="P205" s="181" t="n">
        <v>451.88</v>
      </c>
      <c r="Q205" s="181" t="n">
        <v>466.69</v>
      </c>
      <c r="R205" s="181" t="n">
        <v>478.9</v>
      </c>
      <c r="S205" s="181" t="n">
        <v>497.41</v>
      </c>
      <c r="T205" s="181" t="n">
        <v>509.62</v>
      </c>
      <c r="U205" s="181" t="n">
        <v>521.09</v>
      </c>
      <c r="V205" s="181" t="n">
        <v>534.04</v>
      </c>
      <c r="W205" s="181" t="n">
        <v>548.11</v>
      </c>
      <c r="X205" s="182" t="n">
        <v>566.61</v>
      </c>
      <c r="Y205" s="183" t="inlineStr">
        <is>
          <t>.</t>
        </is>
      </c>
      <c r="Z205" s="184">
        <f>SUM(AA205:AL205)</f>
        <v/>
      </c>
      <c r="AA205" s="185" t="n">
        <v>237.18</v>
      </c>
      <c r="AB205" s="185" t="n">
        <v>0</v>
      </c>
      <c r="AC205" s="185" t="n">
        <v>0</v>
      </c>
      <c r="AD205" s="185" t="n">
        <v>449.72</v>
      </c>
      <c r="AE205" s="185" t="n">
        <v>0</v>
      </c>
      <c r="AF205" s="185" t="n">
        <v>1714.35</v>
      </c>
      <c r="AG205" s="185" t="n">
        <v>0</v>
      </c>
      <c r="AH205" s="185" t="n">
        <v>0</v>
      </c>
      <c r="AI205" s="185" t="n">
        <v>0</v>
      </c>
      <c r="AJ205" s="185" t="n">
        <v>0</v>
      </c>
      <c r="AK205" s="185" t="n">
        <v>0</v>
      </c>
      <c r="AL205" s="186" t="n">
        <v>0</v>
      </c>
      <c r="AM205" s="30" t="inlineStr">
        <is>
          <t>.</t>
        </is>
      </c>
      <c r="AN205" s="187">
        <f>IF(L205=0,0,Z205/L205)</f>
        <v/>
      </c>
      <c r="AO205" s="57">
        <f>IF(AN205&gt;=1,"🟢",IF(AN205&gt;=0.7,"🟡",IF(AN205&gt;=0.4,"🟠","🔴")))</f>
        <v/>
      </c>
      <c r="AP205" s="185">
        <f>L205-Z205</f>
        <v/>
      </c>
      <c r="AQ205" s="55">
        <f>RANK(Z205,$Z$4:$Z$503,0)</f>
        <v/>
      </c>
      <c r="AR205" s="39" t="inlineStr">
        <is>
          <t>.</t>
        </is>
      </c>
      <c r="AS205" s="27" t="n"/>
      <c r="AT205" s="27" t="n"/>
      <c r="AU205" s="27" t="n"/>
      <c r="AV205" s="27" t="n"/>
      <c r="AW205" s="27" t="n"/>
      <c r="AX205" s="27" t="n"/>
      <c r="AY205" s="204" t="n"/>
      <c r="AZ205" s="204" t="n"/>
      <c r="BA205" s="38" t="inlineStr">
        <is>
          <t>.</t>
        </is>
      </c>
      <c r="BB205" s="190">
        <f>SUM(BC205:BN205)</f>
        <v/>
      </c>
      <c r="BC205" s="191">
        <f>L205*0.0702730030</f>
        <v/>
      </c>
      <c r="BD205" s="191">
        <f>L205*0.0734327604</f>
        <v/>
      </c>
      <c r="BE205" s="191">
        <f>L205*0.0752022245</f>
        <v/>
      </c>
      <c r="BF205" s="191">
        <f>L205*0.0771612740</f>
        <v/>
      </c>
      <c r="BG205" s="191">
        <f>L205*0.0796890799</f>
        <v/>
      </c>
      <c r="BH205" s="191">
        <f>L205*0.0817745197</f>
        <v/>
      </c>
      <c r="BI205" s="191">
        <f>L205*0.0849342770</f>
        <v/>
      </c>
      <c r="BJ205" s="191">
        <f>L205*0.0870197169</f>
        <v/>
      </c>
      <c r="BK205" s="191">
        <f>L205*0.0889787664</f>
        <v/>
      </c>
      <c r="BL205" s="191">
        <f>L205*0.0911905966</f>
        <v/>
      </c>
      <c r="BM205" s="191">
        <f>L205*0.0935920121</f>
        <v/>
      </c>
      <c r="BN205" s="192">
        <f>L205*0.0967517695</f>
        <v/>
      </c>
      <c r="BO205" s="36" t="inlineStr">
        <is>
          <t>.</t>
        </is>
      </c>
      <c r="BP205" s="193">
        <f>SUM(BQ205:CB205)</f>
        <v/>
      </c>
      <c r="BQ205" s="191">
        <f>MAX(0,BC205-AA205)</f>
        <v/>
      </c>
      <c r="BR205" s="191">
        <f>MAX(0,BD205-AB205)</f>
        <v/>
      </c>
      <c r="BS205" s="191">
        <f>MAX(0,BE205-AC205)</f>
        <v/>
      </c>
      <c r="BT205" s="191">
        <f>MAX(0,BF205-AD205)</f>
        <v/>
      </c>
      <c r="BU205" s="191">
        <f>MAX(0,BG205-AE205)</f>
        <v/>
      </c>
      <c r="BV205" s="191">
        <f>MAX(0,BH205-AF205)</f>
        <v/>
      </c>
      <c r="BW205" s="191">
        <f>MAX(0,BI205-AG205)</f>
        <v/>
      </c>
      <c r="BX205" s="191">
        <f>MAX(0,BJ205-AH205)</f>
        <v/>
      </c>
      <c r="BY205" s="191">
        <f>MAX(0,BK205-AI205)</f>
        <v/>
      </c>
      <c r="BZ205" s="191">
        <f>MAX(0,BL205-AJ205)</f>
        <v/>
      </c>
      <c r="CA205" s="191">
        <f>MAX(0,BM205-AK205)</f>
        <v/>
      </c>
      <c r="CB205" s="192">
        <f>MAX(0,BN205-AL205)</f>
        <v/>
      </c>
    </row>
    <row r="206">
      <c r="A206" s="64" t="inlineStr">
        <is>
          <t>60822789000198</t>
        </is>
      </c>
      <c r="B206" s="57" t="inlineStr">
        <is>
          <t>VILLA DOS GRAOS PRODUTOS NATURAIS LTDA -</t>
        </is>
      </c>
      <c r="C206" s="57" t="inlineStr">
        <is>
          <t>SEM GRUPO</t>
        </is>
      </c>
      <c r="D206" s="61" t="inlineStr">
        <is>
          <t>HEMANUELE DITZEL (MANU)</t>
        </is>
      </c>
      <c r="E206" s="30" t="inlineStr">
        <is>
          <t>.</t>
        </is>
      </c>
      <c r="F206" s="63" t="inlineStr"/>
      <c r="G206" s="179" t="inlineStr"/>
      <c r="H206" s="57" t="inlineStr"/>
      <c r="I206" s="57" t="inlineStr"/>
      <c r="J206" s="61" t="inlineStr"/>
      <c r="K206" s="30" t="inlineStr">
        <is>
          <t>.</t>
        </is>
      </c>
      <c r="L206" s="180" t="n">
        <v>5835.54</v>
      </c>
      <c r="M206" s="181" t="n">
        <v>410.08</v>
      </c>
      <c r="N206" s="181" t="n">
        <v>428.52</v>
      </c>
      <c r="O206" s="181" t="n">
        <v>438.84</v>
      </c>
      <c r="P206" s="181" t="n">
        <v>450.28</v>
      </c>
      <c r="Q206" s="181" t="n">
        <v>465.03</v>
      </c>
      <c r="R206" s="181" t="n">
        <v>477.2</v>
      </c>
      <c r="S206" s="181" t="n">
        <v>495.64</v>
      </c>
      <c r="T206" s="181" t="n">
        <v>507.81</v>
      </c>
      <c r="U206" s="181" t="n">
        <v>519.24</v>
      </c>
      <c r="V206" s="181" t="n">
        <v>532.14</v>
      </c>
      <c r="W206" s="181" t="n">
        <v>546.16</v>
      </c>
      <c r="X206" s="182" t="n">
        <v>564.6</v>
      </c>
      <c r="Y206" s="183" t="inlineStr">
        <is>
          <t>.</t>
        </is>
      </c>
      <c r="Z206" s="184">
        <f>SUM(AA206:AL206)</f>
        <v/>
      </c>
      <c r="AA206" s="185" t="n">
        <v>0</v>
      </c>
      <c r="AB206" s="185" t="n">
        <v>0</v>
      </c>
      <c r="AC206" s="185" t="n">
        <v>0</v>
      </c>
      <c r="AD206" s="185" t="n">
        <v>0</v>
      </c>
      <c r="AE206" s="185" t="n">
        <v>0</v>
      </c>
      <c r="AF206" s="185" t="n">
        <v>0</v>
      </c>
      <c r="AG206" s="185" t="n">
        <v>0</v>
      </c>
      <c r="AH206" s="185" t="n">
        <v>0</v>
      </c>
      <c r="AI206" s="185" t="n">
        <v>253.65</v>
      </c>
      <c r="AJ206" s="185" t="n">
        <v>3001.05</v>
      </c>
      <c r="AK206" s="185" t="n">
        <v>0</v>
      </c>
      <c r="AL206" s="186" t="n">
        <v>0</v>
      </c>
      <c r="AM206" s="30" t="inlineStr">
        <is>
          <t>.</t>
        </is>
      </c>
      <c r="AN206" s="187">
        <f>IF(L206=0,0,Z206/L206)</f>
        <v/>
      </c>
      <c r="AO206" s="57">
        <f>IF(AN206&gt;=1,"🟢",IF(AN206&gt;=0.7,"🟡",IF(AN206&gt;=0.4,"🟠","🔴")))</f>
        <v/>
      </c>
      <c r="AP206" s="185">
        <f>L206-Z206</f>
        <v/>
      </c>
      <c r="AQ206" s="55">
        <f>RANK(Z206,$Z$4:$Z$503,0)</f>
        <v/>
      </c>
      <c r="AR206" s="39" t="inlineStr">
        <is>
          <t>.</t>
        </is>
      </c>
      <c r="AS206" s="27" t="n"/>
      <c r="AT206" s="27" t="n"/>
      <c r="AU206" s="27" t="n"/>
      <c r="AV206" s="27" t="n"/>
      <c r="AW206" s="27" t="n"/>
      <c r="AX206" s="27" t="n"/>
      <c r="AY206" s="204" t="n"/>
      <c r="AZ206" s="204" t="n"/>
      <c r="BA206" s="38" t="inlineStr">
        <is>
          <t>.</t>
        </is>
      </c>
      <c r="BB206" s="190">
        <f>SUM(BC206:BN206)</f>
        <v/>
      </c>
      <c r="BC206" s="191">
        <f>L206*0.0702730030</f>
        <v/>
      </c>
      <c r="BD206" s="191">
        <f>L206*0.0734327604</f>
        <v/>
      </c>
      <c r="BE206" s="191">
        <f>L206*0.0752022245</f>
        <v/>
      </c>
      <c r="BF206" s="191">
        <f>L206*0.0771612740</f>
        <v/>
      </c>
      <c r="BG206" s="191">
        <f>L206*0.0796890799</f>
        <v/>
      </c>
      <c r="BH206" s="191">
        <f>L206*0.0817745197</f>
        <v/>
      </c>
      <c r="BI206" s="191">
        <f>L206*0.0849342770</f>
        <v/>
      </c>
      <c r="BJ206" s="191">
        <f>L206*0.0870197169</f>
        <v/>
      </c>
      <c r="BK206" s="191">
        <f>L206*0.0889787664</f>
        <v/>
      </c>
      <c r="BL206" s="191">
        <f>L206*0.0911905966</f>
        <v/>
      </c>
      <c r="BM206" s="191">
        <f>L206*0.0935920121</f>
        <v/>
      </c>
      <c r="BN206" s="192">
        <f>L206*0.0967517695</f>
        <v/>
      </c>
      <c r="BO206" s="36" t="inlineStr">
        <is>
          <t>.</t>
        </is>
      </c>
      <c r="BP206" s="193">
        <f>SUM(BQ206:CB206)</f>
        <v/>
      </c>
      <c r="BQ206" s="191">
        <f>MAX(0,BC206-AA206)</f>
        <v/>
      </c>
      <c r="BR206" s="191">
        <f>MAX(0,BD206-AB206)</f>
        <v/>
      </c>
      <c r="BS206" s="191">
        <f>MAX(0,BE206-AC206)</f>
        <v/>
      </c>
      <c r="BT206" s="191">
        <f>MAX(0,BF206-AD206)</f>
        <v/>
      </c>
      <c r="BU206" s="191">
        <f>MAX(0,BG206-AE206)</f>
        <v/>
      </c>
      <c r="BV206" s="191">
        <f>MAX(0,BH206-AF206)</f>
        <v/>
      </c>
      <c r="BW206" s="191">
        <f>MAX(0,BI206-AG206)</f>
        <v/>
      </c>
      <c r="BX206" s="191">
        <f>MAX(0,BJ206-AH206)</f>
        <v/>
      </c>
      <c r="BY206" s="191">
        <f>MAX(0,BK206-AI206)</f>
        <v/>
      </c>
      <c r="BZ206" s="191">
        <f>MAX(0,BL206-AJ206)</f>
        <v/>
      </c>
      <c r="CA206" s="191">
        <f>MAX(0,BM206-AK206)</f>
        <v/>
      </c>
      <c r="CB206" s="192">
        <f>MAX(0,BN206-AL206)</f>
        <v/>
      </c>
    </row>
    <row r="207">
      <c r="A207" s="64" t="inlineStr">
        <is>
          <t>03139271000110</t>
        </is>
      </c>
      <c r="B207" s="57" t="inlineStr">
        <is>
          <t>LEBANON MARKET CENTER LTDA</t>
        </is>
      </c>
      <c r="C207" s="57" t="inlineStr">
        <is>
          <t>SEM GRUPO</t>
        </is>
      </c>
      <c r="D207" s="61" t="inlineStr">
        <is>
          <t>LARISSA PADILHA</t>
        </is>
      </c>
      <c r="E207" s="30" t="inlineStr">
        <is>
          <t>.</t>
        </is>
      </c>
      <c r="F207" s="63" t="inlineStr"/>
      <c r="G207" s="179" t="inlineStr"/>
      <c r="H207" s="57" t="inlineStr"/>
      <c r="I207" s="57" t="inlineStr"/>
      <c r="J207" s="61" t="inlineStr"/>
      <c r="K207" s="30" t="inlineStr">
        <is>
          <t>.</t>
        </is>
      </c>
      <c r="L207" s="180" t="n">
        <v>5809.389999999999</v>
      </c>
      <c r="M207" s="181" t="n">
        <v>408.24</v>
      </c>
      <c r="N207" s="181" t="n">
        <v>426.6</v>
      </c>
      <c r="O207" s="181" t="n">
        <v>436.88</v>
      </c>
      <c r="P207" s="181" t="n">
        <v>448.26</v>
      </c>
      <c r="Q207" s="181" t="n">
        <v>462.95</v>
      </c>
      <c r="R207" s="181" t="n">
        <v>475.06</v>
      </c>
      <c r="S207" s="181" t="n">
        <v>493.42</v>
      </c>
      <c r="T207" s="181" t="n">
        <v>505.53</v>
      </c>
      <c r="U207" s="181" t="n">
        <v>516.91</v>
      </c>
      <c r="V207" s="181" t="n">
        <v>529.76</v>
      </c>
      <c r="W207" s="181" t="n">
        <v>543.71</v>
      </c>
      <c r="X207" s="182" t="n">
        <v>562.0700000000001</v>
      </c>
      <c r="Y207" s="183" t="inlineStr">
        <is>
          <t>.</t>
        </is>
      </c>
      <c r="Z207" s="184">
        <f>SUM(AA207:AL207)</f>
        <v/>
      </c>
      <c r="AA207" s="185" t="n">
        <v>0</v>
      </c>
      <c r="AB207" s="185" t="n">
        <v>0</v>
      </c>
      <c r="AC207" s="185" t="n">
        <v>0</v>
      </c>
      <c r="AD207" s="185" t="n">
        <v>0</v>
      </c>
      <c r="AE207" s="185" t="n">
        <v>0</v>
      </c>
      <c r="AF207" s="185" t="n">
        <v>0</v>
      </c>
      <c r="AG207" s="185" t="n">
        <v>0</v>
      </c>
      <c r="AH207" s="185" t="n">
        <v>0</v>
      </c>
      <c r="AI207" s="185" t="n">
        <v>0</v>
      </c>
      <c r="AJ207" s="185" t="n">
        <v>0</v>
      </c>
      <c r="AK207" s="185" t="n">
        <v>6391.39</v>
      </c>
      <c r="AL207" s="186" t="n">
        <v>0</v>
      </c>
      <c r="AM207" s="30" t="inlineStr">
        <is>
          <t>.</t>
        </is>
      </c>
      <c r="AN207" s="187">
        <f>IF(L207=0,0,Z207/L207)</f>
        <v/>
      </c>
      <c r="AO207" s="57">
        <f>IF(AN207&gt;=1,"🟢",IF(AN207&gt;=0.7,"🟡",IF(AN207&gt;=0.4,"🟠","🔴")))</f>
        <v/>
      </c>
      <c r="AP207" s="185">
        <f>L207-Z207</f>
        <v/>
      </c>
      <c r="AQ207" s="55">
        <f>RANK(Z207,$Z$4:$Z$503,0)</f>
        <v/>
      </c>
      <c r="AR207" s="39" t="inlineStr">
        <is>
          <t>.</t>
        </is>
      </c>
      <c r="AS207" s="27" t="n"/>
      <c r="AT207" s="27" t="n"/>
      <c r="AU207" s="27" t="n"/>
      <c r="AV207" s="27" t="n"/>
      <c r="AW207" s="27" t="n"/>
      <c r="AX207" s="27" t="n"/>
      <c r="AY207" s="204" t="n"/>
      <c r="AZ207" s="204" t="n"/>
      <c r="BA207" s="38" t="inlineStr">
        <is>
          <t>.</t>
        </is>
      </c>
      <c r="BB207" s="190">
        <f>SUM(BC207:BN207)</f>
        <v/>
      </c>
      <c r="BC207" s="191">
        <f>L207*0.0702730030</f>
        <v/>
      </c>
      <c r="BD207" s="191">
        <f>L207*0.0734327604</f>
        <v/>
      </c>
      <c r="BE207" s="191">
        <f>L207*0.0752022245</f>
        <v/>
      </c>
      <c r="BF207" s="191">
        <f>L207*0.0771612740</f>
        <v/>
      </c>
      <c r="BG207" s="191">
        <f>L207*0.0796890799</f>
        <v/>
      </c>
      <c r="BH207" s="191">
        <f>L207*0.0817745197</f>
        <v/>
      </c>
      <c r="BI207" s="191">
        <f>L207*0.0849342770</f>
        <v/>
      </c>
      <c r="BJ207" s="191">
        <f>L207*0.0870197169</f>
        <v/>
      </c>
      <c r="BK207" s="191">
        <f>L207*0.0889787664</f>
        <v/>
      </c>
      <c r="BL207" s="191">
        <f>L207*0.0911905966</f>
        <v/>
      </c>
      <c r="BM207" s="191">
        <f>L207*0.0935920121</f>
        <v/>
      </c>
      <c r="BN207" s="192">
        <f>L207*0.0967517695</f>
        <v/>
      </c>
      <c r="BO207" s="36" t="inlineStr">
        <is>
          <t>.</t>
        </is>
      </c>
      <c r="BP207" s="193">
        <f>SUM(BQ207:CB207)</f>
        <v/>
      </c>
      <c r="BQ207" s="191">
        <f>MAX(0,BC207-AA207)</f>
        <v/>
      </c>
      <c r="BR207" s="191">
        <f>MAX(0,BD207-AB207)</f>
        <v/>
      </c>
      <c r="BS207" s="191">
        <f>MAX(0,BE207-AC207)</f>
        <v/>
      </c>
      <c r="BT207" s="191">
        <f>MAX(0,BF207-AD207)</f>
        <v/>
      </c>
      <c r="BU207" s="191">
        <f>MAX(0,BG207-AE207)</f>
        <v/>
      </c>
      <c r="BV207" s="191">
        <f>MAX(0,BH207-AF207)</f>
        <v/>
      </c>
      <c r="BW207" s="191">
        <f>MAX(0,BI207-AG207)</f>
        <v/>
      </c>
      <c r="BX207" s="191">
        <f>MAX(0,BJ207-AH207)</f>
        <v/>
      </c>
      <c r="BY207" s="191">
        <f>MAX(0,BK207-AI207)</f>
        <v/>
      </c>
      <c r="BZ207" s="191">
        <f>MAX(0,BL207-AJ207)</f>
        <v/>
      </c>
      <c r="CA207" s="191">
        <f>MAX(0,BM207-AK207)</f>
        <v/>
      </c>
      <c r="CB207" s="192">
        <f>MAX(0,BN207-AL207)</f>
        <v/>
      </c>
    </row>
    <row r="208">
      <c r="A208" s="64" t="inlineStr">
        <is>
          <t>48486297000173</t>
        </is>
      </c>
      <c r="B208" s="57" t="inlineStr">
        <is>
          <t>TP NUTRICAO LTDA - ME</t>
        </is>
      </c>
      <c r="C208" s="57" t="inlineStr">
        <is>
          <t>FITLAND</t>
        </is>
      </c>
      <c r="D208" s="61" t="inlineStr">
        <is>
          <t>JULIO GADRET</t>
        </is>
      </c>
      <c r="E208" s="30" t="inlineStr">
        <is>
          <t>.</t>
        </is>
      </c>
      <c r="F208" s="63" t="n">
        <v>89</v>
      </c>
      <c r="G208" s="179" t="n">
        <v>0.298</v>
      </c>
      <c r="H208" s="57" t="inlineStr">
        <is>
          <t>🔴 VERMELHO</t>
        </is>
      </c>
      <c r="I208" s="57" t="inlineStr">
        <is>
          <t>POSITIVAÇÃO</t>
        </is>
      </c>
      <c r="J208" s="61" t="inlineStr">
        <is>
          <t>Aumentar frequência + Expandir base</t>
        </is>
      </c>
      <c r="K208" s="30" t="inlineStr">
        <is>
          <t>.</t>
        </is>
      </c>
      <c r="L208" s="180" t="n">
        <v>5805.260000000001</v>
      </c>
      <c r="M208" s="181" t="n">
        <v>407.95</v>
      </c>
      <c r="N208" s="181" t="n">
        <v>426.3</v>
      </c>
      <c r="O208" s="181" t="n">
        <v>436.57</v>
      </c>
      <c r="P208" s="181" t="n">
        <v>447.94</v>
      </c>
      <c r="Q208" s="181" t="n">
        <v>462.62</v>
      </c>
      <c r="R208" s="181" t="n">
        <v>474.72</v>
      </c>
      <c r="S208" s="181" t="n">
        <v>493.07</v>
      </c>
      <c r="T208" s="181" t="n">
        <v>505.17</v>
      </c>
      <c r="U208" s="181" t="n">
        <v>516.54</v>
      </c>
      <c r="V208" s="181" t="n">
        <v>529.38</v>
      </c>
      <c r="W208" s="181" t="n">
        <v>543.33</v>
      </c>
      <c r="X208" s="182" t="n">
        <v>561.67</v>
      </c>
      <c r="Y208" s="183" t="inlineStr">
        <is>
          <t>.</t>
        </is>
      </c>
      <c r="Z208" s="184">
        <f>SUM(AA208:AL208)</f>
        <v/>
      </c>
      <c r="AA208" s="185" t="n">
        <v>0</v>
      </c>
      <c r="AB208" s="185" t="n">
        <v>0</v>
      </c>
      <c r="AC208" s="185" t="n">
        <v>0</v>
      </c>
      <c r="AD208" s="185" t="n">
        <v>0</v>
      </c>
      <c r="AE208" s="185" t="n">
        <v>0</v>
      </c>
      <c r="AF208" s="185" t="n">
        <v>0</v>
      </c>
      <c r="AG208" s="185" t="n">
        <v>1105.61</v>
      </c>
      <c r="AH208" s="185" t="n">
        <v>0</v>
      </c>
      <c r="AI208" s="185" t="n">
        <v>0</v>
      </c>
      <c r="AJ208" s="185" t="n">
        <v>0</v>
      </c>
      <c r="AK208" s="185" t="n">
        <v>1933.92</v>
      </c>
      <c r="AL208" s="186" t="n">
        <v>0</v>
      </c>
      <c r="AM208" s="30" t="inlineStr">
        <is>
          <t>.</t>
        </is>
      </c>
      <c r="AN208" s="187">
        <f>IF(L208=0,0,Z208/L208)</f>
        <v/>
      </c>
      <c r="AO208" s="57">
        <f>IF(AN208&gt;=1,"🟢",IF(AN208&gt;=0.7,"🟡",IF(AN208&gt;=0.4,"🟠","🔴")))</f>
        <v/>
      </c>
      <c r="AP208" s="185">
        <f>L208-Z208</f>
        <v/>
      </c>
      <c r="AQ208" s="55">
        <f>RANK(Z208,$Z$4:$Z$503,0)</f>
        <v/>
      </c>
      <c r="AR208" s="39" t="inlineStr">
        <is>
          <t>.</t>
        </is>
      </c>
      <c r="AS208" s="27" t="n"/>
      <c r="AT208" s="27" t="n"/>
      <c r="AU208" s="27" t="n"/>
      <c r="AV208" s="27" t="n"/>
      <c r="AW208" s="27" t="n"/>
      <c r="AX208" s="27" t="n"/>
      <c r="AY208" s="204" t="n"/>
      <c r="AZ208" s="204" t="n"/>
      <c r="BA208" s="38" t="inlineStr">
        <is>
          <t>.</t>
        </is>
      </c>
      <c r="BB208" s="190">
        <f>SUM(BC208:BN208)</f>
        <v/>
      </c>
      <c r="BC208" s="191">
        <f>L208*0.0702730030</f>
        <v/>
      </c>
      <c r="BD208" s="191">
        <f>L208*0.0734327604</f>
        <v/>
      </c>
      <c r="BE208" s="191">
        <f>L208*0.0752022245</f>
        <v/>
      </c>
      <c r="BF208" s="191">
        <f>L208*0.0771612740</f>
        <v/>
      </c>
      <c r="BG208" s="191">
        <f>L208*0.0796890799</f>
        <v/>
      </c>
      <c r="BH208" s="191">
        <f>L208*0.0817745197</f>
        <v/>
      </c>
      <c r="BI208" s="191">
        <f>L208*0.0849342770</f>
        <v/>
      </c>
      <c r="BJ208" s="191">
        <f>L208*0.0870197169</f>
        <v/>
      </c>
      <c r="BK208" s="191">
        <f>L208*0.0889787664</f>
        <v/>
      </c>
      <c r="BL208" s="191">
        <f>L208*0.0911905966</f>
        <v/>
      </c>
      <c r="BM208" s="191">
        <f>L208*0.0935920121</f>
        <v/>
      </c>
      <c r="BN208" s="192">
        <f>L208*0.0967517695</f>
        <v/>
      </c>
      <c r="BO208" s="36" t="inlineStr">
        <is>
          <t>.</t>
        </is>
      </c>
      <c r="BP208" s="193">
        <f>SUM(BQ208:CB208)</f>
        <v/>
      </c>
      <c r="BQ208" s="191">
        <f>MAX(0,BC208-AA208)</f>
        <v/>
      </c>
      <c r="BR208" s="191">
        <f>MAX(0,BD208-AB208)</f>
        <v/>
      </c>
      <c r="BS208" s="191">
        <f>MAX(0,BE208-AC208)</f>
        <v/>
      </c>
      <c r="BT208" s="191">
        <f>MAX(0,BF208-AD208)</f>
        <v/>
      </c>
      <c r="BU208" s="191">
        <f>MAX(0,BG208-AE208)</f>
        <v/>
      </c>
      <c r="BV208" s="191">
        <f>MAX(0,BH208-AF208)</f>
        <v/>
      </c>
      <c r="BW208" s="191">
        <f>MAX(0,BI208-AG208)</f>
        <v/>
      </c>
      <c r="BX208" s="191">
        <f>MAX(0,BJ208-AH208)</f>
        <v/>
      </c>
      <c r="BY208" s="191">
        <f>MAX(0,BK208-AI208)</f>
        <v/>
      </c>
      <c r="BZ208" s="191">
        <f>MAX(0,BL208-AJ208)</f>
        <v/>
      </c>
      <c r="CA208" s="191">
        <f>MAX(0,BM208-AK208)</f>
        <v/>
      </c>
      <c r="CB208" s="192">
        <f>MAX(0,BN208-AL208)</f>
        <v/>
      </c>
    </row>
    <row r="209">
      <c r="A209" s="64" t="inlineStr">
        <is>
          <t>53531499000120</t>
        </is>
      </c>
      <c r="B209" s="57" t="inlineStr">
        <is>
          <t>53.531.499 KASSIA KAROLINNY NUNES RODRIG</t>
        </is>
      </c>
      <c r="C209" s="57" t="inlineStr">
        <is>
          <t>SEM GRUPO</t>
        </is>
      </c>
      <c r="D209" s="61" t="inlineStr">
        <is>
          <t>LARISSA PADILHA</t>
        </is>
      </c>
      <c r="E209" s="30" t="inlineStr">
        <is>
          <t>.</t>
        </is>
      </c>
      <c r="F209" s="63" t="inlineStr"/>
      <c r="G209" s="179" t="inlineStr"/>
      <c r="H209" s="57" t="inlineStr"/>
      <c r="I209" s="57" t="inlineStr"/>
      <c r="J209" s="61" t="inlineStr"/>
      <c r="K209" s="30" t="inlineStr">
        <is>
          <t>.</t>
        </is>
      </c>
      <c r="L209" s="180" t="n">
        <v>5740.540000000001</v>
      </c>
      <c r="M209" s="181" t="n">
        <v>403.4</v>
      </c>
      <c r="N209" s="181" t="n">
        <v>421.54</v>
      </c>
      <c r="O209" s="181" t="n">
        <v>431.7</v>
      </c>
      <c r="P209" s="181" t="n">
        <v>442.95</v>
      </c>
      <c r="Q209" s="181" t="n">
        <v>457.46</v>
      </c>
      <c r="R209" s="181" t="n">
        <v>469.43</v>
      </c>
      <c r="S209" s="181" t="n">
        <v>487.57</v>
      </c>
      <c r="T209" s="181" t="n">
        <v>499.54</v>
      </c>
      <c r="U209" s="181" t="n">
        <v>510.79</v>
      </c>
      <c r="V209" s="181" t="n">
        <v>523.48</v>
      </c>
      <c r="W209" s="181" t="n">
        <v>537.27</v>
      </c>
      <c r="X209" s="182" t="n">
        <v>555.41</v>
      </c>
      <c r="Y209" s="183" t="inlineStr">
        <is>
          <t>.</t>
        </is>
      </c>
      <c r="Z209" s="184">
        <f>SUM(AA209:AL209)</f>
        <v/>
      </c>
      <c r="AA209" s="185" t="n">
        <v>0</v>
      </c>
      <c r="AB209" s="185" t="n">
        <v>5770.72</v>
      </c>
      <c r="AC209" s="185" t="n">
        <v>0</v>
      </c>
      <c r="AD209" s="185" t="n">
        <v>0</v>
      </c>
      <c r="AE209" s="185" t="n">
        <v>0</v>
      </c>
      <c r="AF209" s="185" t="n">
        <v>0</v>
      </c>
      <c r="AG209" s="185" t="n">
        <v>0</v>
      </c>
      <c r="AH209" s="185" t="n">
        <v>0</v>
      </c>
      <c r="AI209" s="185" t="n">
        <v>0</v>
      </c>
      <c r="AJ209" s="185" t="n">
        <v>0</v>
      </c>
      <c r="AK209" s="185" t="n">
        <v>0</v>
      </c>
      <c r="AL209" s="186" t="n">
        <v>0</v>
      </c>
      <c r="AM209" s="30" t="inlineStr">
        <is>
          <t>.</t>
        </is>
      </c>
      <c r="AN209" s="187">
        <f>IF(L209=0,0,Z209/L209)</f>
        <v/>
      </c>
      <c r="AO209" s="57">
        <f>IF(AN209&gt;=1,"🟢",IF(AN209&gt;=0.7,"🟡",IF(AN209&gt;=0.4,"🟠","🔴")))</f>
        <v/>
      </c>
      <c r="AP209" s="185">
        <f>L209-Z209</f>
        <v/>
      </c>
      <c r="AQ209" s="55">
        <f>RANK(Z209,$Z$4:$Z$503,0)</f>
        <v/>
      </c>
      <c r="AR209" s="39" t="inlineStr">
        <is>
          <t>.</t>
        </is>
      </c>
      <c r="AS209" s="27" t="n"/>
      <c r="AT209" s="27" t="n"/>
      <c r="AU209" s="27" t="n"/>
      <c r="AV209" s="27" t="n"/>
      <c r="AW209" s="27" t="n"/>
      <c r="AX209" s="27" t="n"/>
      <c r="AY209" s="204" t="n"/>
      <c r="AZ209" s="204" t="n"/>
      <c r="BA209" s="38" t="inlineStr">
        <is>
          <t>.</t>
        </is>
      </c>
      <c r="BB209" s="190">
        <f>SUM(BC209:BN209)</f>
        <v/>
      </c>
      <c r="BC209" s="191">
        <f>L209*0.0702730030</f>
        <v/>
      </c>
      <c r="BD209" s="191">
        <f>L209*0.0734327604</f>
        <v/>
      </c>
      <c r="BE209" s="191">
        <f>L209*0.0752022245</f>
        <v/>
      </c>
      <c r="BF209" s="191">
        <f>L209*0.0771612740</f>
        <v/>
      </c>
      <c r="BG209" s="191">
        <f>L209*0.0796890799</f>
        <v/>
      </c>
      <c r="BH209" s="191">
        <f>L209*0.0817745197</f>
        <v/>
      </c>
      <c r="BI209" s="191">
        <f>L209*0.0849342770</f>
        <v/>
      </c>
      <c r="BJ209" s="191">
        <f>L209*0.0870197169</f>
        <v/>
      </c>
      <c r="BK209" s="191">
        <f>L209*0.0889787664</f>
        <v/>
      </c>
      <c r="BL209" s="191">
        <f>L209*0.0911905966</f>
        <v/>
      </c>
      <c r="BM209" s="191">
        <f>L209*0.0935920121</f>
        <v/>
      </c>
      <c r="BN209" s="192">
        <f>L209*0.0967517695</f>
        <v/>
      </c>
      <c r="BO209" s="36" t="inlineStr">
        <is>
          <t>.</t>
        </is>
      </c>
      <c r="BP209" s="193">
        <f>SUM(BQ209:CB209)</f>
        <v/>
      </c>
      <c r="BQ209" s="191">
        <f>MAX(0,BC209-AA209)</f>
        <v/>
      </c>
      <c r="BR209" s="191">
        <f>MAX(0,BD209-AB209)</f>
        <v/>
      </c>
      <c r="BS209" s="191">
        <f>MAX(0,BE209-AC209)</f>
        <v/>
      </c>
      <c r="BT209" s="191">
        <f>MAX(0,BF209-AD209)</f>
        <v/>
      </c>
      <c r="BU209" s="191">
        <f>MAX(0,BG209-AE209)</f>
        <v/>
      </c>
      <c r="BV209" s="191">
        <f>MAX(0,BH209-AF209)</f>
        <v/>
      </c>
      <c r="BW209" s="191">
        <f>MAX(0,BI209-AG209)</f>
        <v/>
      </c>
      <c r="BX209" s="191">
        <f>MAX(0,BJ209-AH209)</f>
        <v/>
      </c>
      <c r="BY209" s="191">
        <f>MAX(0,BK209-AI209)</f>
        <v/>
      </c>
      <c r="BZ209" s="191">
        <f>MAX(0,BL209-AJ209)</f>
        <v/>
      </c>
      <c r="CA209" s="191">
        <f>MAX(0,BM209-AK209)</f>
        <v/>
      </c>
      <c r="CB209" s="192">
        <f>MAX(0,BN209-AL209)</f>
        <v/>
      </c>
    </row>
    <row r="210">
      <c r="A210" s="64" t="inlineStr">
        <is>
          <t>60023278000106</t>
        </is>
      </c>
      <c r="B210" s="57" t="inlineStr">
        <is>
          <t>AMME NATURA LTDA - ME</t>
        </is>
      </c>
      <c r="C210" s="57" t="inlineStr">
        <is>
          <t>SEM GRUPO</t>
        </is>
      </c>
      <c r="D210" s="61" t="inlineStr">
        <is>
          <t>HEMANUELE DITZEL (MANU)</t>
        </is>
      </c>
      <c r="E210" s="30" t="inlineStr">
        <is>
          <t>.</t>
        </is>
      </c>
      <c r="F210" s="63" t="inlineStr"/>
      <c r="G210" s="179" t="inlineStr"/>
      <c r="H210" s="57" t="inlineStr"/>
      <c r="I210" s="57" t="inlineStr"/>
      <c r="J210" s="61" t="inlineStr"/>
      <c r="K210" s="30" t="inlineStr">
        <is>
          <t>.</t>
        </is>
      </c>
      <c r="L210" s="180" t="n">
        <v>5729.89</v>
      </c>
      <c r="M210" s="181" t="n">
        <v>402.66</v>
      </c>
      <c r="N210" s="181" t="n">
        <v>420.76</v>
      </c>
      <c r="O210" s="181" t="n">
        <v>430.9</v>
      </c>
      <c r="P210" s="181" t="n">
        <v>442.13</v>
      </c>
      <c r="Q210" s="181" t="n">
        <v>456.61</v>
      </c>
      <c r="R210" s="181" t="n">
        <v>468.56</v>
      </c>
      <c r="S210" s="181" t="n">
        <v>486.66</v>
      </c>
      <c r="T210" s="181" t="n">
        <v>498.61</v>
      </c>
      <c r="U210" s="181" t="n">
        <v>509.84</v>
      </c>
      <c r="V210" s="181" t="n">
        <v>522.51</v>
      </c>
      <c r="W210" s="181" t="n">
        <v>536.27</v>
      </c>
      <c r="X210" s="182" t="n">
        <v>554.38</v>
      </c>
      <c r="Y210" s="183" t="inlineStr">
        <is>
          <t>.</t>
        </is>
      </c>
      <c r="Z210" s="184">
        <f>SUM(AA210:AL210)</f>
        <v/>
      </c>
      <c r="AA210" s="185" t="n">
        <v>0</v>
      </c>
      <c r="AB210" s="185" t="n">
        <v>0</v>
      </c>
      <c r="AC210" s="185" t="n">
        <v>0</v>
      </c>
      <c r="AD210" s="185" t="n">
        <v>0</v>
      </c>
      <c r="AE210" s="185" t="n">
        <v>0</v>
      </c>
      <c r="AF210" s="185" t="n">
        <v>1222.53</v>
      </c>
      <c r="AG210" s="185" t="n">
        <v>1362.16</v>
      </c>
      <c r="AH210" s="185" t="n">
        <v>0</v>
      </c>
      <c r="AI210" s="185" t="n">
        <v>0</v>
      </c>
      <c r="AJ210" s="185" t="n">
        <v>0</v>
      </c>
      <c r="AK210" s="185" t="n">
        <v>0</v>
      </c>
      <c r="AL210" s="186" t="n">
        <v>0</v>
      </c>
      <c r="AM210" s="30" t="inlineStr">
        <is>
          <t>.</t>
        </is>
      </c>
      <c r="AN210" s="187">
        <f>IF(L210=0,0,Z210/L210)</f>
        <v/>
      </c>
      <c r="AO210" s="57">
        <f>IF(AN210&gt;=1,"🟢",IF(AN210&gt;=0.7,"🟡",IF(AN210&gt;=0.4,"🟠","🔴")))</f>
        <v/>
      </c>
      <c r="AP210" s="185">
        <f>L210-Z210</f>
        <v/>
      </c>
      <c r="AQ210" s="55">
        <f>RANK(Z210,$Z$4:$Z$503,0)</f>
        <v/>
      </c>
      <c r="AR210" s="39" t="inlineStr">
        <is>
          <t>.</t>
        </is>
      </c>
      <c r="AS210" s="27" t="n"/>
      <c r="AT210" s="27" t="n"/>
      <c r="AU210" s="27" t="n"/>
      <c r="AV210" s="27" t="n"/>
      <c r="AW210" s="27" t="n"/>
      <c r="AX210" s="27" t="n"/>
      <c r="AY210" s="204" t="n"/>
      <c r="AZ210" s="204" t="n"/>
      <c r="BA210" s="38" t="inlineStr">
        <is>
          <t>.</t>
        </is>
      </c>
      <c r="BB210" s="190">
        <f>SUM(BC210:BN210)</f>
        <v/>
      </c>
      <c r="BC210" s="191">
        <f>L210*0.0702730030</f>
        <v/>
      </c>
      <c r="BD210" s="191">
        <f>L210*0.0734327604</f>
        <v/>
      </c>
      <c r="BE210" s="191">
        <f>L210*0.0752022245</f>
        <v/>
      </c>
      <c r="BF210" s="191">
        <f>L210*0.0771612740</f>
        <v/>
      </c>
      <c r="BG210" s="191">
        <f>L210*0.0796890799</f>
        <v/>
      </c>
      <c r="BH210" s="191">
        <f>L210*0.0817745197</f>
        <v/>
      </c>
      <c r="BI210" s="191">
        <f>L210*0.0849342770</f>
        <v/>
      </c>
      <c r="BJ210" s="191">
        <f>L210*0.0870197169</f>
        <v/>
      </c>
      <c r="BK210" s="191">
        <f>L210*0.0889787664</f>
        <v/>
      </c>
      <c r="BL210" s="191">
        <f>L210*0.0911905966</f>
        <v/>
      </c>
      <c r="BM210" s="191">
        <f>L210*0.0935920121</f>
        <v/>
      </c>
      <c r="BN210" s="192">
        <f>L210*0.0967517695</f>
        <v/>
      </c>
      <c r="BO210" s="36" t="inlineStr">
        <is>
          <t>.</t>
        </is>
      </c>
      <c r="BP210" s="193">
        <f>SUM(BQ210:CB210)</f>
        <v/>
      </c>
      <c r="BQ210" s="191">
        <f>MAX(0,BC210-AA210)</f>
        <v/>
      </c>
      <c r="BR210" s="191">
        <f>MAX(0,BD210-AB210)</f>
        <v/>
      </c>
      <c r="BS210" s="191">
        <f>MAX(0,BE210-AC210)</f>
        <v/>
      </c>
      <c r="BT210" s="191">
        <f>MAX(0,BF210-AD210)</f>
        <v/>
      </c>
      <c r="BU210" s="191">
        <f>MAX(0,BG210-AE210)</f>
        <v/>
      </c>
      <c r="BV210" s="191">
        <f>MAX(0,BH210-AF210)</f>
        <v/>
      </c>
      <c r="BW210" s="191">
        <f>MAX(0,BI210-AG210)</f>
        <v/>
      </c>
      <c r="BX210" s="191">
        <f>MAX(0,BJ210-AH210)</f>
        <v/>
      </c>
      <c r="BY210" s="191">
        <f>MAX(0,BK210-AI210)</f>
        <v/>
      </c>
      <c r="BZ210" s="191">
        <f>MAX(0,BL210-AJ210)</f>
        <v/>
      </c>
      <c r="CA210" s="191">
        <f>MAX(0,BM210-AK210)</f>
        <v/>
      </c>
      <c r="CB210" s="192">
        <f>MAX(0,BN210-AL210)</f>
        <v/>
      </c>
    </row>
    <row r="211">
      <c r="A211" s="64" t="inlineStr">
        <is>
          <t>58067518000122</t>
        </is>
      </c>
      <c r="B211" s="57" t="inlineStr">
        <is>
          <t>MARIA FITNESS LTDA  - ME</t>
        </is>
      </c>
      <c r="C211" s="57" t="inlineStr">
        <is>
          <t>SEM GRUPO</t>
        </is>
      </c>
      <c r="D211" s="61" t="inlineStr">
        <is>
          <t>LARISSA PADILHA</t>
        </is>
      </c>
      <c r="E211" s="30" t="inlineStr">
        <is>
          <t>.</t>
        </is>
      </c>
      <c r="F211" s="63" t="inlineStr"/>
      <c r="G211" s="179" t="inlineStr"/>
      <c r="H211" s="57" t="inlineStr"/>
      <c r="I211" s="57" t="inlineStr"/>
      <c r="J211" s="61" t="inlineStr"/>
      <c r="K211" s="30" t="inlineStr">
        <is>
          <t>.</t>
        </is>
      </c>
      <c r="L211" s="180" t="n">
        <v>5729.49</v>
      </c>
      <c r="M211" s="181" t="n">
        <v>402.63</v>
      </c>
      <c r="N211" s="181" t="n">
        <v>420.73</v>
      </c>
      <c r="O211" s="181" t="n">
        <v>430.87</v>
      </c>
      <c r="P211" s="181" t="n">
        <v>442.09</v>
      </c>
      <c r="Q211" s="181" t="n">
        <v>456.58</v>
      </c>
      <c r="R211" s="181" t="n">
        <v>468.53</v>
      </c>
      <c r="S211" s="181" t="n">
        <v>486.63</v>
      </c>
      <c r="T211" s="181" t="n">
        <v>498.58</v>
      </c>
      <c r="U211" s="181" t="n">
        <v>509.8</v>
      </c>
      <c r="V211" s="181" t="n">
        <v>522.48</v>
      </c>
      <c r="W211" s="181" t="n">
        <v>536.23</v>
      </c>
      <c r="X211" s="182" t="n">
        <v>554.34</v>
      </c>
      <c r="Y211" s="183" t="inlineStr">
        <is>
          <t>.</t>
        </is>
      </c>
      <c r="Z211" s="184">
        <f>SUM(AA211:AL211)</f>
        <v/>
      </c>
      <c r="AA211" s="185" t="n">
        <v>0</v>
      </c>
      <c r="AB211" s="185" t="n">
        <v>1684.48</v>
      </c>
      <c r="AC211" s="185" t="n">
        <v>0</v>
      </c>
      <c r="AD211" s="185" t="n">
        <v>0</v>
      </c>
      <c r="AE211" s="185" t="n">
        <v>0</v>
      </c>
      <c r="AF211" s="185" t="n">
        <v>0</v>
      </c>
      <c r="AG211" s="185" t="n">
        <v>0</v>
      </c>
      <c r="AH211" s="185" t="n">
        <v>0</v>
      </c>
      <c r="AI211" s="185" t="n">
        <v>0</v>
      </c>
      <c r="AJ211" s="185" t="n">
        <v>0</v>
      </c>
      <c r="AK211" s="185" t="n">
        <v>0</v>
      </c>
      <c r="AL211" s="186" t="n">
        <v>1786.64</v>
      </c>
      <c r="AM211" s="30" t="inlineStr">
        <is>
          <t>.</t>
        </is>
      </c>
      <c r="AN211" s="187">
        <f>IF(L211=0,0,Z211/L211)</f>
        <v/>
      </c>
      <c r="AO211" s="57">
        <f>IF(AN211&gt;=1,"🟢",IF(AN211&gt;=0.7,"🟡",IF(AN211&gt;=0.4,"🟠","🔴")))</f>
        <v/>
      </c>
      <c r="AP211" s="185">
        <f>L211-Z211</f>
        <v/>
      </c>
      <c r="AQ211" s="55">
        <f>RANK(Z211,$Z$4:$Z$503,0)</f>
        <v/>
      </c>
      <c r="AR211" s="39" t="inlineStr">
        <is>
          <t>.</t>
        </is>
      </c>
      <c r="AS211" s="27" t="n"/>
      <c r="AT211" s="27" t="n"/>
      <c r="AU211" s="27" t="n"/>
      <c r="AV211" s="27" t="n"/>
      <c r="AW211" s="27" t="n"/>
      <c r="AX211" s="27" t="n"/>
      <c r="AY211" s="204" t="n"/>
      <c r="AZ211" s="204" t="n"/>
      <c r="BA211" s="38" t="inlineStr">
        <is>
          <t>.</t>
        </is>
      </c>
      <c r="BB211" s="190">
        <f>SUM(BC211:BN211)</f>
        <v/>
      </c>
      <c r="BC211" s="191">
        <f>L211*0.0702730030</f>
        <v/>
      </c>
      <c r="BD211" s="191">
        <f>L211*0.0734327604</f>
        <v/>
      </c>
      <c r="BE211" s="191">
        <f>L211*0.0752022245</f>
        <v/>
      </c>
      <c r="BF211" s="191">
        <f>L211*0.0771612740</f>
        <v/>
      </c>
      <c r="BG211" s="191">
        <f>L211*0.0796890799</f>
        <v/>
      </c>
      <c r="BH211" s="191">
        <f>L211*0.0817745197</f>
        <v/>
      </c>
      <c r="BI211" s="191">
        <f>L211*0.0849342770</f>
        <v/>
      </c>
      <c r="BJ211" s="191">
        <f>L211*0.0870197169</f>
        <v/>
      </c>
      <c r="BK211" s="191">
        <f>L211*0.0889787664</f>
        <v/>
      </c>
      <c r="BL211" s="191">
        <f>L211*0.0911905966</f>
        <v/>
      </c>
      <c r="BM211" s="191">
        <f>L211*0.0935920121</f>
        <v/>
      </c>
      <c r="BN211" s="192">
        <f>L211*0.0967517695</f>
        <v/>
      </c>
      <c r="BO211" s="36" t="inlineStr">
        <is>
          <t>.</t>
        </is>
      </c>
      <c r="BP211" s="193">
        <f>SUM(BQ211:CB211)</f>
        <v/>
      </c>
      <c r="BQ211" s="191">
        <f>MAX(0,BC211-AA211)</f>
        <v/>
      </c>
      <c r="BR211" s="191">
        <f>MAX(0,BD211-AB211)</f>
        <v/>
      </c>
      <c r="BS211" s="191">
        <f>MAX(0,BE211-AC211)</f>
        <v/>
      </c>
      <c r="BT211" s="191">
        <f>MAX(0,BF211-AD211)</f>
        <v/>
      </c>
      <c r="BU211" s="191">
        <f>MAX(0,BG211-AE211)</f>
        <v/>
      </c>
      <c r="BV211" s="191">
        <f>MAX(0,BH211-AF211)</f>
        <v/>
      </c>
      <c r="BW211" s="191">
        <f>MAX(0,BI211-AG211)</f>
        <v/>
      </c>
      <c r="BX211" s="191">
        <f>MAX(0,BJ211-AH211)</f>
        <v/>
      </c>
      <c r="BY211" s="191">
        <f>MAX(0,BK211-AI211)</f>
        <v/>
      </c>
      <c r="BZ211" s="191">
        <f>MAX(0,BL211-AJ211)</f>
        <v/>
      </c>
      <c r="CA211" s="191">
        <f>MAX(0,BM211-AK211)</f>
        <v/>
      </c>
      <c r="CB211" s="192">
        <f>MAX(0,BN211-AL211)</f>
        <v/>
      </c>
    </row>
    <row r="212">
      <c r="A212" s="64" t="inlineStr">
        <is>
          <t>33463112000138</t>
        </is>
      </c>
      <c r="B212" s="57" t="inlineStr">
        <is>
          <t>BRCOMBOS ALIMENTACAO LTDA - ME</t>
        </is>
      </c>
      <c r="C212" s="57" t="inlineStr">
        <is>
          <t>SEM GRUPO</t>
        </is>
      </c>
      <c r="D212" s="61" t="inlineStr">
        <is>
          <t>HEMANUELE DITZEL (MANU)</t>
        </is>
      </c>
      <c r="E212" s="30" t="inlineStr">
        <is>
          <t>.</t>
        </is>
      </c>
      <c r="F212" s="63" t="inlineStr"/>
      <c r="G212" s="179" t="inlineStr"/>
      <c r="H212" s="57" t="inlineStr"/>
      <c r="I212" s="57" t="inlineStr"/>
      <c r="J212" s="61" t="inlineStr"/>
      <c r="K212" s="30" t="inlineStr">
        <is>
          <t>.</t>
        </is>
      </c>
      <c r="L212" s="180" t="n">
        <v>5724.219999999999</v>
      </c>
      <c r="M212" s="181" t="n">
        <v>402.26</v>
      </c>
      <c r="N212" s="181" t="n">
        <v>420.35</v>
      </c>
      <c r="O212" s="181" t="n">
        <v>430.47</v>
      </c>
      <c r="P212" s="181" t="n">
        <v>441.69</v>
      </c>
      <c r="Q212" s="181" t="n">
        <v>456.16</v>
      </c>
      <c r="R212" s="181" t="n">
        <v>468.1</v>
      </c>
      <c r="S212" s="181" t="n">
        <v>486.18</v>
      </c>
      <c r="T212" s="181" t="n">
        <v>498.12</v>
      </c>
      <c r="U212" s="181" t="n">
        <v>509.33</v>
      </c>
      <c r="V212" s="181" t="n">
        <v>521.99</v>
      </c>
      <c r="W212" s="181" t="n">
        <v>535.74</v>
      </c>
      <c r="X212" s="182" t="n">
        <v>553.83</v>
      </c>
      <c r="Y212" s="183" t="inlineStr">
        <is>
          <t>.</t>
        </is>
      </c>
      <c r="Z212" s="184">
        <f>SUM(AA212:AL212)</f>
        <v/>
      </c>
      <c r="AA212" s="185" t="n">
        <v>2836.44</v>
      </c>
      <c r="AB212" s="185" t="n">
        <v>0</v>
      </c>
      <c r="AC212" s="185" t="n">
        <v>0</v>
      </c>
      <c r="AD212" s="185" t="n">
        <v>0</v>
      </c>
      <c r="AE212" s="185" t="n">
        <v>0</v>
      </c>
      <c r="AF212" s="185" t="n">
        <v>0</v>
      </c>
      <c r="AG212" s="185" t="n">
        <v>968.65</v>
      </c>
      <c r="AH212" s="185" t="n">
        <v>0</v>
      </c>
      <c r="AI212" s="185" t="n">
        <v>0</v>
      </c>
      <c r="AJ212" s="185" t="n">
        <v>0</v>
      </c>
      <c r="AK212" s="185" t="n">
        <v>0</v>
      </c>
      <c r="AL212" s="186" t="n">
        <v>0</v>
      </c>
      <c r="AM212" s="30" t="inlineStr">
        <is>
          <t>.</t>
        </is>
      </c>
      <c r="AN212" s="187">
        <f>IF(L212=0,0,Z212/L212)</f>
        <v/>
      </c>
      <c r="AO212" s="57">
        <f>IF(AN212&gt;=1,"🟢",IF(AN212&gt;=0.7,"🟡",IF(AN212&gt;=0.4,"🟠","🔴")))</f>
        <v/>
      </c>
      <c r="AP212" s="185">
        <f>L212-Z212</f>
        <v/>
      </c>
      <c r="AQ212" s="55">
        <f>RANK(Z212,$Z$4:$Z$503,0)</f>
        <v/>
      </c>
      <c r="AR212" s="39" t="inlineStr">
        <is>
          <t>.</t>
        </is>
      </c>
      <c r="AS212" s="27" t="n"/>
      <c r="AT212" s="27" t="n"/>
      <c r="AU212" s="27" t="n"/>
      <c r="AV212" s="27" t="n"/>
      <c r="AW212" s="27" t="n"/>
      <c r="AX212" s="27" t="n"/>
      <c r="AY212" s="204" t="n"/>
      <c r="AZ212" s="204" t="n"/>
      <c r="BA212" s="38" t="inlineStr">
        <is>
          <t>.</t>
        </is>
      </c>
      <c r="BB212" s="190">
        <f>SUM(BC212:BN212)</f>
        <v/>
      </c>
      <c r="BC212" s="191">
        <f>L212*0.0702730030</f>
        <v/>
      </c>
      <c r="BD212" s="191">
        <f>L212*0.0734327604</f>
        <v/>
      </c>
      <c r="BE212" s="191">
        <f>L212*0.0752022245</f>
        <v/>
      </c>
      <c r="BF212" s="191">
        <f>L212*0.0771612740</f>
        <v/>
      </c>
      <c r="BG212" s="191">
        <f>L212*0.0796890799</f>
        <v/>
      </c>
      <c r="BH212" s="191">
        <f>L212*0.0817745197</f>
        <v/>
      </c>
      <c r="BI212" s="191">
        <f>L212*0.0849342770</f>
        <v/>
      </c>
      <c r="BJ212" s="191">
        <f>L212*0.0870197169</f>
        <v/>
      </c>
      <c r="BK212" s="191">
        <f>L212*0.0889787664</f>
        <v/>
      </c>
      <c r="BL212" s="191">
        <f>L212*0.0911905966</f>
        <v/>
      </c>
      <c r="BM212" s="191">
        <f>L212*0.0935920121</f>
        <v/>
      </c>
      <c r="BN212" s="192">
        <f>L212*0.0967517695</f>
        <v/>
      </c>
      <c r="BO212" s="36" t="inlineStr">
        <is>
          <t>.</t>
        </is>
      </c>
      <c r="BP212" s="193">
        <f>SUM(BQ212:CB212)</f>
        <v/>
      </c>
      <c r="BQ212" s="191">
        <f>MAX(0,BC212-AA212)</f>
        <v/>
      </c>
      <c r="BR212" s="191">
        <f>MAX(0,BD212-AB212)</f>
        <v/>
      </c>
      <c r="BS212" s="191">
        <f>MAX(0,BE212-AC212)</f>
        <v/>
      </c>
      <c r="BT212" s="191">
        <f>MAX(0,BF212-AD212)</f>
        <v/>
      </c>
      <c r="BU212" s="191">
        <f>MAX(0,BG212-AE212)</f>
        <v/>
      </c>
      <c r="BV212" s="191">
        <f>MAX(0,BH212-AF212)</f>
        <v/>
      </c>
      <c r="BW212" s="191">
        <f>MAX(0,BI212-AG212)</f>
        <v/>
      </c>
      <c r="BX212" s="191">
        <f>MAX(0,BJ212-AH212)</f>
        <v/>
      </c>
      <c r="BY212" s="191">
        <f>MAX(0,BK212-AI212)</f>
        <v/>
      </c>
      <c r="BZ212" s="191">
        <f>MAX(0,BL212-AJ212)</f>
        <v/>
      </c>
      <c r="CA212" s="191">
        <f>MAX(0,BM212-AK212)</f>
        <v/>
      </c>
      <c r="CB212" s="192">
        <f>MAX(0,BN212-AL212)</f>
        <v/>
      </c>
    </row>
    <row r="213">
      <c r="A213" s="64" t="inlineStr">
        <is>
          <t>05376415000188</t>
        </is>
      </c>
      <c r="B213" s="57" t="inlineStr">
        <is>
          <t>ARMAZEM VITAL COMERCIAL LTDA - EPP</t>
        </is>
      </c>
      <c r="C213" s="57" t="inlineStr">
        <is>
          <t>SEM GRUPO</t>
        </is>
      </c>
      <c r="D213" s="61" t="inlineStr">
        <is>
          <t>HEMANUELE DITZEL (MANU)</t>
        </is>
      </c>
      <c r="E213" s="30" t="inlineStr">
        <is>
          <t>.</t>
        </is>
      </c>
      <c r="F213" s="63" t="inlineStr"/>
      <c r="G213" s="179" t="inlineStr"/>
      <c r="H213" s="57" t="inlineStr"/>
      <c r="I213" s="57" t="inlineStr"/>
      <c r="J213" s="61" t="inlineStr"/>
      <c r="K213" s="30" t="inlineStr">
        <is>
          <t>.</t>
        </is>
      </c>
      <c r="L213" s="180" t="n">
        <v>5673.849999999999</v>
      </c>
      <c r="M213" s="181" t="n">
        <v>398.72</v>
      </c>
      <c r="N213" s="181" t="n">
        <v>416.65</v>
      </c>
      <c r="O213" s="181" t="n">
        <v>426.69</v>
      </c>
      <c r="P213" s="181" t="n">
        <v>437.8</v>
      </c>
      <c r="Q213" s="181" t="n">
        <v>452.14</v>
      </c>
      <c r="R213" s="181" t="n">
        <v>463.98</v>
      </c>
      <c r="S213" s="181" t="n">
        <v>481.9</v>
      </c>
      <c r="T213" s="181" t="n">
        <v>493.74</v>
      </c>
      <c r="U213" s="181" t="n">
        <v>504.85</v>
      </c>
      <c r="V213" s="181" t="n">
        <v>517.4</v>
      </c>
      <c r="W213" s="181" t="n">
        <v>531.03</v>
      </c>
      <c r="X213" s="182" t="n">
        <v>548.95</v>
      </c>
      <c r="Y213" s="183" t="inlineStr">
        <is>
          <t>.</t>
        </is>
      </c>
      <c r="Z213" s="184">
        <f>SUM(AA213:AL213)</f>
        <v/>
      </c>
      <c r="AA213" s="185" t="n">
        <v>0</v>
      </c>
      <c r="AB213" s="185" t="n">
        <v>0</v>
      </c>
      <c r="AC213" s="185" t="n">
        <v>0</v>
      </c>
      <c r="AD213" s="185" t="n">
        <v>1457.06</v>
      </c>
      <c r="AE213" s="185" t="n">
        <v>786.11</v>
      </c>
      <c r="AF213" s="185" t="n">
        <v>0</v>
      </c>
      <c r="AG213" s="185" t="n">
        <v>0</v>
      </c>
      <c r="AH213" s="185" t="n">
        <v>0</v>
      </c>
      <c r="AI213" s="185" t="n">
        <v>0</v>
      </c>
      <c r="AJ213" s="185" t="n">
        <v>0</v>
      </c>
      <c r="AK213" s="185" t="n">
        <v>0</v>
      </c>
      <c r="AL213" s="186" t="n">
        <v>0</v>
      </c>
      <c r="AM213" s="30" t="inlineStr">
        <is>
          <t>.</t>
        </is>
      </c>
      <c r="AN213" s="187">
        <f>IF(L213=0,0,Z213/L213)</f>
        <v/>
      </c>
      <c r="AO213" s="57">
        <f>IF(AN213&gt;=1,"🟢",IF(AN213&gt;=0.7,"🟡",IF(AN213&gt;=0.4,"🟠","🔴")))</f>
        <v/>
      </c>
      <c r="AP213" s="185">
        <f>L213-Z213</f>
        <v/>
      </c>
      <c r="AQ213" s="55">
        <f>RANK(Z213,$Z$4:$Z$503,0)</f>
        <v/>
      </c>
      <c r="AR213" s="39" t="inlineStr">
        <is>
          <t>.</t>
        </is>
      </c>
      <c r="AS213" s="27" t="n"/>
      <c r="AT213" s="27" t="n"/>
      <c r="AU213" s="27" t="n"/>
      <c r="AV213" s="27" t="n"/>
      <c r="AW213" s="27" t="n"/>
      <c r="AX213" s="27" t="n"/>
      <c r="AY213" s="204" t="n"/>
      <c r="AZ213" s="204" t="n"/>
      <c r="BA213" s="38" t="inlineStr">
        <is>
          <t>.</t>
        </is>
      </c>
      <c r="BB213" s="190">
        <f>SUM(BC213:BN213)</f>
        <v/>
      </c>
      <c r="BC213" s="191">
        <f>L213*0.0702730030</f>
        <v/>
      </c>
      <c r="BD213" s="191">
        <f>L213*0.0734327604</f>
        <v/>
      </c>
      <c r="BE213" s="191">
        <f>L213*0.0752022245</f>
        <v/>
      </c>
      <c r="BF213" s="191">
        <f>L213*0.0771612740</f>
        <v/>
      </c>
      <c r="BG213" s="191">
        <f>L213*0.0796890799</f>
        <v/>
      </c>
      <c r="BH213" s="191">
        <f>L213*0.0817745197</f>
        <v/>
      </c>
      <c r="BI213" s="191">
        <f>L213*0.0849342770</f>
        <v/>
      </c>
      <c r="BJ213" s="191">
        <f>L213*0.0870197169</f>
        <v/>
      </c>
      <c r="BK213" s="191">
        <f>L213*0.0889787664</f>
        <v/>
      </c>
      <c r="BL213" s="191">
        <f>L213*0.0911905966</f>
        <v/>
      </c>
      <c r="BM213" s="191">
        <f>L213*0.0935920121</f>
        <v/>
      </c>
      <c r="BN213" s="192">
        <f>L213*0.0967517695</f>
        <v/>
      </c>
      <c r="BO213" s="36" t="inlineStr">
        <is>
          <t>.</t>
        </is>
      </c>
      <c r="BP213" s="193">
        <f>SUM(BQ213:CB213)</f>
        <v/>
      </c>
      <c r="BQ213" s="191">
        <f>MAX(0,BC213-AA213)</f>
        <v/>
      </c>
      <c r="BR213" s="191">
        <f>MAX(0,BD213-AB213)</f>
        <v/>
      </c>
      <c r="BS213" s="191">
        <f>MAX(0,BE213-AC213)</f>
        <v/>
      </c>
      <c r="BT213" s="191">
        <f>MAX(0,BF213-AD213)</f>
        <v/>
      </c>
      <c r="BU213" s="191">
        <f>MAX(0,BG213-AE213)</f>
        <v/>
      </c>
      <c r="BV213" s="191">
        <f>MAX(0,BH213-AF213)</f>
        <v/>
      </c>
      <c r="BW213" s="191">
        <f>MAX(0,BI213-AG213)</f>
        <v/>
      </c>
      <c r="BX213" s="191">
        <f>MAX(0,BJ213-AH213)</f>
        <v/>
      </c>
      <c r="BY213" s="191">
        <f>MAX(0,BK213-AI213)</f>
        <v/>
      </c>
      <c r="BZ213" s="191">
        <f>MAX(0,BL213-AJ213)</f>
        <v/>
      </c>
      <c r="CA213" s="191">
        <f>MAX(0,BM213-AK213)</f>
        <v/>
      </c>
      <c r="CB213" s="192">
        <f>MAX(0,BN213-AL213)</f>
        <v/>
      </c>
    </row>
    <row r="214">
      <c r="A214" s="64" t="inlineStr">
        <is>
          <t>56237854000140</t>
        </is>
      </c>
      <c r="B214" s="57" t="inlineStr">
        <is>
          <t>56.237.854 SAMUELL CARVALHO LUCIANO - ME</t>
        </is>
      </c>
      <c r="C214" s="57" t="inlineStr">
        <is>
          <t>SEM GRUPO</t>
        </is>
      </c>
      <c r="D214" s="61" t="inlineStr">
        <is>
          <t>HEMANUELE DITZEL (MANU)</t>
        </is>
      </c>
      <c r="E214" s="30" t="inlineStr">
        <is>
          <t>.</t>
        </is>
      </c>
      <c r="F214" s="63" t="inlineStr"/>
      <c r="G214" s="179" t="inlineStr"/>
      <c r="H214" s="57" t="inlineStr"/>
      <c r="I214" s="57" t="inlineStr"/>
      <c r="J214" s="61" t="inlineStr"/>
      <c r="K214" s="30" t="inlineStr">
        <is>
          <t>.</t>
        </is>
      </c>
      <c r="L214" s="180" t="n">
        <v>5661.51</v>
      </c>
      <c r="M214" s="181" t="n">
        <v>397.85</v>
      </c>
      <c r="N214" s="181" t="n">
        <v>415.74</v>
      </c>
      <c r="O214" s="181" t="n">
        <v>425.76</v>
      </c>
      <c r="P214" s="181" t="n">
        <v>436.85</v>
      </c>
      <c r="Q214" s="181" t="n">
        <v>451.16</v>
      </c>
      <c r="R214" s="181" t="n">
        <v>462.97</v>
      </c>
      <c r="S214" s="181" t="n">
        <v>480.86</v>
      </c>
      <c r="T214" s="181" t="n">
        <v>492.66</v>
      </c>
      <c r="U214" s="181" t="n">
        <v>503.75</v>
      </c>
      <c r="V214" s="181" t="n">
        <v>516.28</v>
      </c>
      <c r="W214" s="181" t="n">
        <v>529.87</v>
      </c>
      <c r="X214" s="182" t="n">
        <v>547.76</v>
      </c>
      <c r="Y214" s="183" t="inlineStr">
        <is>
          <t>.</t>
        </is>
      </c>
      <c r="Z214" s="184">
        <f>SUM(AA214:AL214)</f>
        <v/>
      </c>
      <c r="AA214" s="185" t="n">
        <v>0</v>
      </c>
      <c r="AB214" s="185" t="n">
        <v>0</v>
      </c>
      <c r="AC214" s="185" t="n">
        <v>1372.9</v>
      </c>
      <c r="AD214" s="185" t="n">
        <v>0</v>
      </c>
      <c r="AE214" s="185" t="n">
        <v>881.0599999999999</v>
      </c>
      <c r="AF214" s="185" t="n">
        <v>0</v>
      </c>
      <c r="AG214" s="185" t="n">
        <v>0</v>
      </c>
      <c r="AH214" s="185" t="n">
        <v>0</v>
      </c>
      <c r="AI214" s="185" t="n">
        <v>0</v>
      </c>
      <c r="AJ214" s="185" t="n">
        <v>0</v>
      </c>
      <c r="AK214" s="185" t="n">
        <v>0</v>
      </c>
      <c r="AL214" s="186" t="n">
        <v>0</v>
      </c>
      <c r="AM214" s="30" t="inlineStr">
        <is>
          <t>.</t>
        </is>
      </c>
      <c r="AN214" s="187">
        <f>IF(L214=0,0,Z214/L214)</f>
        <v/>
      </c>
      <c r="AO214" s="57">
        <f>IF(AN214&gt;=1,"🟢",IF(AN214&gt;=0.7,"🟡",IF(AN214&gt;=0.4,"🟠","🔴")))</f>
        <v/>
      </c>
      <c r="AP214" s="185">
        <f>L214-Z214</f>
        <v/>
      </c>
      <c r="AQ214" s="55">
        <f>RANK(Z214,$Z$4:$Z$503,0)</f>
        <v/>
      </c>
      <c r="AR214" s="39" t="inlineStr">
        <is>
          <t>.</t>
        </is>
      </c>
      <c r="AS214" s="27" t="n"/>
      <c r="AT214" s="27" t="n"/>
      <c r="AU214" s="27" t="n"/>
      <c r="AV214" s="27" t="n"/>
      <c r="AW214" s="27" t="n"/>
      <c r="AX214" s="27" t="n"/>
      <c r="AY214" s="204" t="n"/>
      <c r="AZ214" s="204" t="n"/>
      <c r="BA214" s="38" t="inlineStr">
        <is>
          <t>.</t>
        </is>
      </c>
      <c r="BB214" s="190">
        <f>SUM(BC214:BN214)</f>
        <v/>
      </c>
      <c r="BC214" s="191">
        <f>L214*0.0702730030</f>
        <v/>
      </c>
      <c r="BD214" s="191">
        <f>L214*0.0734327604</f>
        <v/>
      </c>
      <c r="BE214" s="191">
        <f>L214*0.0752022245</f>
        <v/>
      </c>
      <c r="BF214" s="191">
        <f>L214*0.0771612740</f>
        <v/>
      </c>
      <c r="BG214" s="191">
        <f>L214*0.0796890799</f>
        <v/>
      </c>
      <c r="BH214" s="191">
        <f>L214*0.0817745197</f>
        <v/>
      </c>
      <c r="BI214" s="191">
        <f>L214*0.0849342770</f>
        <v/>
      </c>
      <c r="BJ214" s="191">
        <f>L214*0.0870197169</f>
        <v/>
      </c>
      <c r="BK214" s="191">
        <f>L214*0.0889787664</f>
        <v/>
      </c>
      <c r="BL214" s="191">
        <f>L214*0.0911905966</f>
        <v/>
      </c>
      <c r="BM214" s="191">
        <f>L214*0.0935920121</f>
        <v/>
      </c>
      <c r="BN214" s="192">
        <f>L214*0.0967517695</f>
        <v/>
      </c>
      <c r="BO214" s="36" t="inlineStr">
        <is>
          <t>.</t>
        </is>
      </c>
      <c r="BP214" s="193">
        <f>SUM(BQ214:CB214)</f>
        <v/>
      </c>
      <c r="BQ214" s="191">
        <f>MAX(0,BC214-AA214)</f>
        <v/>
      </c>
      <c r="BR214" s="191">
        <f>MAX(0,BD214-AB214)</f>
        <v/>
      </c>
      <c r="BS214" s="191">
        <f>MAX(0,BE214-AC214)</f>
        <v/>
      </c>
      <c r="BT214" s="191">
        <f>MAX(0,BF214-AD214)</f>
        <v/>
      </c>
      <c r="BU214" s="191">
        <f>MAX(0,BG214-AE214)</f>
        <v/>
      </c>
      <c r="BV214" s="191">
        <f>MAX(0,BH214-AF214)</f>
        <v/>
      </c>
      <c r="BW214" s="191">
        <f>MAX(0,BI214-AG214)</f>
        <v/>
      </c>
      <c r="BX214" s="191">
        <f>MAX(0,BJ214-AH214)</f>
        <v/>
      </c>
      <c r="BY214" s="191">
        <f>MAX(0,BK214-AI214)</f>
        <v/>
      </c>
      <c r="BZ214" s="191">
        <f>MAX(0,BL214-AJ214)</f>
        <v/>
      </c>
      <c r="CA214" s="191">
        <f>MAX(0,BM214-AK214)</f>
        <v/>
      </c>
      <c r="CB214" s="192">
        <f>MAX(0,BN214-AL214)</f>
        <v/>
      </c>
    </row>
    <row r="215">
      <c r="A215" s="64" t="inlineStr">
        <is>
          <t>75176859000317</t>
        </is>
      </c>
      <c r="B215" s="57" t="inlineStr">
        <is>
          <t>AUTO POSTO E MECANICA BARAO LTDA</t>
        </is>
      </c>
      <c r="C215" s="57" t="inlineStr">
        <is>
          <t>SEM GRUPO</t>
        </is>
      </c>
      <c r="D215" s="61" t="inlineStr">
        <is>
          <t>HEMANUELE DITZEL (MANU)</t>
        </is>
      </c>
      <c r="E215" s="30" t="inlineStr">
        <is>
          <t>.</t>
        </is>
      </c>
      <c r="F215" s="63" t="inlineStr"/>
      <c r="G215" s="179" t="inlineStr"/>
      <c r="H215" s="57" t="inlineStr"/>
      <c r="I215" s="57" t="inlineStr"/>
      <c r="J215" s="61" t="inlineStr"/>
      <c r="K215" s="30" t="inlineStr">
        <is>
          <t>.</t>
        </is>
      </c>
      <c r="L215" s="180" t="n">
        <v>5644.3</v>
      </c>
      <c r="M215" s="181" t="n">
        <v>396.64</v>
      </c>
      <c r="N215" s="181" t="n">
        <v>414.48</v>
      </c>
      <c r="O215" s="181" t="n">
        <v>424.46</v>
      </c>
      <c r="P215" s="181" t="n">
        <v>435.52</v>
      </c>
      <c r="Q215" s="181" t="n">
        <v>449.79</v>
      </c>
      <c r="R215" s="181" t="n">
        <v>461.56</v>
      </c>
      <c r="S215" s="181" t="n">
        <v>479.39</v>
      </c>
      <c r="T215" s="181" t="n">
        <v>491.17</v>
      </c>
      <c r="U215" s="181" t="n">
        <v>502.22</v>
      </c>
      <c r="V215" s="181" t="n">
        <v>514.71</v>
      </c>
      <c r="W215" s="181" t="n">
        <v>528.26</v>
      </c>
      <c r="X215" s="182" t="n">
        <v>546.1</v>
      </c>
      <c r="Y215" s="183" t="inlineStr">
        <is>
          <t>.</t>
        </is>
      </c>
      <c r="Z215" s="184">
        <f>SUM(AA215:AL215)</f>
        <v/>
      </c>
      <c r="AA215" s="185" t="n">
        <v>0</v>
      </c>
      <c r="AB215" s="185" t="n">
        <v>0</v>
      </c>
      <c r="AC215" s="185" t="n">
        <v>0</v>
      </c>
      <c r="AD215" s="185" t="n">
        <v>0</v>
      </c>
      <c r="AE215" s="185" t="n">
        <v>4245.28</v>
      </c>
      <c r="AF215" s="185" t="n">
        <v>0</v>
      </c>
      <c r="AG215" s="185" t="n">
        <v>0</v>
      </c>
      <c r="AH215" s="185" t="n">
        <v>0</v>
      </c>
      <c r="AI215" s="185" t="n">
        <v>0</v>
      </c>
      <c r="AJ215" s="185" t="n">
        <v>0</v>
      </c>
      <c r="AK215" s="185" t="n">
        <v>0</v>
      </c>
      <c r="AL215" s="186" t="n">
        <v>0</v>
      </c>
      <c r="AM215" s="30" t="inlineStr">
        <is>
          <t>.</t>
        </is>
      </c>
      <c r="AN215" s="187">
        <f>IF(L215=0,0,Z215/L215)</f>
        <v/>
      </c>
      <c r="AO215" s="57">
        <f>IF(AN215&gt;=1,"🟢",IF(AN215&gt;=0.7,"🟡",IF(AN215&gt;=0.4,"🟠","🔴")))</f>
        <v/>
      </c>
      <c r="AP215" s="185">
        <f>L215-Z215</f>
        <v/>
      </c>
      <c r="AQ215" s="55">
        <f>RANK(Z215,$Z$4:$Z$503,0)</f>
        <v/>
      </c>
      <c r="AR215" s="39" t="inlineStr">
        <is>
          <t>.</t>
        </is>
      </c>
      <c r="AS215" s="27" t="n"/>
      <c r="AT215" s="27" t="n"/>
      <c r="AU215" s="27" t="n"/>
      <c r="AV215" s="27" t="n"/>
      <c r="AW215" s="27" t="n"/>
      <c r="AX215" s="27" t="n"/>
      <c r="AY215" s="204" t="n"/>
      <c r="AZ215" s="204" t="n"/>
      <c r="BA215" s="38" t="inlineStr">
        <is>
          <t>.</t>
        </is>
      </c>
      <c r="BB215" s="190">
        <f>SUM(BC215:BN215)</f>
        <v/>
      </c>
      <c r="BC215" s="191">
        <f>L215*0.0702730030</f>
        <v/>
      </c>
      <c r="BD215" s="191">
        <f>L215*0.0734327604</f>
        <v/>
      </c>
      <c r="BE215" s="191">
        <f>L215*0.0752022245</f>
        <v/>
      </c>
      <c r="BF215" s="191">
        <f>L215*0.0771612740</f>
        <v/>
      </c>
      <c r="BG215" s="191">
        <f>L215*0.0796890799</f>
        <v/>
      </c>
      <c r="BH215" s="191">
        <f>L215*0.0817745197</f>
        <v/>
      </c>
      <c r="BI215" s="191">
        <f>L215*0.0849342770</f>
        <v/>
      </c>
      <c r="BJ215" s="191">
        <f>L215*0.0870197169</f>
        <v/>
      </c>
      <c r="BK215" s="191">
        <f>L215*0.0889787664</f>
        <v/>
      </c>
      <c r="BL215" s="191">
        <f>L215*0.0911905966</f>
        <v/>
      </c>
      <c r="BM215" s="191">
        <f>L215*0.0935920121</f>
        <v/>
      </c>
      <c r="BN215" s="192">
        <f>L215*0.0967517695</f>
        <v/>
      </c>
      <c r="BO215" s="36" t="inlineStr">
        <is>
          <t>.</t>
        </is>
      </c>
      <c r="BP215" s="193">
        <f>SUM(BQ215:CB215)</f>
        <v/>
      </c>
      <c r="BQ215" s="191">
        <f>MAX(0,BC215-AA215)</f>
        <v/>
      </c>
      <c r="BR215" s="191">
        <f>MAX(0,BD215-AB215)</f>
        <v/>
      </c>
      <c r="BS215" s="191">
        <f>MAX(0,BE215-AC215)</f>
        <v/>
      </c>
      <c r="BT215" s="191">
        <f>MAX(0,BF215-AD215)</f>
        <v/>
      </c>
      <c r="BU215" s="191">
        <f>MAX(0,BG215-AE215)</f>
        <v/>
      </c>
      <c r="BV215" s="191">
        <f>MAX(0,BH215-AF215)</f>
        <v/>
      </c>
      <c r="BW215" s="191">
        <f>MAX(0,BI215-AG215)</f>
        <v/>
      </c>
      <c r="BX215" s="191">
        <f>MAX(0,BJ215-AH215)</f>
        <v/>
      </c>
      <c r="BY215" s="191">
        <f>MAX(0,BK215-AI215)</f>
        <v/>
      </c>
      <c r="BZ215" s="191">
        <f>MAX(0,BL215-AJ215)</f>
        <v/>
      </c>
      <c r="CA215" s="191">
        <f>MAX(0,BM215-AK215)</f>
        <v/>
      </c>
      <c r="CB215" s="192">
        <f>MAX(0,BN215-AL215)</f>
        <v/>
      </c>
    </row>
    <row r="216">
      <c r="A216" s="64" t="inlineStr">
        <is>
          <t>95772216000262</t>
        </is>
      </c>
      <c r="B216" s="57" t="inlineStr">
        <is>
          <t>TRON GENEROS ALIMENTICIOS LTDA</t>
        </is>
      </c>
      <c r="C216" s="57" t="inlineStr">
        <is>
          <t>SEM GRUPO</t>
        </is>
      </c>
      <c r="D216" s="61" t="inlineStr">
        <is>
          <t>HEMANUELE DITZEL (MANU)</t>
        </is>
      </c>
      <c r="E216" s="30" t="inlineStr">
        <is>
          <t>.</t>
        </is>
      </c>
      <c r="F216" s="63" t="inlineStr"/>
      <c r="G216" s="179" t="inlineStr"/>
      <c r="H216" s="57" t="inlineStr"/>
      <c r="I216" s="57" t="inlineStr"/>
      <c r="J216" s="61" t="inlineStr"/>
      <c r="K216" s="30" t="inlineStr">
        <is>
          <t>.</t>
        </is>
      </c>
      <c r="L216" s="180" t="n">
        <v>5622.200000000002</v>
      </c>
      <c r="M216" s="181" t="n">
        <v>395.09</v>
      </c>
      <c r="N216" s="181" t="n">
        <v>412.85</v>
      </c>
      <c r="O216" s="181" t="n">
        <v>422.8</v>
      </c>
      <c r="P216" s="181" t="n">
        <v>433.82</v>
      </c>
      <c r="Q216" s="181" t="n">
        <v>448.03</v>
      </c>
      <c r="R216" s="181" t="n">
        <v>459.75</v>
      </c>
      <c r="S216" s="181" t="n">
        <v>477.52</v>
      </c>
      <c r="T216" s="181" t="n">
        <v>489.24</v>
      </c>
      <c r="U216" s="181" t="n">
        <v>500.26</v>
      </c>
      <c r="V216" s="181" t="n">
        <v>512.6900000000001</v>
      </c>
      <c r="W216" s="181" t="n">
        <v>526.1900000000001</v>
      </c>
      <c r="X216" s="182" t="n">
        <v>543.96</v>
      </c>
      <c r="Y216" s="183" t="inlineStr">
        <is>
          <t>.</t>
        </is>
      </c>
      <c r="Z216" s="184">
        <f>SUM(AA216:AL216)</f>
        <v/>
      </c>
      <c r="AA216" s="185" t="n">
        <v>0</v>
      </c>
      <c r="AB216" s="185" t="n">
        <v>0</v>
      </c>
      <c r="AC216" s="185" t="n">
        <v>0</v>
      </c>
      <c r="AD216" s="185" t="n">
        <v>0</v>
      </c>
      <c r="AE216" s="185" t="n">
        <v>0</v>
      </c>
      <c r="AF216" s="185" t="n">
        <v>0</v>
      </c>
      <c r="AG216" s="185" t="n">
        <v>0</v>
      </c>
      <c r="AH216" s="185" t="n">
        <v>0</v>
      </c>
      <c r="AI216" s="185" t="n">
        <v>2546.68</v>
      </c>
      <c r="AJ216" s="185" t="n">
        <v>0</v>
      </c>
      <c r="AK216" s="185" t="n">
        <v>0</v>
      </c>
      <c r="AL216" s="186" t="n">
        <v>0</v>
      </c>
      <c r="AM216" s="30" t="inlineStr">
        <is>
          <t>.</t>
        </is>
      </c>
      <c r="AN216" s="187">
        <f>IF(L216=0,0,Z216/L216)</f>
        <v/>
      </c>
      <c r="AO216" s="57">
        <f>IF(AN216&gt;=1,"🟢",IF(AN216&gt;=0.7,"🟡",IF(AN216&gt;=0.4,"🟠","🔴")))</f>
        <v/>
      </c>
      <c r="AP216" s="185">
        <f>L216-Z216</f>
        <v/>
      </c>
      <c r="AQ216" s="55">
        <f>RANK(Z216,$Z$4:$Z$503,0)</f>
        <v/>
      </c>
      <c r="AR216" s="39" t="inlineStr">
        <is>
          <t>.</t>
        </is>
      </c>
      <c r="AS216" s="27" t="n"/>
      <c r="AT216" s="27" t="n"/>
      <c r="AU216" s="27" t="n"/>
      <c r="AV216" s="27" t="n"/>
      <c r="AW216" s="27" t="n"/>
      <c r="AX216" s="27" t="n"/>
      <c r="AY216" s="204" t="n"/>
      <c r="AZ216" s="204" t="n"/>
      <c r="BA216" s="38" t="inlineStr">
        <is>
          <t>.</t>
        </is>
      </c>
      <c r="BB216" s="190">
        <f>SUM(BC216:BN216)</f>
        <v/>
      </c>
      <c r="BC216" s="191">
        <f>L216*0.0702730030</f>
        <v/>
      </c>
      <c r="BD216" s="191">
        <f>L216*0.0734327604</f>
        <v/>
      </c>
      <c r="BE216" s="191">
        <f>L216*0.0752022245</f>
        <v/>
      </c>
      <c r="BF216" s="191">
        <f>L216*0.0771612740</f>
        <v/>
      </c>
      <c r="BG216" s="191">
        <f>L216*0.0796890799</f>
        <v/>
      </c>
      <c r="BH216" s="191">
        <f>L216*0.0817745197</f>
        <v/>
      </c>
      <c r="BI216" s="191">
        <f>L216*0.0849342770</f>
        <v/>
      </c>
      <c r="BJ216" s="191">
        <f>L216*0.0870197169</f>
        <v/>
      </c>
      <c r="BK216" s="191">
        <f>L216*0.0889787664</f>
        <v/>
      </c>
      <c r="BL216" s="191">
        <f>L216*0.0911905966</f>
        <v/>
      </c>
      <c r="BM216" s="191">
        <f>L216*0.0935920121</f>
        <v/>
      </c>
      <c r="BN216" s="192">
        <f>L216*0.0967517695</f>
        <v/>
      </c>
      <c r="BO216" s="36" t="inlineStr">
        <is>
          <t>.</t>
        </is>
      </c>
      <c r="BP216" s="193">
        <f>SUM(BQ216:CB216)</f>
        <v/>
      </c>
      <c r="BQ216" s="191">
        <f>MAX(0,BC216-AA216)</f>
        <v/>
      </c>
      <c r="BR216" s="191">
        <f>MAX(0,BD216-AB216)</f>
        <v/>
      </c>
      <c r="BS216" s="191">
        <f>MAX(0,BE216-AC216)</f>
        <v/>
      </c>
      <c r="BT216" s="191">
        <f>MAX(0,BF216-AD216)</f>
        <v/>
      </c>
      <c r="BU216" s="191">
        <f>MAX(0,BG216-AE216)</f>
        <v/>
      </c>
      <c r="BV216" s="191">
        <f>MAX(0,BH216-AF216)</f>
        <v/>
      </c>
      <c r="BW216" s="191">
        <f>MAX(0,BI216-AG216)</f>
        <v/>
      </c>
      <c r="BX216" s="191">
        <f>MAX(0,BJ216-AH216)</f>
        <v/>
      </c>
      <c r="BY216" s="191">
        <f>MAX(0,BK216-AI216)</f>
        <v/>
      </c>
      <c r="BZ216" s="191">
        <f>MAX(0,BL216-AJ216)</f>
        <v/>
      </c>
      <c r="CA216" s="191">
        <f>MAX(0,BM216-AK216)</f>
        <v/>
      </c>
      <c r="CB216" s="192">
        <f>MAX(0,BN216-AL216)</f>
        <v/>
      </c>
    </row>
    <row r="217">
      <c r="A217" s="64" t="inlineStr">
        <is>
          <t>53191899000133</t>
        </is>
      </c>
      <c r="B217" s="57" t="inlineStr">
        <is>
          <t>MS NUTRICAO LTDA- ME</t>
        </is>
      </c>
      <c r="C217" s="57" t="inlineStr">
        <is>
          <t>FITLAND</t>
        </is>
      </c>
      <c r="D217" s="61" t="inlineStr">
        <is>
          <t>JULIO GADRET</t>
        </is>
      </c>
      <c r="E217" s="30" t="inlineStr">
        <is>
          <t>.</t>
        </is>
      </c>
      <c r="F217" s="63" t="n">
        <v>89</v>
      </c>
      <c r="G217" s="179" t="n">
        <v>0.298</v>
      </c>
      <c r="H217" s="57" t="inlineStr">
        <is>
          <t>🔴 VERMELHO</t>
        </is>
      </c>
      <c r="I217" s="57" t="inlineStr">
        <is>
          <t>POSITIVAÇÃO</t>
        </is>
      </c>
      <c r="J217" s="61" t="inlineStr">
        <is>
          <t>Aumentar frequência + Expandir base</t>
        </is>
      </c>
      <c r="K217" s="30" t="inlineStr">
        <is>
          <t>.</t>
        </is>
      </c>
      <c r="L217" s="180" t="n">
        <v>5608.929999999999</v>
      </c>
      <c r="M217" s="181" t="n">
        <v>394.16</v>
      </c>
      <c r="N217" s="181" t="n">
        <v>411.88</v>
      </c>
      <c r="O217" s="181" t="n">
        <v>421.8</v>
      </c>
      <c r="P217" s="181" t="n">
        <v>432.79</v>
      </c>
      <c r="Q217" s="181" t="n">
        <v>446.97</v>
      </c>
      <c r="R217" s="181" t="n">
        <v>458.67</v>
      </c>
      <c r="S217" s="181" t="n">
        <v>476.39</v>
      </c>
      <c r="T217" s="181" t="n">
        <v>488.09</v>
      </c>
      <c r="U217" s="181" t="n">
        <v>499.08</v>
      </c>
      <c r="V217" s="181" t="n">
        <v>511.48</v>
      </c>
      <c r="W217" s="181" t="n">
        <v>524.95</v>
      </c>
      <c r="X217" s="182" t="n">
        <v>542.67</v>
      </c>
      <c r="Y217" s="183" t="inlineStr">
        <is>
          <t>.</t>
        </is>
      </c>
      <c r="Z217" s="184">
        <f>SUM(AA217:AL217)</f>
        <v/>
      </c>
      <c r="AA217" s="185" t="n">
        <v>0</v>
      </c>
      <c r="AB217" s="185" t="n">
        <v>0</v>
      </c>
      <c r="AC217" s="185" t="n">
        <v>0</v>
      </c>
      <c r="AD217" s="185" t="n">
        <v>0</v>
      </c>
      <c r="AE217" s="185" t="n">
        <v>0</v>
      </c>
      <c r="AF217" s="185" t="n">
        <v>1194.73</v>
      </c>
      <c r="AG217" s="185" t="n">
        <v>0</v>
      </c>
      <c r="AH217" s="185" t="n">
        <v>0</v>
      </c>
      <c r="AI217" s="185" t="n">
        <v>0</v>
      </c>
      <c r="AJ217" s="185" t="n">
        <v>1498.29</v>
      </c>
      <c r="AK217" s="185" t="n">
        <v>0</v>
      </c>
      <c r="AL217" s="186" t="n">
        <v>0</v>
      </c>
      <c r="AM217" s="30" t="inlineStr">
        <is>
          <t>.</t>
        </is>
      </c>
      <c r="AN217" s="187">
        <f>IF(L217=0,0,Z217/L217)</f>
        <v/>
      </c>
      <c r="AO217" s="57">
        <f>IF(AN217&gt;=1,"🟢",IF(AN217&gt;=0.7,"🟡",IF(AN217&gt;=0.4,"🟠","🔴")))</f>
        <v/>
      </c>
      <c r="AP217" s="185">
        <f>L217-Z217</f>
        <v/>
      </c>
      <c r="AQ217" s="55">
        <f>RANK(Z217,$Z$4:$Z$503,0)</f>
        <v/>
      </c>
      <c r="AR217" s="39" t="inlineStr">
        <is>
          <t>.</t>
        </is>
      </c>
      <c r="AS217" s="27" t="n"/>
      <c r="AT217" s="27" t="n"/>
      <c r="AU217" s="27" t="n"/>
      <c r="AV217" s="27" t="n"/>
      <c r="AW217" s="27" t="n"/>
      <c r="AX217" s="27" t="n"/>
      <c r="AY217" s="204" t="n"/>
      <c r="AZ217" s="204" t="n"/>
      <c r="BA217" s="38" t="inlineStr">
        <is>
          <t>.</t>
        </is>
      </c>
      <c r="BB217" s="190">
        <f>SUM(BC217:BN217)</f>
        <v/>
      </c>
      <c r="BC217" s="191">
        <f>L217*0.0702730030</f>
        <v/>
      </c>
      <c r="BD217" s="191">
        <f>L217*0.0734327604</f>
        <v/>
      </c>
      <c r="BE217" s="191">
        <f>L217*0.0752022245</f>
        <v/>
      </c>
      <c r="BF217" s="191">
        <f>L217*0.0771612740</f>
        <v/>
      </c>
      <c r="BG217" s="191">
        <f>L217*0.0796890799</f>
        <v/>
      </c>
      <c r="BH217" s="191">
        <f>L217*0.0817745197</f>
        <v/>
      </c>
      <c r="BI217" s="191">
        <f>L217*0.0849342770</f>
        <v/>
      </c>
      <c r="BJ217" s="191">
        <f>L217*0.0870197169</f>
        <v/>
      </c>
      <c r="BK217" s="191">
        <f>L217*0.0889787664</f>
        <v/>
      </c>
      <c r="BL217" s="191">
        <f>L217*0.0911905966</f>
        <v/>
      </c>
      <c r="BM217" s="191">
        <f>L217*0.0935920121</f>
        <v/>
      </c>
      <c r="BN217" s="192">
        <f>L217*0.0967517695</f>
        <v/>
      </c>
      <c r="BO217" s="36" t="inlineStr">
        <is>
          <t>.</t>
        </is>
      </c>
      <c r="BP217" s="193">
        <f>SUM(BQ217:CB217)</f>
        <v/>
      </c>
      <c r="BQ217" s="191">
        <f>MAX(0,BC217-AA217)</f>
        <v/>
      </c>
      <c r="BR217" s="191">
        <f>MAX(0,BD217-AB217)</f>
        <v/>
      </c>
      <c r="BS217" s="191">
        <f>MAX(0,BE217-AC217)</f>
        <v/>
      </c>
      <c r="BT217" s="191">
        <f>MAX(0,BF217-AD217)</f>
        <v/>
      </c>
      <c r="BU217" s="191">
        <f>MAX(0,BG217-AE217)</f>
        <v/>
      </c>
      <c r="BV217" s="191">
        <f>MAX(0,BH217-AF217)</f>
        <v/>
      </c>
      <c r="BW217" s="191">
        <f>MAX(0,BI217-AG217)</f>
        <v/>
      </c>
      <c r="BX217" s="191">
        <f>MAX(0,BJ217-AH217)</f>
        <v/>
      </c>
      <c r="BY217" s="191">
        <f>MAX(0,BK217-AI217)</f>
        <v/>
      </c>
      <c r="BZ217" s="191">
        <f>MAX(0,BL217-AJ217)</f>
        <v/>
      </c>
      <c r="CA217" s="191">
        <f>MAX(0,BM217-AK217)</f>
        <v/>
      </c>
      <c r="CB217" s="192">
        <f>MAX(0,BN217-AL217)</f>
        <v/>
      </c>
    </row>
    <row r="218">
      <c r="A218" s="64" t="inlineStr">
        <is>
          <t>00580242000100</t>
        </is>
      </c>
      <c r="B218" s="57" t="inlineStr">
        <is>
          <t>PAPELARIA E BAZAR ESTRELA DE COPACABANAL</t>
        </is>
      </c>
      <c r="C218" s="57" t="inlineStr">
        <is>
          <t>SEM GRUPO</t>
        </is>
      </c>
      <c r="D218" s="61" t="inlineStr">
        <is>
          <t>LARISSA PADILHA</t>
        </is>
      </c>
      <c r="E218" s="30" t="inlineStr">
        <is>
          <t>.</t>
        </is>
      </c>
      <c r="F218" s="63" t="inlineStr"/>
      <c r="G218" s="179" t="inlineStr"/>
      <c r="H218" s="57" t="inlineStr"/>
      <c r="I218" s="57" t="inlineStr"/>
      <c r="J218" s="61" t="inlineStr"/>
      <c r="K218" s="30" t="inlineStr">
        <is>
          <t>.</t>
        </is>
      </c>
      <c r="L218" s="180" t="n">
        <v>5465.409999999999</v>
      </c>
      <c r="M218" s="181" t="n">
        <v>384.07</v>
      </c>
      <c r="N218" s="181" t="n">
        <v>401.34</v>
      </c>
      <c r="O218" s="181" t="n">
        <v>411.01</v>
      </c>
      <c r="P218" s="181" t="n">
        <v>421.72</v>
      </c>
      <c r="Q218" s="181" t="n">
        <v>435.53</v>
      </c>
      <c r="R218" s="181" t="n">
        <v>446.93</v>
      </c>
      <c r="S218" s="181" t="n">
        <v>464.2</v>
      </c>
      <c r="T218" s="181" t="n">
        <v>475.6</v>
      </c>
      <c r="U218" s="181" t="n">
        <v>486.31</v>
      </c>
      <c r="V218" s="181" t="n">
        <v>498.39</v>
      </c>
      <c r="W218" s="181" t="n">
        <v>511.52</v>
      </c>
      <c r="X218" s="182" t="n">
        <v>528.79</v>
      </c>
      <c r="Y218" s="183" t="inlineStr">
        <is>
          <t>.</t>
        </is>
      </c>
      <c r="Z218" s="184">
        <f>SUM(AA218:AL218)</f>
        <v/>
      </c>
      <c r="AA218" s="185" t="n">
        <v>0</v>
      </c>
      <c r="AB218" s="185" t="n">
        <v>0</v>
      </c>
      <c r="AC218" s="185" t="n">
        <v>0</v>
      </c>
      <c r="AD218" s="185" t="n">
        <v>0</v>
      </c>
      <c r="AE218" s="185" t="n">
        <v>0</v>
      </c>
      <c r="AF218" s="185" t="n">
        <v>0</v>
      </c>
      <c r="AG218" s="185" t="n">
        <v>0</v>
      </c>
      <c r="AH218" s="185" t="n">
        <v>0</v>
      </c>
      <c r="AI218" s="185" t="n">
        <v>0</v>
      </c>
      <c r="AJ218" s="185" t="n">
        <v>1711.03</v>
      </c>
      <c r="AK218" s="185" t="n">
        <v>1604.99</v>
      </c>
      <c r="AL218" s="186" t="n">
        <v>0</v>
      </c>
      <c r="AM218" s="222" t="n">
        <v>1431.2</v>
      </c>
      <c r="AN218" s="187">
        <f>IF(L218=0,0,Z218/L218)</f>
        <v/>
      </c>
      <c r="AO218" s="57">
        <f>IF(AN218&gt;=1,"🟢",IF(AN218&gt;=0.7,"🟡",IF(AN218&gt;=0.4,"🟠","🔴")))</f>
        <v/>
      </c>
      <c r="AP218" s="185">
        <f>L218-Z218</f>
        <v/>
      </c>
      <c r="AQ218" s="55">
        <f>RANK(Z218,$Z$4:$Z$503,0)</f>
        <v/>
      </c>
      <c r="AR218" s="39" t="inlineStr">
        <is>
          <t>.</t>
        </is>
      </c>
      <c r="AS218" s="27" t="n"/>
      <c r="AT218" s="27" t="n"/>
      <c r="AU218" s="27" t="n"/>
      <c r="AV218" s="27" t="n"/>
      <c r="AW218" s="27" t="n"/>
      <c r="AX218" s="27" t="n"/>
      <c r="AY218" s="204" t="n"/>
      <c r="AZ218" s="204" t="n"/>
      <c r="BA218" s="38" t="inlineStr">
        <is>
          <t>.</t>
        </is>
      </c>
      <c r="BB218" s="190">
        <f>SUM(BC218:BN218)</f>
        <v/>
      </c>
      <c r="BC218" s="191">
        <f>L218*0.0702730030</f>
        <v/>
      </c>
      <c r="BD218" s="191">
        <f>L218*0.0734327604</f>
        <v/>
      </c>
      <c r="BE218" s="191">
        <f>L218*0.0752022245</f>
        <v/>
      </c>
      <c r="BF218" s="191">
        <f>L218*0.0771612740</f>
        <v/>
      </c>
      <c r="BG218" s="191">
        <f>L218*0.0796890799</f>
        <v/>
      </c>
      <c r="BH218" s="191">
        <f>L218*0.0817745197</f>
        <v/>
      </c>
      <c r="BI218" s="191">
        <f>L218*0.0849342770</f>
        <v/>
      </c>
      <c r="BJ218" s="191">
        <f>L218*0.0870197169</f>
        <v/>
      </c>
      <c r="BK218" s="191">
        <f>L218*0.0889787664</f>
        <v/>
      </c>
      <c r="BL218" s="191">
        <f>L218*0.0911905966</f>
        <v/>
      </c>
      <c r="BM218" s="191">
        <f>L218*0.0935920121</f>
        <v/>
      </c>
      <c r="BN218" s="192">
        <f>L218*0.0967517695</f>
        <v/>
      </c>
      <c r="BO218" s="36" t="inlineStr">
        <is>
          <t>.</t>
        </is>
      </c>
      <c r="BP218" s="193">
        <f>SUM(BQ218:CB218)</f>
        <v/>
      </c>
      <c r="BQ218" s="191">
        <f>MAX(0,BC218-AA218)</f>
        <v/>
      </c>
      <c r="BR218" s="191">
        <f>MAX(0,BD218-AB218)</f>
        <v/>
      </c>
      <c r="BS218" s="191">
        <f>MAX(0,BE218-AC218)</f>
        <v/>
      </c>
      <c r="BT218" s="191">
        <f>MAX(0,BF218-AD218)</f>
        <v/>
      </c>
      <c r="BU218" s="191">
        <f>MAX(0,BG218-AE218)</f>
        <v/>
      </c>
      <c r="BV218" s="191">
        <f>MAX(0,BH218-AF218)</f>
        <v/>
      </c>
      <c r="BW218" s="191">
        <f>MAX(0,BI218-AG218)</f>
        <v/>
      </c>
      <c r="BX218" s="191">
        <f>MAX(0,BJ218-AH218)</f>
        <v/>
      </c>
      <c r="BY218" s="191">
        <f>MAX(0,BK218-AI218)</f>
        <v/>
      </c>
      <c r="BZ218" s="191">
        <f>MAX(0,BL218-AJ218)</f>
        <v/>
      </c>
      <c r="CA218" s="191">
        <f>MAX(0,BM218-AK218)</f>
        <v/>
      </c>
      <c r="CB218" s="192">
        <f>MAX(0,BN218-AL218)</f>
        <v/>
      </c>
    </row>
    <row r="219">
      <c r="A219" s="64" t="inlineStr">
        <is>
          <t>53692717000108</t>
        </is>
      </c>
      <c r="B219" s="57" t="inlineStr">
        <is>
          <t>53.692.717 DIOMARA BASTOS MARCELO DE OLI</t>
        </is>
      </c>
      <c r="C219" s="57" t="inlineStr">
        <is>
          <t>SEM GRUPO</t>
        </is>
      </c>
      <c r="D219" s="61" t="inlineStr">
        <is>
          <t>LARISSA PADILHA</t>
        </is>
      </c>
      <c r="E219" s="30" t="inlineStr">
        <is>
          <t>.</t>
        </is>
      </c>
      <c r="F219" s="63" t="inlineStr"/>
      <c r="G219" s="179" t="inlineStr"/>
      <c r="H219" s="57" t="inlineStr"/>
      <c r="I219" s="57" t="inlineStr"/>
      <c r="J219" s="61" t="inlineStr"/>
      <c r="K219" s="30" t="inlineStr">
        <is>
          <t>.</t>
        </is>
      </c>
      <c r="L219" s="180" t="n">
        <v>5428.43</v>
      </c>
      <c r="M219" s="181" t="n">
        <v>381.47</v>
      </c>
      <c r="N219" s="181" t="n">
        <v>398.62</v>
      </c>
      <c r="O219" s="181" t="n">
        <v>408.23</v>
      </c>
      <c r="P219" s="181" t="n">
        <v>418.86</v>
      </c>
      <c r="Q219" s="181" t="n">
        <v>432.59</v>
      </c>
      <c r="R219" s="181" t="n">
        <v>443.91</v>
      </c>
      <c r="S219" s="181" t="n">
        <v>461.06</v>
      </c>
      <c r="T219" s="181" t="n">
        <v>472.38</v>
      </c>
      <c r="U219" s="181" t="n">
        <v>483.02</v>
      </c>
      <c r="V219" s="181" t="n">
        <v>495.02</v>
      </c>
      <c r="W219" s="181" t="n">
        <v>508.06</v>
      </c>
      <c r="X219" s="182" t="n">
        <v>525.21</v>
      </c>
      <c r="Y219" s="183" t="inlineStr">
        <is>
          <t>.</t>
        </is>
      </c>
      <c r="Z219" s="184">
        <f>SUM(AA219:AL219)</f>
        <v/>
      </c>
      <c r="AA219" s="185" t="n">
        <v>0</v>
      </c>
      <c r="AB219" s="185" t="n">
        <v>0</v>
      </c>
      <c r="AC219" s="185" t="n">
        <v>0</v>
      </c>
      <c r="AD219" s="185" t="n">
        <v>0</v>
      </c>
      <c r="AE219" s="185" t="n">
        <v>0</v>
      </c>
      <c r="AF219" s="185" t="n">
        <v>0</v>
      </c>
      <c r="AG219" s="185" t="n">
        <v>0</v>
      </c>
      <c r="AH219" s="185" t="n">
        <v>0</v>
      </c>
      <c r="AI219" s="185" t="n">
        <v>0</v>
      </c>
      <c r="AJ219" s="185" t="n">
        <v>0</v>
      </c>
      <c r="AK219" s="185" t="n">
        <v>0</v>
      </c>
      <c r="AL219" s="186" t="n">
        <v>2392.47</v>
      </c>
      <c r="AM219" s="30" t="inlineStr">
        <is>
          <t>.</t>
        </is>
      </c>
      <c r="AN219" s="187">
        <f>IF(L219=0,0,Z219/L219)</f>
        <v/>
      </c>
      <c r="AO219" s="57">
        <f>IF(AN219&gt;=1,"🟢",IF(AN219&gt;=0.7,"🟡",IF(AN219&gt;=0.4,"🟠","🔴")))</f>
        <v/>
      </c>
      <c r="AP219" s="185">
        <f>L219-Z219</f>
        <v/>
      </c>
      <c r="AQ219" s="55">
        <f>RANK(Z219,$Z$4:$Z$503,0)</f>
        <v/>
      </c>
      <c r="AR219" s="39" t="inlineStr">
        <is>
          <t>.</t>
        </is>
      </c>
      <c r="AS219" s="27" t="n"/>
      <c r="AT219" s="27" t="n"/>
      <c r="AU219" s="27" t="n"/>
      <c r="AV219" s="27" t="n"/>
      <c r="AW219" s="27" t="n"/>
      <c r="AX219" s="27" t="n"/>
      <c r="AY219" s="204" t="n"/>
      <c r="AZ219" s="204" t="n"/>
      <c r="BA219" s="38" t="inlineStr">
        <is>
          <t>.</t>
        </is>
      </c>
      <c r="BB219" s="190">
        <f>SUM(BC219:BN219)</f>
        <v/>
      </c>
      <c r="BC219" s="191">
        <f>L219*0.0702730030</f>
        <v/>
      </c>
      <c r="BD219" s="191">
        <f>L219*0.0734327604</f>
        <v/>
      </c>
      <c r="BE219" s="191">
        <f>L219*0.0752022245</f>
        <v/>
      </c>
      <c r="BF219" s="191">
        <f>L219*0.0771612740</f>
        <v/>
      </c>
      <c r="BG219" s="191">
        <f>L219*0.0796890799</f>
        <v/>
      </c>
      <c r="BH219" s="191">
        <f>L219*0.0817745197</f>
        <v/>
      </c>
      <c r="BI219" s="191">
        <f>L219*0.0849342770</f>
        <v/>
      </c>
      <c r="BJ219" s="191">
        <f>L219*0.0870197169</f>
        <v/>
      </c>
      <c r="BK219" s="191">
        <f>L219*0.0889787664</f>
        <v/>
      </c>
      <c r="BL219" s="191">
        <f>L219*0.0911905966</f>
        <v/>
      </c>
      <c r="BM219" s="191">
        <f>L219*0.0935920121</f>
        <v/>
      </c>
      <c r="BN219" s="192">
        <f>L219*0.0967517695</f>
        <v/>
      </c>
      <c r="BO219" s="36" t="inlineStr">
        <is>
          <t>.</t>
        </is>
      </c>
      <c r="BP219" s="193">
        <f>SUM(BQ219:CB219)</f>
        <v/>
      </c>
      <c r="BQ219" s="191">
        <f>MAX(0,BC219-AA219)</f>
        <v/>
      </c>
      <c r="BR219" s="191">
        <f>MAX(0,BD219-AB219)</f>
        <v/>
      </c>
      <c r="BS219" s="191">
        <f>MAX(0,BE219-AC219)</f>
        <v/>
      </c>
      <c r="BT219" s="191">
        <f>MAX(0,BF219-AD219)</f>
        <v/>
      </c>
      <c r="BU219" s="191">
        <f>MAX(0,BG219-AE219)</f>
        <v/>
      </c>
      <c r="BV219" s="191">
        <f>MAX(0,BH219-AF219)</f>
        <v/>
      </c>
      <c r="BW219" s="191">
        <f>MAX(0,BI219-AG219)</f>
        <v/>
      </c>
      <c r="BX219" s="191">
        <f>MAX(0,BJ219-AH219)</f>
        <v/>
      </c>
      <c r="BY219" s="191">
        <f>MAX(0,BK219-AI219)</f>
        <v/>
      </c>
      <c r="BZ219" s="191">
        <f>MAX(0,BL219-AJ219)</f>
        <v/>
      </c>
      <c r="CA219" s="191">
        <f>MAX(0,BM219-AK219)</f>
        <v/>
      </c>
      <c r="CB219" s="192">
        <f>MAX(0,BN219-AL219)</f>
        <v/>
      </c>
    </row>
    <row r="220">
      <c r="A220" s="64" t="inlineStr">
        <is>
          <t>04846161000151</t>
        </is>
      </c>
      <c r="B220" s="57" t="inlineStr">
        <is>
          <t>KOGA &amp; LEITE LTDA - EPP</t>
        </is>
      </c>
      <c r="C220" s="57" t="inlineStr">
        <is>
          <t>SEM GRUPO</t>
        </is>
      </c>
      <c r="D220" s="61" t="inlineStr">
        <is>
          <t>HEMANUELE DITZEL (MANU)</t>
        </is>
      </c>
      <c r="E220" s="30" t="inlineStr">
        <is>
          <t>.</t>
        </is>
      </c>
      <c r="F220" s="63" t="inlineStr"/>
      <c r="G220" s="179" t="inlineStr"/>
      <c r="H220" s="57" t="inlineStr"/>
      <c r="I220" s="57" t="inlineStr"/>
      <c r="J220" s="61" t="inlineStr"/>
      <c r="K220" s="30" t="inlineStr">
        <is>
          <t>.</t>
        </is>
      </c>
      <c r="L220" s="180" t="n">
        <v>5365.839999999999</v>
      </c>
      <c r="M220" s="181" t="n">
        <v>377.07</v>
      </c>
      <c r="N220" s="181" t="n">
        <v>394.03</v>
      </c>
      <c r="O220" s="181" t="n">
        <v>403.52</v>
      </c>
      <c r="P220" s="181" t="n">
        <v>414.04</v>
      </c>
      <c r="Q220" s="181" t="n">
        <v>427.6</v>
      </c>
      <c r="R220" s="181" t="n">
        <v>438.79</v>
      </c>
      <c r="S220" s="181" t="n">
        <v>455.74</v>
      </c>
      <c r="T220" s="181" t="n">
        <v>466.93</v>
      </c>
      <c r="U220" s="181" t="n">
        <v>477.45</v>
      </c>
      <c r="V220" s="181" t="n">
        <v>489.31</v>
      </c>
      <c r="W220" s="181" t="n">
        <v>502.2</v>
      </c>
      <c r="X220" s="182" t="n">
        <v>519.16</v>
      </c>
      <c r="Y220" s="183" t="inlineStr">
        <is>
          <t>.</t>
        </is>
      </c>
      <c r="Z220" s="184">
        <f>SUM(AA220:AL220)</f>
        <v/>
      </c>
      <c r="AA220" s="185" t="n">
        <v>0</v>
      </c>
      <c r="AB220" s="185" t="n">
        <v>0</v>
      </c>
      <c r="AC220" s="185" t="n">
        <v>0</v>
      </c>
      <c r="AD220" s="185" t="n">
        <v>0</v>
      </c>
      <c r="AE220" s="185" t="n">
        <v>0</v>
      </c>
      <c r="AF220" s="185" t="n">
        <v>0</v>
      </c>
      <c r="AG220" s="185" t="n">
        <v>1160.66</v>
      </c>
      <c r="AH220" s="185" t="n">
        <v>697.66</v>
      </c>
      <c r="AI220" s="185" t="n">
        <v>0</v>
      </c>
      <c r="AJ220" s="185" t="n">
        <v>931.9</v>
      </c>
      <c r="AK220" s="185" t="n">
        <v>0</v>
      </c>
      <c r="AL220" s="186" t="n">
        <v>0</v>
      </c>
      <c r="AM220" s="30" t="inlineStr">
        <is>
          <t>.</t>
        </is>
      </c>
      <c r="AN220" s="187">
        <f>IF(L220=0,0,Z220/L220)</f>
        <v/>
      </c>
      <c r="AO220" s="57">
        <f>IF(AN220&gt;=1,"🟢",IF(AN220&gt;=0.7,"🟡",IF(AN220&gt;=0.4,"🟠","🔴")))</f>
        <v/>
      </c>
      <c r="AP220" s="185">
        <f>L220-Z220</f>
        <v/>
      </c>
      <c r="AQ220" s="55">
        <f>RANK(Z220,$Z$4:$Z$503,0)</f>
        <v/>
      </c>
      <c r="AR220" s="39" t="inlineStr">
        <is>
          <t>.</t>
        </is>
      </c>
      <c r="AS220" s="27" t="n"/>
      <c r="AT220" s="27" t="n"/>
      <c r="AU220" s="27" t="n"/>
      <c r="AV220" s="27" t="n"/>
      <c r="AW220" s="27" t="n"/>
      <c r="AX220" s="27" t="n"/>
      <c r="AY220" s="204" t="n"/>
      <c r="AZ220" s="204" t="n"/>
      <c r="BA220" s="38" t="inlineStr">
        <is>
          <t>.</t>
        </is>
      </c>
      <c r="BB220" s="190">
        <f>SUM(BC220:BN220)</f>
        <v/>
      </c>
      <c r="BC220" s="191">
        <f>L220*0.0702730030</f>
        <v/>
      </c>
      <c r="BD220" s="191">
        <f>L220*0.0734327604</f>
        <v/>
      </c>
      <c r="BE220" s="191">
        <f>L220*0.0752022245</f>
        <v/>
      </c>
      <c r="BF220" s="191">
        <f>L220*0.0771612740</f>
        <v/>
      </c>
      <c r="BG220" s="191">
        <f>L220*0.0796890799</f>
        <v/>
      </c>
      <c r="BH220" s="191">
        <f>L220*0.0817745197</f>
        <v/>
      </c>
      <c r="BI220" s="191">
        <f>L220*0.0849342770</f>
        <v/>
      </c>
      <c r="BJ220" s="191">
        <f>L220*0.0870197169</f>
        <v/>
      </c>
      <c r="BK220" s="191">
        <f>L220*0.0889787664</f>
        <v/>
      </c>
      <c r="BL220" s="191">
        <f>L220*0.0911905966</f>
        <v/>
      </c>
      <c r="BM220" s="191">
        <f>L220*0.0935920121</f>
        <v/>
      </c>
      <c r="BN220" s="192">
        <f>L220*0.0967517695</f>
        <v/>
      </c>
      <c r="BO220" s="36" t="inlineStr">
        <is>
          <t>.</t>
        </is>
      </c>
      <c r="BP220" s="193">
        <f>SUM(BQ220:CB220)</f>
        <v/>
      </c>
      <c r="BQ220" s="191">
        <f>MAX(0,BC220-AA220)</f>
        <v/>
      </c>
      <c r="BR220" s="191">
        <f>MAX(0,BD220-AB220)</f>
        <v/>
      </c>
      <c r="BS220" s="191">
        <f>MAX(0,BE220-AC220)</f>
        <v/>
      </c>
      <c r="BT220" s="191">
        <f>MAX(0,BF220-AD220)</f>
        <v/>
      </c>
      <c r="BU220" s="191">
        <f>MAX(0,BG220-AE220)</f>
        <v/>
      </c>
      <c r="BV220" s="191">
        <f>MAX(0,BH220-AF220)</f>
        <v/>
      </c>
      <c r="BW220" s="191">
        <f>MAX(0,BI220-AG220)</f>
        <v/>
      </c>
      <c r="BX220" s="191">
        <f>MAX(0,BJ220-AH220)</f>
        <v/>
      </c>
      <c r="BY220" s="191">
        <f>MAX(0,BK220-AI220)</f>
        <v/>
      </c>
      <c r="BZ220" s="191">
        <f>MAX(0,BL220-AJ220)</f>
        <v/>
      </c>
      <c r="CA220" s="191">
        <f>MAX(0,BM220-AK220)</f>
        <v/>
      </c>
      <c r="CB220" s="192">
        <f>MAX(0,BN220-AL220)</f>
        <v/>
      </c>
    </row>
    <row r="221">
      <c r="A221" s="64" t="inlineStr">
        <is>
          <t>56608812000179</t>
        </is>
      </c>
      <c r="B221" s="57" t="inlineStr">
        <is>
          <t>NEM PEIXE ALIMENTOS VEGANOS LTDA - ME</t>
        </is>
      </c>
      <c r="C221" s="57" t="inlineStr">
        <is>
          <t>SEM GRUPO</t>
        </is>
      </c>
      <c r="D221" s="61" t="inlineStr">
        <is>
          <t>HEMANUELE DITZEL (MANU)</t>
        </is>
      </c>
      <c r="E221" s="30" t="inlineStr">
        <is>
          <t>.</t>
        </is>
      </c>
      <c r="F221" s="63" t="inlineStr"/>
      <c r="G221" s="179" t="inlineStr"/>
      <c r="H221" s="57" t="inlineStr"/>
      <c r="I221" s="57" t="inlineStr"/>
      <c r="J221" s="61" t="inlineStr"/>
      <c r="K221" s="30" t="inlineStr">
        <is>
          <t>.</t>
        </is>
      </c>
      <c r="L221" s="180" t="n">
        <v>5364.15</v>
      </c>
      <c r="M221" s="181" t="n">
        <v>376.96</v>
      </c>
      <c r="N221" s="181" t="n">
        <v>393.9</v>
      </c>
      <c r="O221" s="181" t="n">
        <v>403.4</v>
      </c>
      <c r="P221" s="181" t="n">
        <v>413.9</v>
      </c>
      <c r="Q221" s="181" t="n">
        <v>427.46</v>
      </c>
      <c r="R221" s="181" t="n">
        <v>438.65</v>
      </c>
      <c r="S221" s="181" t="n">
        <v>455.6</v>
      </c>
      <c r="T221" s="181" t="n">
        <v>466.79</v>
      </c>
      <c r="U221" s="181" t="n">
        <v>477.3</v>
      </c>
      <c r="V221" s="181" t="n">
        <v>489.16</v>
      </c>
      <c r="W221" s="181" t="n">
        <v>502.04</v>
      </c>
      <c r="X221" s="182" t="n">
        <v>518.99</v>
      </c>
      <c r="Y221" s="183" t="inlineStr">
        <is>
          <t>.</t>
        </is>
      </c>
      <c r="Z221" s="184">
        <f>SUM(AA221:AL221)</f>
        <v/>
      </c>
      <c r="AA221" s="185" t="n">
        <v>0</v>
      </c>
      <c r="AB221" s="185" t="n">
        <v>0</v>
      </c>
      <c r="AC221" s="185" t="n">
        <v>0</v>
      </c>
      <c r="AD221" s="185" t="n">
        <v>0</v>
      </c>
      <c r="AE221" s="185" t="n">
        <v>0</v>
      </c>
      <c r="AF221" s="185" t="n">
        <v>0</v>
      </c>
      <c r="AG221" s="185" t="n">
        <v>0</v>
      </c>
      <c r="AH221" s="185" t="n">
        <v>492.42</v>
      </c>
      <c r="AI221" s="185" t="n">
        <v>719.05</v>
      </c>
      <c r="AJ221" s="185" t="n">
        <v>0</v>
      </c>
      <c r="AK221" s="185" t="n">
        <v>0</v>
      </c>
      <c r="AL221" s="186" t="n">
        <v>1149.48</v>
      </c>
      <c r="AM221" s="30" t="inlineStr">
        <is>
          <t>.</t>
        </is>
      </c>
      <c r="AN221" s="187">
        <f>IF(L221=0,0,Z221/L221)</f>
        <v/>
      </c>
      <c r="AO221" s="57">
        <f>IF(AN221&gt;=1,"🟢",IF(AN221&gt;=0.7,"🟡",IF(AN221&gt;=0.4,"🟠","🔴")))</f>
        <v/>
      </c>
      <c r="AP221" s="185">
        <f>L221-Z221</f>
        <v/>
      </c>
      <c r="AQ221" s="55">
        <f>RANK(Z221,$Z$4:$Z$503,0)</f>
        <v/>
      </c>
      <c r="AR221" s="39" t="inlineStr">
        <is>
          <t>.</t>
        </is>
      </c>
      <c r="AS221" s="27" t="n"/>
      <c r="AT221" s="27" t="n"/>
      <c r="AU221" s="27" t="n"/>
      <c r="AV221" s="27" t="n"/>
      <c r="AW221" s="27" t="n"/>
      <c r="AX221" s="27" t="n"/>
      <c r="AY221" s="204" t="n"/>
      <c r="AZ221" s="204" t="n"/>
      <c r="BA221" s="38" t="inlineStr">
        <is>
          <t>.</t>
        </is>
      </c>
      <c r="BB221" s="190">
        <f>SUM(BC221:BN221)</f>
        <v/>
      </c>
      <c r="BC221" s="191">
        <f>L221*0.0702730030</f>
        <v/>
      </c>
      <c r="BD221" s="191">
        <f>L221*0.0734327604</f>
        <v/>
      </c>
      <c r="BE221" s="191">
        <f>L221*0.0752022245</f>
        <v/>
      </c>
      <c r="BF221" s="191">
        <f>L221*0.0771612740</f>
        <v/>
      </c>
      <c r="BG221" s="191">
        <f>L221*0.0796890799</f>
        <v/>
      </c>
      <c r="BH221" s="191">
        <f>L221*0.0817745197</f>
        <v/>
      </c>
      <c r="BI221" s="191">
        <f>L221*0.0849342770</f>
        <v/>
      </c>
      <c r="BJ221" s="191">
        <f>L221*0.0870197169</f>
        <v/>
      </c>
      <c r="BK221" s="191">
        <f>L221*0.0889787664</f>
        <v/>
      </c>
      <c r="BL221" s="191">
        <f>L221*0.0911905966</f>
        <v/>
      </c>
      <c r="BM221" s="191">
        <f>L221*0.0935920121</f>
        <v/>
      </c>
      <c r="BN221" s="192">
        <f>L221*0.0967517695</f>
        <v/>
      </c>
      <c r="BO221" s="36" t="inlineStr">
        <is>
          <t>.</t>
        </is>
      </c>
      <c r="BP221" s="193">
        <f>SUM(BQ221:CB221)</f>
        <v/>
      </c>
      <c r="BQ221" s="191">
        <f>MAX(0,BC221-AA221)</f>
        <v/>
      </c>
      <c r="BR221" s="191">
        <f>MAX(0,BD221-AB221)</f>
        <v/>
      </c>
      <c r="BS221" s="191">
        <f>MAX(0,BE221-AC221)</f>
        <v/>
      </c>
      <c r="BT221" s="191">
        <f>MAX(0,BF221-AD221)</f>
        <v/>
      </c>
      <c r="BU221" s="191">
        <f>MAX(0,BG221-AE221)</f>
        <v/>
      </c>
      <c r="BV221" s="191">
        <f>MAX(0,BH221-AF221)</f>
        <v/>
      </c>
      <c r="BW221" s="191">
        <f>MAX(0,BI221-AG221)</f>
        <v/>
      </c>
      <c r="BX221" s="191">
        <f>MAX(0,BJ221-AH221)</f>
        <v/>
      </c>
      <c r="BY221" s="191">
        <f>MAX(0,BK221-AI221)</f>
        <v/>
      </c>
      <c r="BZ221" s="191">
        <f>MAX(0,BL221-AJ221)</f>
        <v/>
      </c>
      <c r="CA221" s="191">
        <f>MAX(0,BM221-AK221)</f>
        <v/>
      </c>
      <c r="CB221" s="192">
        <f>MAX(0,BN221-AL221)</f>
        <v/>
      </c>
    </row>
    <row r="222">
      <c r="A222" s="64" t="inlineStr">
        <is>
          <t>12886112000170</t>
        </is>
      </c>
      <c r="B222" s="57" t="inlineStr">
        <is>
          <t>DIONEI ARMACHUKI - ME</t>
        </is>
      </c>
      <c r="C222" s="57" t="inlineStr">
        <is>
          <t>SEM GRUPO</t>
        </is>
      </c>
      <c r="D222" s="61" t="inlineStr">
        <is>
          <t>HEMANUELE DITZEL (MANU)</t>
        </is>
      </c>
      <c r="E222" s="30" t="inlineStr">
        <is>
          <t>.</t>
        </is>
      </c>
      <c r="F222" s="63" t="inlineStr"/>
      <c r="G222" s="179" t="inlineStr"/>
      <c r="H222" s="57" t="inlineStr"/>
      <c r="I222" s="57" t="inlineStr"/>
      <c r="J222" s="61" t="inlineStr"/>
      <c r="K222" s="30" t="inlineStr">
        <is>
          <t>.</t>
        </is>
      </c>
      <c r="L222" s="180" t="n">
        <v>5328.58</v>
      </c>
      <c r="M222" s="181" t="n">
        <v>374.46</v>
      </c>
      <c r="N222" s="181" t="n">
        <v>391.29</v>
      </c>
      <c r="O222" s="181" t="n">
        <v>400.72</v>
      </c>
      <c r="P222" s="181" t="n">
        <v>411.16</v>
      </c>
      <c r="Q222" s="181" t="n">
        <v>424.63</v>
      </c>
      <c r="R222" s="181" t="n">
        <v>435.74</v>
      </c>
      <c r="S222" s="181" t="n">
        <v>452.58</v>
      </c>
      <c r="T222" s="181" t="n">
        <v>463.69</v>
      </c>
      <c r="U222" s="181" t="n">
        <v>474.13</v>
      </c>
      <c r="V222" s="181" t="n">
        <v>485.92</v>
      </c>
      <c r="W222" s="181" t="n">
        <v>498.71</v>
      </c>
      <c r="X222" s="182" t="n">
        <v>515.55</v>
      </c>
      <c r="Y222" s="183" t="inlineStr">
        <is>
          <t>.</t>
        </is>
      </c>
      <c r="Z222" s="184">
        <f>SUM(AA222:AL222)</f>
        <v/>
      </c>
      <c r="AA222" s="185" t="n">
        <v>0</v>
      </c>
      <c r="AB222" s="185" t="n">
        <v>0</v>
      </c>
      <c r="AC222" s="185" t="n">
        <v>0</v>
      </c>
      <c r="AD222" s="185" t="n">
        <v>1226.39</v>
      </c>
      <c r="AE222" s="185" t="n">
        <v>0</v>
      </c>
      <c r="AF222" s="185" t="n">
        <v>0</v>
      </c>
      <c r="AG222" s="185" t="n">
        <v>0</v>
      </c>
      <c r="AH222" s="185" t="n">
        <v>0</v>
      </c>
      <c r="AI222" s="185" t="n">
        <v>846.97</v>
      </c>
      <c r="AJ222" s="185" t="n">
        <v>0</v>
      </c>
      <c r="AK222" s="185" t="n">
        <v>0</v>
      </c>
      <c r="AL222" s="186" t="n">
        <v>0</v>
      </c>
      <c r="AM222" s="30" t="inlineStr">
        <is>
          <t>.</t>
        </is>
      </c>
      <c r="AN222" s="187">
        <f>IF(L222=0,0,Z222/L222)</f>
        <v/>
      </c>
      <c r="AO222" s="57">
        <f>IF(AN222&gt;=1,"🟢",IF(AN222&gt;=0.7,"🟡",IF(AN222&gt;=0.4,"🟠","🔴")))</f>
        <v/>
      </c>
      <c r="AP222" s="185">
        <f>L222-Z222</f>
        <v/>
      </c>
      <c r="AQ222" s="55">
        <f>RANK(Z222,$Z$4:$Z$503,0)</f>
        <v/>
      </c>
      <c r="AR222" s="39" t="inlineStr">
        <is>
          <t>.</t>
        </is>
      </c>
      <c r="AS222" s="27" t="n"/>
      <c r="AT222" s="27" t="n"/>
      <c r="AU222" s="27" t="n"/>
      <c r="AV222" s="27" t="n"/>
      <c r="AW222" s="27" t="n"/>
      <c r="AX222" s="27" t="n"/>
      <c r="AY222" s="204" t="n"/>
      <c r="AZ222" s="204" t="n"/>
      <c r="BA222" s="38" t="inlineStr">
        <is>
          <t>.</t>
        </is>
      </c>
      <c r="BB222" s="190">
        <f>SUM(BC222:BN222)</f>
        <v/>
      </c>
      <c r="BC222" s="191">
        <f>L222*0.0702730030</f>
        <v/>
      </c>
      <c r="BD222" s="191">
        <f>L222*0.0734327604</f>
        <v/>
      </c>
      <c r="BE222" s="191">
        <f>L222*0.0752022245</f>
        <v/>
      </c>
      <c r="BF222" s="191">
        <f>L222*0.0771612740</f>
        <v/>
      </c>
      <c r="BG222" s="191">
        <f>L222*0.0796890799</f>
        <v/>
      </c>
      <c r="BH222" s="191">
        <f>L222*0.0817745197</f>
        <v/>
      </c>
      <c r="BI222" s="191">
        <f>L222*0.0849342770</f>
        <v/>
      </c>
      <c r="BJ222" s="191">
        <f>L222*0.0870197169</f>
        <v/>
      </c>
      <c r="BK222" s="191">
        <f>L222*0.0889787664</f>
        <v/>
      </c>
      <c r="BL222" s="191">
        <f>L222*0.0911905966</f>
        <v/>
      </c>
      <c r="BM222" s="191">
        <f>L222*0.0935920121</f>
        <v/>
      </c>
      <c r="BN222" s="192">
        <f>L222*0.0967517695</f>
        <v/>
      </c>
      <c r="BO222" s="36" t="inlineStr">
        <is>
          <t>.</t>
        </is>
      </c>
      <c r="BP222" s="193">
        <f>SUM(BQ222:CB222)</f>
        <v/>
      </c>
      <c r="BQ222" s="191">
        <f>MAX(0,BC222-AA222)</f>
        <v/>
      </c>
      <c r="BR222" s="191">
        <f>MAX(0,BD222-AB222)</f>
        <v/>
      </c>
      <c r="BS222" s="191">
        <f>MAX(0,BE222-AC222)</f>
        <v/>
      </c>
      <c r="BT222" s="191">
        <f>MAX(0,BF222-AD222)</f>
        <v/>
      </c>
      <c r="BU222" s="191">
        <f>MAX(0,BG222-AE222)</f>
        <v/>
      </c>
      <c r="BV222" s="191">
        <f>MAX(0,BH222-AF222)</f>
        <v/>
      </c>
      <c r="BW222" s="191">
        <f>MAX(0,BI222-AG222)</f>
        <v/>
      </c>
      <c r="BX222" s="191">
        <f>MAX(0,BJ222-AH222)</f>
        <v/>
      </c>
      <c r="BY222" s="191">
        <f>MAX(0,BK222-AI222)</f>
        <v/>
      </c>
      <c r="BZ222" s="191">
        <f>MAX(0,BL222-AJ222)</f>
        <v/>
      </c>
      <c r="CA222" s="191">
        <f>MAX(0,BM222-AK222)</f>
        <v/>
      </c>
      <c r="CB222" s="192">
        <f>MAX(0,BN222-AL222)</f>
        <v/>
      </c>
    </row>
    <row r="223">
      <c r="A223" s="64" t="inlineStr">
        <is>
          <t>37633350000103</t>
        </is>
      </c>
      <c r="B223" s="57" t="inlineStr">
        <is>
          <t>VALDECI APARECIDO DE NICOLAI</t>
        </is>
      </c>
      <c r="C223" s="57" t="inlineStr">
        <is>
          <t>SEM GRUPO</t>
        </is>
      </c>
      <c r="D223" s="61" t="inlineStr">
        <is>
          <t>LARISSA PADILHA</t>
        </is>
      </c>
      <c r="E223" s="30" t="inlineStr">
        <is>
          <t>.</t>
        </is>
      </c>
      <c r="F223" s="63" t="inlineStr"/>
      <c r="G223" s="179" t="inlineStr"/>
      <c r="H223" s="57" t="inlineStr"/>
      <c r="I223" s="57" t="inlineStr"/>
      <c r="J223" s="61" t="inlineStr"/>
      <c r="K223" s="30" t="inlineStr">
        <is>
          <t>.</t>
        </is>
      </c>
      <c r="L223" s="180" t="n">
        <v>5327.9</v>
      </c>
      <c r="M223" s="181" t="n">
        <v>374.41</v>
      </c>
      <c r="N223" s="181" t="n">
        <v>391.24</v>
      </c>
      <c r="O223" s="181" t="n">
        <v>400.67</v>
      </c>
      <c r="P223" s="181" t="n">
        <v>411.11</v>
      </c>
      <c r="Q223" s="181" t="n">
        <v>424.58</v>
      </c>
      <c r="R223" s="181" t="n">
        <v>435.69</v>
      </c>
      <c r="S223" s="181" t="n">
        <v>452.52</v>
      </c>
      <c r="T223" s="181" t="n">
        <v>463.63</v>
      </c>
      <c r="U223" s="181" t="n">
        <v>474.07</v>
      </c>
      <c r="V223" s="181" t="n">
        <v>485.85</v>
      </c>
      <c r="W223" s="181" t="n">
        <v>498.65</v>
      </c>
      <c r="X223" s="182" t="n">
        <v>515.48</v>
      </c>
      <c r="Y223" s="183" t="inlineStr">
        <is>
          <t>.</t>
        </is>
      </c>
      <c r="Z223" s="184">
        <f>SUM(AA223:AL223)</f>
        <v/>
      </c>
      <c r="AA223" s="185" t="n">
        <v>0</v>
      </c>
      <c r="AB223" s="185" t="n">
        <v>0</v>
      </c>
      <c r="AC223" s="185" t="n">
        <v>0</v>
      </c>
      <c r="AD223" s="185" t="n">
        <v>0</v>
      </c>
      <c r="AE223" s="185" t="n">
        <v>995.5</v>
      </c>
      <c r="AF223" s="185" t="n">
        <v>0</v>
      </c>
      <c r="AG223" s="185" t="n">
        <v>0</v>
      </c>
      <c r="AH223" s="185" t="n">
        <v>0</v>
      </c>
      <c r="AI223" s="185" t="n">
        <v>0</v>
      </c>
      <c r="AJ223" s="185" t="n">
        <v>1635.1</v>
      </c>
      <c r="AK223" s="185" t="n">
        <v>0</v>
      </c>
      <c r="AL223" s="186" t="n">
        <v>0</v>
      </c>
      <c r="AM223" s="30" t="inlineStr">
        <is>
          <t>.</t>
        </is>
      </c>
      <c r="AN223" s="187">
        <f>IF(L223=0,0,Z223/L223)</f>
        <v/>
      </c>
      <c r="AO223" s="57">
        <f>IF(AN223&gt;=1,"🟢",IF(AN223&gt;=0.7,"🟡",IF(AN223&gt;=0.4,"🟠","🔴")))</f>
        <v/>
      </c>
      <c r="AP223" s="185">
        <f>L223-Z223</f>
        <v/>
      </c>
      <c r="AQ223" s="55">
        <f>RANK(Z223,$Z$4:$Z$503,0)</f>
        <v/>
      </c>
      <c r="AR223" s="39" t="inlineStr">
        <is>
          <t>.</t>
        </is>
      </c>
      <c r="AS223" s="27" t="n"/>
      <c r="AT223" s="27" t="n"/>
      <c r="AU223" s="27" t="n"/>
      <c r="AV223" s="27" t="n"/>
      <c r="AW223" s="27" t="n"/>
      <c r="AX223" s="27" t="n"/>
      <c r="AY223" s="204" t="n"/>
      <c r="AZ223" s="204" t="n"/>
      <c r="BA223" s="38" t="inlineStr">
        <is>
          <t>.</t>
        </is>
      </c>
      <c r="BB223" s="190">
        <f>SUM(BC223:BN223)</f>
        <v/>
      </c>
      <c r="BC223" s="191">
        <f>L223*0.0702730030</f>
        <v/>
      </c>
      <c r="BD223" s="191">
        <f>L223*0.0734327604</f>
        <v/>
      </c>
      <c r="BE223" s="191">
        <f>L223*0.0752022245</f>
        <v/>
      </c>
      <c r="BF223" s="191">
        <f>L223*0.0771612740</f>
        <v/>
      </c>
      <c r="BG223" s="191">
        <f>L223*0.0796890799</f>
        <v/>
      </c>
      <c r="BH223" s="191">
        <f>L223*0.0817745197</f>
        <v/>
      </c>
      <c r="BI223" s="191">
        <f>L223*0.0849342770</f>
        <v/>
      </c>
      <c r="BJ223" s="191">
        <f>L223*0.0870197169</f>
        <v/>
      </c>
      <c r="BK223" s="191">
        <f>L223*0.0889787664</f>
        <v/>
      </c>
      <c r="BL223" s="191">
        <f>L223*0.0911905966</f>
        <v/>
      </c>
      <c r="BM223" s="191">
        <f>L223*0.0935920121</f>
        <v/>
      </c>
      <c r="BN223" s="192">
        <f>L223*0.0967517695</f>
        <v/>
      </c>
      <c r="BO223" s="36" t="inlineStr">
        <is>
          <t>.</t>
        </is>
      </c>
      <c r="BP223" s="193">
        <f>SUM(BQ223:CB223)</f>
        <v/>
      </c>
      <c r="BQ223" s="191">
        <f>MAX(0,BC223-AA223)</f>
        <v/>
      </c>
      <c r="BR223" s="191">
        <f>MAX(0,BD223-AB223)</f>
        <v/>
      </c>
      <c r="BS223" s="191">
        <f>MAX(0,BE223-AC223)</f>
        <v/>
      </c>
      <c r="BT223" s="191">
        <f>MAX(0,BF223-AD223)</f>
        <v/>
      </c>
      <c r="BU223" s="191">
        <f>MAX(0,BG223-AE223)</f>
        <v/>
      </c>
      <c r="BV223" s="191">
        <f>MAX(0,BH223-AF223)</f>
        <v/>
      </c>
      <c r="BW223" s="191">
        <f>MAX(0,BI223-AG223)</f>
        <v/>
      </c>
      <c r="BX223" s="191">
        <f>MAX(0,BJ223-AH223)</f>
        <v/>
      </c>
      <c r="BY223" s="191">
        <f>MAX(0,BK223-AI223)</f>
        <v/>
      </c>
      <c r="BZ223" s="191">
        <f>MAX(0,BL223-AJ223)</f>
        <v/>
      </c>
      <c r="CA223" s="191">
        <f>MAX(0,BM223-AK223)</f>
        <v/>
      </c>
      <c r="CB223" s="192">
        <f>MAX(0,BN223-AL223)</f>
        <v/>
      </c>
    </row>
    <row r="224">
      <c r="A224" s="64" t="inlineStr">
        <is>
          <t>60209127000147</t>
        </is>
      </c>
      <c r="B224" s="57" t="inlineStr">
        <is>
          <t>AGRO &amp; NATURAL COMERCIO CONSULTORIA DE P</t>
        </is>
      </c>
      <c r="C224" s="57" t="inlineStr">
        <is>
          <t>VIDA LEVE</t>
        </is>
      </c>
      <c r="D224" s="61" t="inlineStr">
        <is>
          <t>DAIANE STAVICKI</t>
        </is>
      </c>
      <c r="E224" s="30" t="inlineStr">
        <is>
          <t>.</t>
        </is>
      </c>
      <c r="F224" s="63" t="n">
        <v>81</v>
      </c>
      <c r="G224" s="179" t="n">
        <v>0.08</v>
      </c>
      <c r="H224" s="57" t="inlineStr">
        <is>
          <t>🔴 VERMELHO</t>
        </is>
      </c>
      <c r="I224" s="57" t="inlineStr">
        <is>
          <t>ATIVAÇÃO</t>
        </is>
      </c>
      <c r="J224" s="61" t="inlineStr">
        <is>
          <t>Reativar inativos + Prospectar</t>
        </is>
      </c>
      <c r="K224" s="30" t="inlineStr">
        <is>
          <t>.</t>
        </is>
      </c>
      <c r="L224" s="180" t="n">
        <v>5271.13</v>
      </c>
      <c r="M224" s="181" t="n">
        <v>370.42</v>
      </c>
      <c r="N224" s="181" t="n">
        <v>387.07</v>
      </c>
      <c r="O224" s="181" t="n">
        <v>396.4</v>
      </c>
      <c r="P224" s="181" t="n">
        <v>406.73</v>
      </c>
      <c r="Q224" s="181" t="n">
        <v>420.05</v>
      </c>
      <c r="R224" s="181" t="n">
        <v>431.04</v>
      </c>
      <c r="S224" s="181" t="n">
        <v>447.7</v>
      </c>
      <c r="T224" s="181" t="n">
        <v>458.69</v>
      </c>
      <c r="U224" s="181" t="n">
        <v>469.02</v>
      </c>
      <c r="V224" s="181" t="n">
        <v>480.68</v>
      </c>
      <c r="W224" s="181" t="n">
        <v>493.34</v>
      </c>
      <c r="X224" s="182" t="n">
        <v>509.99</v>
      </c>
      <c r="Y224" s="183" t="inlineStr">
        <is>
          <t>.</t>
        </is>
      </c>
      <c r="Z224" s="184">
        <f>SUM(AA224:AL224)</f>
        <v/>
      </c>
      <c r="AA224" s="185" t="n">
        <v>0</v>
      </c>
      <c r="AB224" s="185" t="n">
        <v>0</v>
      </c>
      <c r="AC224" s="185" t="n">
        <v>0</v>
      </c>
      <c r="AD224" s="185" t="n">
        <v>0</v>
      </c>
      <c r="AE224" s="185" t="n">
        <v>0</v>
      </c>
      <c r="AF224" s="185" t="n">
        <v>0</v>
      </c>
      <c r="AG224" s="185" t="n">
        <v>0</v>
      </c>
      <c r="AH224" s="185" t="n">
        <v>1338.02</v>
      </c>
      <c r="AI224" s="185" t="n">
        <v>0</v>
      </c>
      <c r="AJ224" s="185" t="n">
        <v>0</v>
      </c>
      <c r="AK224" s="185" t="n">
        <v>1117.91</v>
      </c>
      <c r="AL224" s="186" t="n">
        <v>0</v>
      </c>
      <c r="AM224" s="30" t="inlineStr">
        <is>
          <t>.</t>
        </is>
      </c>
      <c r="AN224" s="187">
        <f>IF(L224=0,0,Z224/L224)</f>
        <v/>
      </c>
      <c r="AO224" s="57">
        <f>IF(AN224&gt;=1,"🟢",IF(AN224&gt;=0.7,"🟡",IF(AN224&gt;=0.4,"🟠","🔴")))</f>
        <v/>
      </c>
      <c r="AP224" s="185">
        <f>L224-Z224</f>
        <v/>
      </c>
      <c r="AQ224" s="55">
        <f>RANK(Z224,$Z$4:$Z$503,0)</f>
        <v/>
      </c>
      <c r="AR224" s="39" t="inlineStr">
        <is>
          <t>.</t>
        </is>
      </c>
      <c r="AS224" s="27" t="n"/>
      <c r="AT224" s="27" t="n"/>
      <c r="AU224" s="27" t="n"/>
      <c r="AV224" s="27" t="n"/>
      <c r="AW224" s="27" t="n"/>
      <c r="AX224" s="27" t="n"/>
      <c r="AY224" s="204" t="n"/>
      <c r="AZ224" s="204" t="n"/>
      <c r="BA224" s="38" t="inlineStr">
        <is>
          <t>.</t>
        </is>
      </c>
      <c r="BB224" s="190">
        <f>SUM(BC224:BN224)</f>
        <v/>
      </c>
      <c r="BC224" s="191">
        <f>L224*0.0702730030</f>
        <v/>
      </c>
      <c r="BD224" s="191">
        <f>L224*0.0734327604</f>
        <v/>
      </c>
      <c r="BE224" s="191">
        <f>L224*0.0752022245</f>
        <v/>
      </c>
      <c r="BF224" s="191">
        <f>L224*0.0771612740</f>
        <v/>
      </c>
      <c r="BG224" s="191">
        <f>L224*0.0796890799</f>
        <v/>
      </c>
      <c r="BH224" s="191">
        <f>L224*0.0817745197</f>
        <v/>
      </c>
      <c r="BI224" s="191">
        <f>L224*0.0849342770</f>
        <v/>
      </c>
      <c r="BJ224" s="191">
        <f>L224*0.0870197169</f>
        <v/>
      </c>
      <c r="BK224" s="191">
        <f>L224*0.0889787664</f>
        <v/>
      </c>
      <c r="BL224" s="191">
        <f>L224*0.0911905966</f>
        <v/>
      </c>
      <c r="BM224" s="191">
        <f>L224*0.0935920121</f>
        <v/>
      </c>
      <c r="BN224" s="192">
        <f>L224*0.0967517695</f>
        <v/>
      </c>
      <c r="BO224" s="36" t="inlineStr">
        <is>
          <t>.</t>
        </is>
      </c>
      <c r="BP224" s="193">
        <f>SUM(BQ224:CB224)</f>
        <v/>
      </c>
      <c r="BQ224" s="191">
        <f>MAX(0,BC224-AA224)</f>
        <v/>
      </c>
      <c r="BR224" s="191">
        <f>MAX(0,BD224-AB224)</f>
        <v/>
      </c>
      <c r="BS224" s="191">
        <f>MAX(0,BE224-AC224)</f>
        <v/>
      </c>
      <c r="BT224" s="191">
        <f>MAX(0,BF224-AD224)</f>
        <v/>
      </c>
      <c r="BU224" s="191">
        <f>MAX(0,BG224-AE224)</f>
        <v/>
      </c>
      <c r="BV224" s="191">
        <f>MAX(0,BH224-AF224)</f>
        <v/>
      </c>
      <c r="BW224" s="191">
        <f>MAX(0,BI224-AG224)</f>
        <v/>
      </c>
      <c r="BX224" s="191">
        <f>MAX(0,BJ224-AH224)</f>
        <v/>
      </c>
      <c r="BY224" s="191">
        <f>MAX(0,BK224-AI224)</f>
        <v/>
      </c>
      <c r="BZ224" s="191">
        <f>MAX(0,BL224-AJ224)</f>
        <v/>
      </c>
      <c r="CA224" s="191">
        <f>MAX(0,BM224-AK224)</f>
        <v/>
      </c>
      <c r="CB224" s="192">
        <f>MAX(0,BN224-AL224)</f>
        <v/>
      </c>
    </row>
    <row r="225">
      <c r="A225" s="64" t="inlineStr">
        <is>
          <t>08888228000171</t>
        </is>
      </c>
      <c r="B225" s="57" t="inlineStr">
        <is>
          <t>BARRAQUINHA DA MACA LTDA - ME</t>
        </is>
      </c>
      <c r="C225" s="57" t="inlineStr">
        <is>
          <t>SEM GRUPO</t>
        </is>
      </c>
      <c r="D225" s="61" t="inlineStr">
        <is>
          <t>HEMANUELE DITZEL (MANU)</t>
        </is>
      </c>
      <c r="E225" s="30" t="inlineStr">
        <is>
          <t>.</t>
        </is>
      </c>
      <c r="F225" s="63" t="inlineStr"/>
      <c r="G225" s="179" t="inlineStr"/>
      <c r="H225" s="57" t="inlineStr"/>
      <c r="I225" s="57" t="inlineStr"/>
      <c r="J225" s="61" t="inlineStr"/>
      <c r="K225" s="30" t="inlineStr">
        <is>
          <t>.</t>
        </is>
      </c>
      <c r="L225" s="180" t="n">
        <v>5251.759999999999</v>
      </c>
      <c r="M225" s="181" t="n">
        <v>369.06</v>
      </c>
      <c r="N225" s="181" t="n">
        <v>385.65</v>
      </c>
      <c r="O225" s="181" t="n">
        <v>394.94</v>
      </c>
      <c r="P225" s="181" t="n">
        <v>405.23</v>
      </c>
      <c r="Q225" s="181" t="n">
        <v>418.51</v>
      </c>
      <c r="R225" s="181" t="n">
        <v>429.46</v>
      </c>
      <c r="S225" s="181" t="n">
        <v>446.05</v>
      </c>
      <c r="T225" s="181" t="n">
        <v>457.01</v>
      </c>
      <c r="U225" s="181" t="n">
        <v>467.3</v>
      </c>
      <c r="V225" s="181" t="n">
        <v>478.91</v>
      </c>
      <c r="W225" s="181" t="n">
        <v>491.52</v>
      </c>
      <c r="X225" s="182" t="n">
        <v>508.12</v>
      </c>
      <c r="Y225" s="183" t="inlineStr">
        <is>
          <t>.</t>
        </is>
      </c>
      <c r="Z225" s="184">
        <f>SUM(AA225:AL225)</f>
        <v/>
      </c>
      <c r="AA225" s="185" t="n">
        <v>0</v>
      </c>
      <c r="AB225" s="185" t="n">
        <v>0</v>
      </c>
      <c r="AC225" s="185" t="n">
        <v>0</v>
      </c>
      <c r="AD225" s="185" t="n">
        <v>0</v>
      </c>
      <c r="AE225" s="185" t="n">
        <v>0</v>
      </c>
      <c r="AF225" s="185" t="n">
        <v>0</v>
      </c>
      <c r="AG225" s="185" t="n">
        <v>0</v>
      </c>
      <c r="AH225" s="185" t="n">
        <v>0</v>
      </c>
      <c r="AI225" s="185" t="n">
        <v>0</v>
      </c>
      <c r="AJ225" s="185" t="n">
        <v>0</v>
      </c>
      <c r="AK225" s="185" t="n">
        <v>2801.4</v>
      </c>
      <c r="AL225" s="186" t="n">
        <v>0</v>
      </c>
      <c r="AM225" s="30" t="inlineStr">
        <is>
          <t>.</t>
        </is>
      </c>
      <c r="AN225" s="187">
        <f>IF(L225=0,0,Z225/L225)</f>
        <v/>
      </c>
      <c r="AO225" s="57">
        <f>IF(AN225&gt;=1,"🟢",IF(AN225&gt;=0.7,"🟡",IF(AN225&gt;=0.4,"🟠","🔴")))</f>
        <v/>
      </c>
      <c r="AP225" s="185">
        <f>L225-Z225</f>
        <v/>
      </c>
      <c r="AQ225" s="55">
        <f>RANK(Z225,$Z$4:$Z$503,0)</f>
        <v/>
      </c>
      <c r="AR225" s="39" t="inlineStr">
        <is>
          <t>.</t>
        </is>
      </c>
      <c r="AS225" s="27" t="n"/>
      <c r="AT225" s="27" t="n"/>
      <c r="AU225" s="27" t="n"/>
      <c r="AV225" s="27" t="n"/>
      <c r="AW225" s="27" t="n"/>
      <c r="AX225" s="27" t="n"/>
      <c r="AY225" s="204" t="n"/>
      <c r="AZ225" s="204" t="n"/>
      <c r="BA225" s="38" t="inlineStr">
        <is>
          <t>.</t>
        </is>
      </c>
      <c r="BB225" s="190">
        <f>SUM(BC225:BN225)</f>
        <v/>
      </c>
      <c r="BC225" s="191">
        <f>L225*0.0702730030</f>
        <v/>
      </c>
      <c r="BD225" s="191">
        <f>L225*0.0734327604</f>
        <v/>
      </c>
      <c r="BE225" s="191">
        <f>L225*0.0752022245</f>
        <v/>
      </c>
      <c r="BF225" s="191">
        <f>L225*0.0771612740</f>
        <v/>
      </c>
      <c r="BG225" s="191">
        <f>L225*0.0796890799</f>
        <v/>
      </c>
      <c r="BH225" s="191">
        <f>L225*0.0817745197</f>
        <v/>
      </c>
      <c r="BI225" s="191">
        <f>L225*0.0849342770</f>
        <v/>
      </c>
      <c r="BJ225" s="191">
        <f>L225*0.0870197169</f>
        <v/>
      </c>
      <c r="BK225" s="191">
        <f>L225*0.0889787664</f>
        <v/>
      </c>
      <c r="BL225" s="191">
        <f>L225*0.0911905966</f>
        <v/>
      </c>
      <c r="BM225" s="191">
        <f>L225*0.0935920121</f>
        <v/>
      </c>
      <c r="BN225" s="192">
        <f>L225*0.0967517695</f>
        <v/>
      </c>
      <c r="BO225" s="36" t="inlineStr">
        <is>
          <t>.</t>
        </is>
      </c>
      <c r="BP225" s="193">
        <f>SUM(BQ225:CB225)</f>
        <v/>
      </c>
      <c r="BQ225" s="191">
        <f>MAX(0,BC225-AA225)</f>
        <v/>
      </c>
      <c r="BR225" s="191">
        <f>MAX(0,BD225-AB225)</f>
        <v/>
      </c>
      <c r="BS225" s="191">
        <f>MAX(0,BE225-AC225)</f>
        <v/>
      </c>
      <c r="BT225" s="191">
        <f>MAX(0,BF225-AD225)</f>
        <v/>
      </c>
      <c r="BU225" s="191">
        <f>MAX(0,BG225-AE225)</f>
        <v/>
      </c>
      <c r="BV225" s="191">
        <f>MAX(0,BH225-AF225)</f>
        <v/>
      </c>
      <c r="BW225" s="191">
        <f>MAX(0,BI225-AG225)</f>
        <v/>
      </c>
      <c r="BX225" s="191">
        <f>MAX(0,BJ225-AH225)</f>
        <v/>
      </c>
      <c r="BY225" s="191">
        <f>MAX(0,BK225-AI225)</f>
        <v/>
      </c>
      <c r="BZ225" s="191">
        <f>MAX(0,BL225-AJ225)</f>
        <v/>
      </c>
      <c r="CA225" s="191">
        <f>MAX(0,BM225-AK225)</f>
        <v/>
      </c>
      <c r="CB225" s="192">
        <f>MAX(0,BN225-AL225)</f>
        <v/>
      </c>
    </row>
    <row r="226">
      <c r="A226" s="64" t="inlineStr">
        <is>
          <t>54679245000116</t>
        </is>
      </c>
      <c r="B226" s="57" t="inlineStr">
        <is>
          <t>CECILIA DIAS SUPLEMENTOS LTDA - ME</t>
        </is>
      </c>
      <c r="C226" s="57" t="inlineStr">
        <is>
          <t>SEM GRUPO</t>
        </is>
      </c>
      <c r="D226" s="61" t="inlineStr">
        <is>
          <t>LARISSA PADILHA</t>
        </is>
      </c>
      <c r="E226" s="30" t="inlineStr">
        <is>
          <t>.</t>
        </is>
      </c>
      <c r="F226" s="63" t="inlineStr"/>
      <c r="G226" s="179" t="inlineStr"/>
      <c r="H226" s="57" t="inlineStr"/>
      <c r="I226" s="57" t="inlineStr"/>
      <c r="J226" s="61" t="inlineStr"/>
      <c r="K226" s="30" t="inlineStr">
        <is>
          <t>.</t>
        </is>
      </c>
      <c r="L226" s="180" t="n">
        <v>5238.95</v>
      </c>
      <c r="M226" s="181" t="n">
        <v>368.16</v>
      </c>
      <c r="N226" s="181" t="n">
        <v>384.71</v>
      </c>
      <c r="O226" s="181" t="n">
        <v>393.98</v>
      </c>
      <c r="P226" s="181" t="n">
        <v>404.24</v>
      </c>
      <c r="Q226" s="181" t="n">
        <v>417.49</v>
      </c>
      <c r="R226" s="181" t="n">
        <v>428.41</v>
      </c>
      <c r="S226" s="181" t="n">
        <v>444.97</v>
      </c>
      <c r="T226" s="181" t="n">
        <v>455.89</v>
      </c>
      <c r="U226" s="181" t="n">
        <v>466.16</v>
      </c>
      <c r="V226" s="181" t="n">
        <v>477.74</v>
      </c>
      <c r="W226" s="181" t="n">
        <v>490.32</v>
      </c>
      <c r="X226" s="182" t="n">
        <v>506.88</v>
      </c>
      <c r="Y226" s="183" t="inlineStr">
        <is>
          <t>.</t>
        </is>
      </c>
      <c r="Z226" s="184">
        <f>SUM(AA226:AL226)</f>
        <v/>
      </c>
      <c r="AA226" s="185" t="n">
        <v>0</v>
      </c>
      <c r="AB226" s="185" t="n">
        <v>0</v>
      </c>
      <c r="AC226" s="185" t="n">
        <v>0</v>
      </c>
      <c r="AD226" s="185" t="n">
        <v>0</v>
      </c>
      <c r="AE226" s="185" t="n">
        <v>0</v>
      </c>
      <c r="AF226" s="185" t="n">
        <v>0</v>
      </c>
      <c r="AG226" s="185" t="n">
        <v>0</v>
      </c>
      <c r="AH226" s="185" t="n">
        <v>2207.54</v>
      </c>
      <c r="AI226" s="185" t="n">
        <v>0</v>
      </c>
      <c r="AJ226" s="185" t="n">
        <v>0</v>
      </c>
      <c r="AK226" s="185" t="n">
        <v>0</v>
      </c>
      <c r="AL226" s="186" t="n">
        <v>0</v>
      </c>
      <c r="AM226" s="30" t="inlineStr">
        <is>
          <t>.</t>
        </is>
      </c>
      <c r="AN226" s="187">
        <f>IF(L226=0,0,Z226/L226)</f>
        <v/>
      </c>
      <c r="AO226" s="57">
        <f>IF(AN226&gt;=1,"🟢",IF(AN226&gt;=0.7,"🟡",IF(AN226&gt;=0.4,"🟠","🔴")))</f>
        <v/>
      </c>
      <c r="AP226" s="185">
        <f>L226-Z226</f>
        <v/>
      </c>
      <c r="AQ226" s="55">
        <f>RANK(Z226,$Z$4:$Z$503,0)</f>
        <v/>
      </c>
      <c r="AR226" s="39" t="inlineStr">
        <is>
          <t>.</t>
        </is>
      </c>
      <c r="AS226" s="27" t="n"/>
      <c r="AT226" s="27" t="n"/>
      <c r="AU226" s="27" t="n"/>
      <c r="AV226" s="27" t="n"/>
      <c r="AW226" s="27" t="n"/>
      <c r="AX226" s="27" t="n"/>
      <c r="AY226" s="204" t="n"/>
      <c r="AZ226" s="204" t="n"/>
      <c r="BA226" s="38" t="inlineStr">
        <is>
          <t>.</t>
        </is>
      </c>
      <c r="BB226" s="190">
        <f>SUM(BC226:BN226)</f>
        <v/>
      </c>
      <c r="BC226" s="191">
        <f>L226*0.0702730030</f>
        <v/>
      </c>
      <c r="BD226" s="191">
        <f>L226*0.0734327604</f>
        <v/>
      </c>
      <c r="BE226" s="191">
        <f>L226*0.0752022245</f>
        <v/>
      </c>
      <c r="BF226" s="191">
        <f>L226*0.0771612740</f>
        <v/>
      </c>
      <c r="BG226" s="191">
        <f>L226*0.0796890799</f>
        <v/>
      </c>
      <c r="BH226" s="191">
        <f>L226*0.0817745197</f>
        <v/>
      </c>
      <c r="BI226" s="191">
        <f>L226*0.0849342770</f>
        <v/>
      </c>
      <c r="BJ226" s="191">
        <f>L226*0.0870197169</f>
        <v/>
      </c>
      <c r="BK226" s="191">
        <f>L226*0.0889787664</f>
        <v/>
      </c>
      <c r="BL226" s="191">
        <f>L226*0.0911905966</f>
        <v/>
      </c>
      <c r="BM226" s="191">
        <f>L226*0.0935920121</f>
        <v/>
      </c>
      <c r="BN226" s="192">
        <f>L226*0.0967517695</f>
        <v/>
      </c>
      <c r="BO226" s="36" t="inlineStr">
        <is>
          <t>.</t>
        </is>
      </c>
      <c r="BP226" s="193">
        <f>SUM(BQ226:CB226)</f>
        <v/>
      </c>
      <c r="BQ226" s="191">
        <f>MAX(0,BC226-AA226)</f>
        <v/>
      </c>
      <c r="BR226" s="191">
        <f>MAX(0,BD226-AB226)</f>
        <v/>
      </c>
      <c r="BS226" s="191">
        <f>MAX(0,BE226-AC226)</f>
        <v/>
      </c>
      <c r="BT226" s="191">
        <f>MAX(0,BF226-AD226)</f>
        <v/>
      </c>
      <c r="BU226" s="191">
        <f>MAX(0,BG226-AE226)</f>
        <v/>
      </c>
      <c r="BV226" s="191">
        <f>MAX(0,BH226-AF226)</f>
        <v/>
      </c>
      <c r="BW226" s="191">
        <f>MAX(0,BI226-AG226)</f>
        <v/>
      </c>
      <c r="BX226" s="191">
        <f>MAX(0,BJ226-AH226)</f>
        <v/>
      </c>
      <c r="BY226" s="191">
        <f>MAX(0,BK226-AI226)</f>
        <v/>
      </c>
      <c r="BZ226" s="191">
        <f>MAX(0,BL226-AJ226)</f>
        <v/>
      </c>
      <c r="CA226" s="191">
        <f>MAX(0,BM226-AK226)</f>
        <v/>
      </c>
      <c r="CB226" s="192">
        <f>MAX(0,BN226-AL226)</f>
        <v/>
      </c>
    </row>
    <row r="227">
      <c r="A227" s="64" t="inlineStr">
        <is>
          <t>45345641000116</t>
        </is>
      </c>
      <c r="B227" s="57" t="inlineStr">
        <is>
          <t>ABTM LTDA - ME</t>
        </is>
      </c>
      <c r="C227" s="57" t="inlineStr">
        <is>
          <t>SEM GRUPO</t>
        </is>
      </c>
      <c r="D227" s="61" t="inlineStr">
        <is>
          <t>HEMANUELE DITZEL (MANU)</t>
        </is>
      </c>
      <c r="E227" s="30" t="inlineStr">
        <is>
          <t>.</t>
        </is>
      </c>
      <c r="F227" s="63" t="inlineStr"/>
      <c r="G227" s="179" t="inlineStr"/>
      <c r="H227" s="57" t="inlineStr"/>
      <c r="I227" s="57" t="inlineStr"/>
      <c r="J227" s="61" t="inlineStr"/>
      <c r="K227" s="30" t="inlineStr">
        <is>
          <t>.</t>
        </is>
      </c>
      <c r="L227" s="180" t="n">
        <v>5151.709999999999</v>
      </c>
      <c r="M227" s="181" t="n">
        <v>362.03</v>
      </c>
      <c r="N227" s="181" t="n">
        <v>378.3</v>
      </c>
      <c r="O227" s="181" t="n">
        <v>387.42</v>
      </c>
      <c r="P227" s="181" t="n">
        <v>397.51</v>
      </c>
      <c r="Q227" s="181" t="n">
        <v>410.53</v>
      </c>
      <c r="R227" s="181" t="n">
        <v>421.28</v>
      </c>
      <c r="S227" s="181" t="n">
        <v>437.56</v>
      </c>
      <c r="T227" s="181" t="n">
        <v>448.3</v>
      </c>
      <c r="U227" s="181" t="n">
        <v>458.39</v>
      </c>
      <c r="V227" s="181" t="n">
        <v>469.79</v>
      </c>
      <c r="W227" s="181" t="n">
        <v>482.16</v>
      </c>
      <c r="X227" s="182" t="n">
        <v>498.44</v>
      </c>
      <c r="Y227" s="183" t="inlineStr">
        <is>
          <t>.</t>
        </is>
      </c>
      <c r="Z227" s="184">
        <f>SUM(AA227:AL227)</f>
        <v/>
      </c>
      <c r="AA227" s="185" t="n">
        <v>0</v>
      </c>
      <c r="AB227" s="185" t="n">
        <v>0</v>
      </c>
      <c r="AC227" s="185" t="n">
        <v>0</v>
      </c>
      <c r="AD227" s="185" t="n">
        <v>567.96</v>
      </c>
      <c r="AE227" s="185" t="n">
        <v>0</v>
      </c>
      <c r="AF227" s="185" t="n">
        <v>0</v>
      </c>
      <c r="AG227" s="185" t="n">
        <v>994.54</v>
      </c>
      <c r="AH227" s="185" t="n">
        <v>0</v>
      </c>
      <c r="AI227" s="185" t="n">
        <v>0</v>
      </c>
      <c r="AJ227" s="185" t="n">
        <v>903.98</v>
      </c>
      <c r="AK227" s="185" t="n">
        <v>0</v>
      </c>
      <c r="AL227" s="186" t="n">
        <v>0</v>
      </c>
      <c r="AM227" s="30" t="inlineStr">
        <is>
          <t>.</t>
        </is>
      </c>
      <c r="AN227" s="187">
        <f>IF(L227=0,0,Z227/L227)</f>
        <v/>
      </c>
      <c r="AO227" s="57">
        <f>IF(AN227&gt;=1,"🟢",IF(AN227&gt;=0.7,"🟡",IF(AN227&gt;=0.4,"🟠","🔴")))</f>
        <v/>
      </c>
      <c r="AP227" s="185">
        <f>L227-Z227</f>
        <v/>
      </c>
      <c r="AQ227" s="55">
        <f>RANK(Z227,$Z$4:$Z$503,0)</f>
        <v/>
      </c>
      <c r="AR227" s="39" t="inlineStr">
        <is>
          <t>.</t>
        </is>
      </c>
      <c r="AS227" s="27" t="n"/>
      <c r="AT227" s="27" t="n"/>
      <c r="AU227" s="27" t="n"/>
      <c r="AV227" s="27" t="n"/>
      <c r="AW227" s="27" t="n"/>
      <c r="AX227" s="27" t="n"/>
      <c r="AY227" s="204" t="n"/>
      <c r="AZ227" s="204" t="n"/>
      <c r="BA227" s="38" t="inlineStr">
        <is>
          <t>.</t>
        </is>
      </c>
      <c r="BB227" s="190">
        <f>SUM(BC227:BN227)</f>
        <v/>
      </c>
      <c r="BC227" s="191">
        <f>L227*0.0702730030</f>
        <v/>
      </c>
      <c r="BD227" s="191">
        <f>L227*0.0734327604</f>
        <v/>
      </c>
      <c r="BE227" s="191">
        <f>L227*0.0752022245</f>
        <v/>
      </c>
      <c r="BF227" s="191">
        <f>L227*0.0771612740</f>
        <v/>
      </c>
      <c r="BG227" s="191">
        <f>L227*0.0796890799</f>
        <v/>
      </c>
      <c r="BH227" s="191">
        <f>L227*0.0817745197</f>
        <v/>
      </c>
      <c r="BI227" s="191">
        <f>L227*0.0849342770</f>
        <v/>
      </c>
      <c r="BJ227" s="191">
        <f>L227*0.0870197169</f>
        <v/>
      </c>
      <c r="BK227" s="191">
        <f>L227*0.0889787664</f>
        <v/>
      </c>
      <c r="BL227" s="191">
        <f>L227*0.0911905966</f>
        <v/>
      </c>
      <c r="BM227" s="191">
        <f>L227*0.0935920121</f>
        <v/>
      </c>
      <c r="BN227" s="192">
        <f>L227*0.0967517695</f>
        <v/>
      </c>
      <c r="BO227" s="36" t="inlineStr">
        <is>
          <t>.</t>
        </is>
      </c>
      <c r="BP227" s="193">
        <f>SUM(BQ227:CB227)</f>
        <v/>
      </c>
      <c r="BQ227" s="191">
        <f>MAX(0,BC227-AA227)</f>
        <v/>
      </c>
      <c r="BR227" s="191">
        <f>MAX(0,BD227-AB227)</f>
        <v/>
      </c>
      <c r="BS227" s="191">
        <f>MAX(0,BE227-AC227)</f>
        <v/>
      </c>
      <c r="BT227" s="191">
        <f>MAX(0,BF227-AD227)</f>
        <v/>
      </c>
      <c r="BU227" s="191">
        <f>MAX(0,BG227-AE227)</f>
        <v/>
      </c>
      <c r="BV227" s="191">
        <f>MAX(0,BH227-AF227)</f>
        <v/>
      </c>
      <c r="BW227" s="191">
        <f>MAX(0,BI227-AG227)</f>
        <v/>
      </c>
      <c r="BX227" s="191">
        <f>MAX(0,BJ227-AH227)</f>
        <v/>
      </c>
      <c r="BY227" s="191">
        <f>MAX(0,BK227-AI227)</f>
        <v/>
      </c>
      <c r="BZ227" s="191">
        <f>MAX(0,BL227-AJ227)</f>
        <v/>
      </c>
      <c r="CA227" s="191">
        <f>MAX(0,BM227-AK227)</f>
        <v/>
      </c>
      <c r="CB227" s="192">
        <f>MAX(0,BN227-AL227)</f>
        <v/>
      </c>
    </row>
    <row r="228">
      <c r="A228" s="64" t="inlineStr">
        <is>
          <t>32940804000167</t>
        </is>
      </c>
      <c r="B228" s="57" t="inlineStr">
        <is>
          <t>NICE STORE PRESENTES LTDA - ME</t>
        </is>
      </c>
      <c r="C228" s="57" t="inlineStr">
        <is>
          <t>SEM GRUPO</t>
        </is>
      </c>
      <c r="D228" s="61" t="inlineStr">
        <is>
          <t>HEMANUELE DITZEL (MANU)</t>
        </is>
      </c>
      <c r="E228" s="30" t="inlineStr">
        <is>
          <t>.</t>
        </is>
      </c>
      <c r="F228" s="63" t="inlineStr"/>
      <c r="G228" s="179" t="inlineStr"/>
      <c r="H228" s="57" t="inlineStr"/>
      <c r="I228" s="57" t="inlineStr"/>
      <c r="J228" s="61" t="inlineStr"/>
      <c r="K228" s="30" t="inlineStr">
        <is>
          <t>.</t>
        </is>
      </c>
      <c r="L228" s="180" t="n">
        <v>5150.61</v>
      </c>
      <c r="M228" s="181" t="n">
        <v>361.95</v>
      </c>
      <c r="N228" s="181" t="n">
        <v>378.22</v>
      </c>
      <c r="O228" s="181" t="n">
        <v>387.34</v>
      </c>
      <c r="P228" s="181" t="n">
        <v>397.43</v>
      </c>
      <c r="Q228" s="181" t="n">
        <v>410.45</v>
      </c>
      <c r="R228" s="181" t="n">
        <v>421.19</v>
      </c>
      <c r="S228" s="181" t="n">
        <v>437.46</v>
      </c>
      <c r="T228" s="181" t="n">
        <v>448.2</v>
      </c>
      <c r="U228" s="181" t="n">
        <v>458.29</v>
      </c>
      <c r="V228" s="181" t="n">
        <v>469.69</v>
      </c>
      <c r="W228" s="181" t="n">
        <v>482.06</v>
      </c>
      <c r="X228" s="182" t="n">
        <v>498.33</v>
      </c>
      <c r="Y228" s="183" t="inlineStr">
        <is>
          <t>.</t>
        </is>
      </c>
      <c r="Z228" s="184">
        <f>SUM(AA228:AL228)</f>
        <v/>
      </c>
      <c r="AA228" s="185" t="n">
        <v>0</v>
      </c>
      <c r="AB228" s="185" t="n">
        <v>0</v>
      </c>
      <c r="AC228" s="185" t="n">
        <v>0</v>
      </c>
      <c r="AD228" s="185" t="n">
        <v>0</v>
      </c>
      <c r="AE228" s="185" t="n">
        <v>0</v>
      </c>
      <c r="AF228" s="185" t="n">
        <v>0</v>
      </c>
      <c r="AG228" s="185" t="n">
        <v>823.05</v>
      </c>
      <c r="AH228" s="185" t="n">
        <v>691.4299999999999</v>
      </c>
      <c r="AI228" s="185" t="n">
        <v>0</v>
      </c>
      <c r="AJ228" s="185" t="n">
        <v>0</v>
      </c>
      <c r="AK228" s="185" t="n">
        <v>0</v>
      </c>
      <c r="AL228" s="186" t="n">
        <v>897.42</v>
      </c>
      <c r="AM228" s="30" t="inlineStr">
        <is>
          <t>.</t>
        </is>
      </c>
      <c r="AN228" s="187">
        <f>IF(L228=0,0,Z228/L228)</f>
        <v/>
      </c>
      <c r="AO228" s="57">
        <f>IF(AN228&gt;=1,"🟢",IF(AN228&gt;=0.7,"🟡",IF(AN228&gt;=0.4,"🟠","🔴")))</f>
        <v/>
      </c>
      <c r="AP228" s="185">
        <f>L228-Z228</f>
        <v/>
      </c>
      <c r="AQ228" s="55">
        <f>RANK(Z228,$Z$4:$Z$503,0)</f>
        <v/>
      </c>
      <c r="AR228" s="39" t="inlineStr">
        <is>
          <t>.</t>
        </is>
      </c>
      <c r="AS228" s="27" t="n"/>
      <c r="AT228" s="27" t="n"/>
      <c r="AU228" s="27" t="n"/>
      <c r="AV228" s="27" t="n"/>
      <c r="AW228" s="27" t="n"/>
      <c r="AX228" s="27" t="n"/>
      <c r="AY228" s="204" t="n"/>
      <c r="AZ228" s="204" t="n"/>
      <c r="BA228" s="38" t="inlineStr">
        <is>
          <t>.</t>
        </is>
      </c>
      <c r="BB228" s="190">
        <f>SUM(BC228:BN228)</f>
        <v/>
      </c>
      <c r="BC228" s="191">
        <f>L228*0.0702730030</f>
        <v/>
      </c>
      <c r="BD228" s="191">
        <f>L228*0.0734327604</f>
        <v/>
      </c>
      <c r="BE228" s="191">
        <f>L228*0.0752022245</f>
        <v/>
      </c>
      <c r="BF228" s="191">
        <f>L228*0.0771612740</f>
        <v/>
      </c>
      <c r="BG228" s="191">
        <f>L228*0.0796890799</f>
        <v/>
      </c>
      <c r="BH228" s="191">
        <f>L228*0.0817745197</f>
        <v/>
      </c>
      <c r="BI228" s="191">
        <f>L228*0.0849342770</f>
        <v/>
      </c>
      <c r="BJ228" s="191">
        <f>L228*0.0870197169</f>
        <v/>
      </c>
      <c r="BK228" s="191">
        <f>L228*0.0889787664</f>
        <v/>
      </c>
      <c r="BL228" s="191">
        <f>L228*0.0911905966</f>
        <v/>
      </c>
      <c r="BM228" s="191">
        <f>L228*0.0935920121</f>
        <v/>
      </c>
      <c r="BN228" s="192">
        <f>L228*0.0967517695</f>
        <v/>
      </c>
      <c r="BO228" s="36" t="inlineStr">
        <is>
          <t>.</t>
        </is>
      </c>
      <c r="BP228" s="193">
        <f>SUM(BQ228:CB228)</f>
        <v/>
      </c>
      <c r="BQ228" s="191">
        <f>MAX(0,BC228-AA228)</f>
        <v/>
      </c>
      <c r="BR228" s="191">
        <f>MAX(0,BD228-AB228)</f>
        <v/>
      </c>
      <c r="BS228" s="191">
        <f>MAX(0,BE228-AC228)</f>
        <v/>
      </c>
      <c r="BT228" s="191">
        <f>MAX(0,BF228-AD228)</f>
        <v/>
      </c>
      <c r="BU228" s="191">
        <f>MAX(0,BG228-AE228)</f>
        <v/>
      </c>
      <c r="BV228" s="191">
        <f>MAX(0,BH228-AF228)</f>
        <v/>
      </c>
      <c r="BW228" s="191">
        <f>MAX(0,BI228-AG228)</f>
        <v/>
      </c>
      <c r="BX228" s="191">
        <f>MAX(0,BJ228-AH228)</f>
        <v/>
      </c>
      <c r="BY228" s="191">
        <f>MAX(0,BK228-AI228)</f>
        <v/>
      </c>
      <c r="BZ228" s="191">
        <f>MAX(0,BL228-AJ228)</f>
        <v/>
      </c>
      <c r="CA228" s="191">
        <f>MAX(0,BM228-AK228)</f>
        <v/>
      </c>
      <c r="CB228" s="192">
        <f>MAX(0,BN228-AL228)</f>
        <v/>
      </c>
    </row>
    <row r="229">
      <c r="A229" s="64" t="inlineStr">
        <is>
          <t>56174184000160</t>
        </is>
      </c>
      <c r="B229" s="57" t="inlineStr">
        <is>
          <t>CANELINHA COMERCIO DE PRODUTOS NATURAIS</t>
        </is>
      </c>
      <c r="C229" s="57" t="inlineStr">
        <is>
          <t>FITLAND</t>
        </is>
      </c>
      <c r="D229" s="61" t="inlineStr">
        <is>
          <t>JULIO GADRET</t>
        </is>
      </c>
      <c r="E229" s="30" t="inlineStr">
        <is>
          <t>.</t>
        </is>
      </c>
      <c r="F229" s="63" t="n">
        <v>89</v>
      </c>
      <c r="G229" s="179" t="n">
        <v>0.298</v>
      </c>
      <c r="H229" s="57" t="inlineStr">
        <is>
          <t>🔴 VERMELHO</t>
        </is>
      </c>
      <c r="I229" s="57" t="inlineStr">
        <is>
          <t>POSITIVAÇÃO</t>
        </is>
      </c>
      <c r="J229" s="61" t="inlineStr">
        <is>
          <t>Aumentar frequência + Expandir base</t>
        </is>
      </c>
      <c r="K229" s="30" t="inlineStr">
        <is>
          <t>.</t>
        </is>
      </c>
      <c r="L229" s="180" t="n">
        <v>5146.910000000001</v>
      </c>
      <c r="M229" s="181" t="n">
        <v>361.69</v>
      </c>
      <c r="N229" s="181" t="n">
        <v>377.95</v>
      </c>
      <c r="O229" s="181" t="n">
        <v>387.06</v>
      </c>
      <c r="P229" s="181" t="n">
        <v>397.14</v>
      </c>
      <c r="Q229" s="181" t="n">
        <v>410.15</v>
      </c>
      <c r="R229" s="181" t="n">
        <v>420.89</v>
      </c>
      <c r="S229" s="181" t="n">
        <v>437.15</v>
      </c>
      <c r="T229" s="181" t="n">
        <v>447.88</v>
      </c>
      <c r="U229" s="181" t="n">
        <v>457.97</v>
      </c>
      <c r="V229" s="181" t="n">
        <v>469.35</v>
      </c>
      <c r="W229" s="181" t="n">
        <v>481.71</v>
      </c>
      <c r="X229" s="182" t="n">
        <v>497.97</v>
      </c>
      <c r="Y229" s="183" t="inlineStr">
        <is>
          <t>.</t>
        </is>
      </c>
      <c r="Z229" s="184">
        <f>SUM(AA229:AL229)</f>
        <v/>
      </c>
      <c r="AA229" s="185" t="n">
        <v>0</v>
      </c>
      <c r="AB229" s="185" t="n">
        <v>0</v>
      </c>
      <c r="AC229" s="185" t="n">
        <v>0</v>
      </c>
      <c r="AD229" s="185" t="n">
        <v>0</v>
      </c>
      <c r="AE229" s="185" t="n">
        <v>0</v>
      </c>
      <c r="AF229" s="185" t="n">
        <v>0</v>
      </c>
      <c r="AG229" s="185" t="n">
        <v>0</v>
      </c>
      <c r="AH229" s="185" t="n">
        <v>0</v>
      </c>
      <c r="AI229" s="185" t="n">
        <v>0</v>
      </c>
      <c r="AJ229" s="185" t="n">
        <v>1699.07</v>
      </c>
      <c r="AK229" s="185" t="n">
        <v>1152.26</v>
      </c>
      <c r="AL229" s="186" t="n">
        <v>0</v>
      </c>
      <c r="AM229" s="30" t="inlineStr">
        <is>
          <t>.</t>
        </is>
      </c>
      <c r="AN229" s="187">
        <f>IF(L229=0,0,Z229/L229)</f>
        <v/>
      </c>
      <c r="AO229" s="57">
        <f>IF(AN229&gt;=1,"🟢",IF(AN229&gt;=0.7,"🟡",IF(AN229&gt;=0.4,"🟠","🔴")))</f>
        <v/>
      </c>
      <c r="AP229" s="185">
        <f>L229-Z229</f>
        <v/>
      </c>
      <c r="AQ229" s="55">
        <f>RANK(Z229,$Z$4:$Z$503,0)</f>
        <v/>
      </c>
      <c r="AR229" s="39" t="inlineStr">
        <is>
          <t>.</t>
        </is>
      </c>
      <c r="AS229" s="27" t="n"/>
      <c r="AT229" s="27" t="n"/>
      <c r="AU229" s="27" t="n"/>
      <c r="AV229" s="27" t="n"/>
      <c r="AW229" s="27" t="n"/>
      <c r="AX229" s="27" t="n"/>
      <c r="AY229" s="204" t="n"/>
      <c r="AZ229" s="204" t="n"/>
      <c r="BA229" s="38" t="inlineStr">
        <is>
          <t>.</t>
        </is>
      </c>
      <c r="BB229" s="190">
        <f>SUM(BC229:BN229)</f>
        <v/>
      </c>
      <c r="BC229" s="191">
        <f>L229*0.0702730030</f>
        <v/>
      </c>
      <c r="BD229" s="191">
        <f>L229*0.0734327604</f>
        <v/>
      </c>
      <c r="BE229" s="191">
        <f>L229*0.0752022245</f>
        <v/>
      </c>
      <c r="BF229" s="191">
        <f>L229*0.0771612740</f>
        <v/>
      </c>
      <c r="BG229" s="191">
        <f>L229*0.0796890799</f>
        <v/>
      </c>
      <c r="BH229" s="191">
        <f>L229*0.0817745197</f>
        <v/>
      </c>
      <c r="BI229" s="191">
        <f>L229*0.0849342770</f>
        <v/>
      </c>
      <c r="BJ229" s="191">
        <f>L229*0.0870197169</f>
        <v/>
      </c>
      <c r="BK229" s="191">
        <f>L229*0.0889787664</f>
        <v/>
      </c>
      <c r="BL229" s="191">
        <f>L229*0.0911905966</f>
        <v/>
      </c>
      <c r="BM229" s="191">
        <f>L229*0.0935920121</f>
        <v/>
      </c>
      <c r="BN229" s="192">
        <f>L229*0.0967517695</f>
        <v/>
      </c>
      <c r="BO229" s="36" t="inlineStr">
        <is>
          <t>.</t>
        </is>
      </c>
      <c r="BP229" s="193">
        <f>SUM(BQ229:CB229)</f>
        <v/>
      </c>
      <c r="BQ229" s="191">
        <f>MAX(0,BC229-AA229)</f>
        <v/>
      </c>
      <c r="BR229" s="191">
        <f>MAX(0,BD229-AB229)</f>
        <v/>
      </c>
      <c r="BS229" s="191">
        <f>MAX(0,BE229-AC229)</f>
        <v/>
      </c>
      <c r="BT229" s="191">
        <f>MAX(0,BF229-AD229)</f>
        <v/>
      </c>
      <c r="BU229" s="191">
        <f>MAX(0,BG229-AE229)</f>
        <v/>
      </c>
      <c r="BV229" s="191">
        <f>MAX(0,BH229-AF229)</f>
        <v/>
      </c>
      <c r="BW229" s="191">
        <f>MAX(0,BI229-AG229)</f>
        <v/>
      </c>
      <c r="BX229" s="191">
        <f>MAX(0,BJ229-AH229)</f>
        <v/>
      </c>
      <c r="BY229" s="191">
        <f>MAX(0,BK229-AI229)</f>
        <v/>
      </c>
      <c r="BZ229" s="191">
        <f>MAX(0,BL229-AJ229)</f>
        <v/>
      </c>
      <c r="CA229" s="191">
        <f>MAX(0,BM229-AK229)</f>
        <v/>
      </c>
      <c r="CB229" s="192">
        <f>MAX(0,BN229-AL229)</f>
        <v/>
      </c>
    </row>
    <row r="230">
      <c r="A230" s="64" t="inlineStr">
        <is>
          <t>39579910000106</t>
        </is>
      </c>
      <c r="B230" s="57" t="inlineStr">
        <is>
          <t>QUIOSQUE DA NUTRI LTDA - ME</t>
        </is>
      </c>
      <c r="C230" s="57" t="inlineStr">
        <is>
          <t>SEM GRUPO</t>
        </is>
      </c>
      <c r="D230" s="61" t="inlineStr">
        <is>
          <t>HEMANUELE DITZEL (MANU)</t>
        </is>
      </c>
      <c r="E230" s="30" t="inlineStr">
        <is>
          <t>.</t>
        </is>
      </c>
      <c r="F230" s="63" t="inlineStr"/>
      <c r="G230" s="179" t="inlineStr"/>
      <c r="H230" s="57" t="inlineStr"/>
      <c r="I230" s="57" t="inlineStr"/>
      <c r="J230" s="61" t="inlineStr"/>
      <c r="K230" s="30" t="inlineStr">
        <is>
          <t>.</t>
        </is>
      </c>
      <c r="L230" s="180" t="n">
        <v>5128.400000000001</v>
      </c>
      <c r="M230" s="181" t="n">
        <v>360.39</v>
      </c>
      <c r="N230" s="181" t="n">
        <v>376.59</v>
      </c>
      <c r="O230" s="181" t="n">
        <v>385.67</v>
      </c>
      <c r="P230" s="181" t="n">
        <v>395.71</v>
      </c>
      <c r="Q230" s="181" t="n">
        <v>408.68</v>
      </c>
      <c r="R230" s="181" t="n">
        <v>419.37</v>
      </c>
      <c r="S230" s="181" t="n">
        <v>435.58</v>
      </c>
      <c r="T230" s="181" t="n">
        <v>446.27</v>
      </c>
      <c r="U230" s="181" t="n">
        <v>456.32</v>
      </c>
      <c r="V230" s="181" t="n">
        <v>467.66</v>
      </c>
      <c r="W230" s="181" t="n">
        <v>479.98</v>
      </c>
      <c r="X230" s="182" t="n">
        <v>496.18</v>
      </c>
      <c r="Y230" s="183" t="inlineStr">
        <is>
          <t>.</t>
        </is>
      </c>
      <c r="Z230" s="184">
        <f>SUM(AA230:AL230)</f>
        <v/>
      </c>
      <c r="AA230" s="185" t="n">
        <v>0</v>
      </c>
      <c r="AB230" s="185" t="n">
        <v>2716.68</v>
      </c>
      <c r="AC230" s="185" t="n">
        <v>0</v>
      </c>
      <c r="AD230" s="185" t="n">
        <v>0</v>
      </c>
      <c r="AE230" s="185" t="n">
        <v>0</v>
      </c>
      <c r="AF230" s="185" t="n">
        <v>0</v>
      </c>
      <c r="AG230" s="185" t="n">
        <v>0</v>
      </c>
      <c r="AH230" s="185" t="n">
        <v>1022.22</v>
      </c>
      <c r="AI230" s="185" t="n">
        <v>0</v>
      </c>
      <c r="AJ230" s="185" t="n">
        <v>0</v>
      </c>
      <c r="AK230" s="185" t="n">
        <v>0</v>
      </c>
      <c r="AL230" s="186" t="n">
        <v>0</v>
      </c>
      <c r="AM230" s="30" t="inlineStr">
        <is>
          <t>.</t>
        </is>
      </c>
      <c r="AN230" s="187">
        <f>IF(L230=0,0,Z230/L230)</f>
        <v/>
      </c>
      <c r="AO230" s="57">
        <f>IF(AN230&gt;=1,"🟢",IF(AN230&gt;=0.7,"🟡",IF(AN230&gt;=0.4,"🟠","🔴")))</f>
        <v/>
      </c>
      <c r="AP230" s="185">
        <f>L230-Z230</f>
        <v/>
      </c>
      <c r="AQ230" s="55">
        <f>RANK(Z230,$Z$4:$Z$503,0)</f>
        <v/>
      </c>
      <c r="AR230" s="39" t="inlineStr">
        <is>
          <t>.</t>
        </is>
      </c>
      <c r="AS230" s="27" t="n"/>
      <c r="AT230" s="27" t="n"/>
      <c r="AU230" s="27" t="n"/>
      <c r="AV230" s="27" t="n"/>
      <c r="AW230" s="27" t="n"/>
      <c r="AX230" s="27" t="n"/>
      <c r="AY230" s="204" t="n"/>
      <c r="AZ230" s="204" t="n"/>
      <c r="BA230" s="38" t="inlineStr">
        <is>
          <t>.</t>
        </is>
      </c>
      <c r="BB230" s="190">
        <f>SUM(BC230:BN230)</f>
        <v/>
      </c>
      <c r="BC230" s="191">
        <f>L230*0.0702730030</f>
        <v/>
      </c>
      <c r="BD230" s="191">
        <f>L230*0.0734327604</f>
        <v/>
      </c>
      <c r="BE230" s="191">
        <f>L230*0.0752022245</f>
        <v/>
      </c>
      <c r="BF230" s="191">
        <f>L230*0.0771612740</f>
        <v/>
      </c>
      <c r="BG230" s="191">
        <f>L230*0.0796890799</f>
        <v/>
      </c>
      <c r="BH230" s="191">
        <f>L230*0.0817745197</f>
        <v/>
      </c>
      <c r="BI230" s="191">
        <f>L230*0.0849342770</f>
        <v/>
      </c>
      <c r="BJ230" s="191">
        <f>L230*0.0870197169</f>
        <v/>
      </c>
      <c r="BK230" s="191">
        <f>L230*0.0889787664</f>
        <v/>
      </c>
      <c r="BL230" s="191">
        <f>L230*0.0911905966</f>
        <v/>
      </c>
      <c r="BM230" s="191">
        <f>L230*0.0935920121</f>
        <v/>
      </c>
      <c r="BN230" s="192">
        <f>L230*0.0967517695</f>
        <v/>
      </c>
      <c r="BO230" s="36" t="inlineStr">
        <is>
          <t>.</t>
        </is>
      </c>
      <c r="BP230" s="193">
        <f>SUM(BQ230:CB230)</f>
        <v/>
      </c>
      <c r="BQ230" s="191">
        <f>MAX(0,BC230-AA230)</f>
        <v/>
      </c>
      <c r="BR230" s="191">
        <f>MAX(0,BD230-AB230)</f>
        <v/>
      </c>
      <c r="BS230" s="191">
        <f>MAX(0,BE230-AC230)</f>
        <v/>
      </c>
      <c r="BT230" s="191">
        <f>MAX(0,BF230-AD230)</f>
        <v/>
      </c>
      <c r="BU230" s="191">
        <f>MAX(0,BG230-AE230)</f>
        <v/>
      </c>
      <c r="BV230" s="191">
        <f>MAX(0,BH230-AF230)</f>
        <v/>
      </c>
      <c r="BW230" s="191">
        <f>MAX(0,BI230-AG230)</f>
        <v/>
      </c>
      <c r="BX230" s="191">
        <f>MAX(0,BJ230-AH230)</f>
        <v/>
      </c>
      <c r="BY230" s="191">
        <f>MAX(0,BK230-AI230)</f>
        <v/>
      </c>
      <c r="BZ230" s="191">
        <f>MAX(0,BL230-AJ230)</f>
        <v/>
      </c>
      <c r="CA230" s="191">
        <f>MAX(0,BM230-AK230)</f>
        <v/>
      </c>
      <c r="CB230" s="192">
        <f>MAX(0,BN230-AL230)</f>
        <v/>
      </c>
    </row>
    <row r="231">
      <c r="A231" s="64" t="inlineStr">
        <is>
          <t>61771710000100</t>
        </is>
      </c>
      <c r="B231" s="57" t="inlineStr">
        <is>
          <t>RAIZES DA PROMESSA LTDA - ME</t>
        </is>
      </c>
      <c r="C231" s="57" t="inlineStr">
        <is>
          <t>SEM GRUPO</t>
        </is>
      </c>
      <c r="D231" s="61" t="inlineStr">
        <is>
          <t>LARISSA PADILHA</t>
        </is>
      </c>
      <c r="E231" s="30" t="inlineStr">
        <is>
          <t>.</t>
        </is>
      </c>
      <c r="F231" s="63" t="inlineStr"/>
      <c r="G231" s="179" t="inlineStr"/>
      <c r="H231" s="57" t="inlineStr"/>
      <c r="I231" s="57" t="inlineStr"/>
      <c r="J231" s="61" t="inlineStr"/>
      <c r="K231" s="30" t="inlineStr">
        <is>
          <t>.</t>
        </is>
      </c>
      <c r="L231" s="180" t="n">
        <v>5126.299999999999</v>
      </c>
      <c r="M231" s="181" t="n">
        <v>360.24</v>
      </c>
      <c r="N231" s="181" t="n">
        <v>376.44</v>
      </c>
      <c r="O231" s="181" t="n">
        <v>385.51</v>
      </c>
      <c r="P231" s="181" t="n">
        <v>395.55</v>
      </c>
      <c r="Q231" s="181" t="n">
        <v>408.51</v>
      </c>
      <c r="R231" s="181" t="n">
        <v>419.2</v>
      </c>
      <c r="S231" s="181" t="n">
        <v>435.4</v>
      </c>
      <c r="T231" s="181" t="n">
        <v>446.09</v>
      </c>
      <c r="U231" s="181" t="n">
        <v>456.13</v>
      </c>
      <c r="V231" s="181" t="n">
        <v>467.47</v>
      </c>
      <c r="W231" s="181" t="n">
        <v>479.78</v>
      </c>
      <c r="X231" s="182" t="n">
        <v>495.98</v>
      </c>
      <c r="Y231" s="183" t="inlineStr">
        <is>
          <t>.</t>
        </is>
      </c>
      <c r="Z231" s="184">
        <f>SUM(AA231:AL231)</f>
        <v/>
      </c>
      <c r="AA231" s="185" t="n">
        <v>0</v>
      </c>
      <c r="AB231" s="185" t="n">
        <v>0</v>
      </c>
      <c r="AC231" s="185" t="n">
        <v>0</v>
      </c>
      <c r="AD231" s="185" t="n">
        <v>0</v>
      </c>
      <c r="AE231" s="185" t="n">
        <v>0</v>
      </c>
      <c r="AF231" s="185" t="n">
        <v>0</v>
      </c>
      <c r="AG231" s="185" t="n">
        <v>0</v>
      </c>
      <c r="AH231" s="185" t="n">
        <v>0</v>
      </c>
      <c r="AI231" s="185" t="n">
        <v>0</v>
      </c>
      <c r="AJ231" s="185" t="n">
        <v>0</v>
      </c>
      <c r="AK231" s="185" t="n">
        <v>0</v>
      </c>
      <c r="AL231" s="186" t="n">
        <v>2259.33</v>
      </c>
      <c r="AM231" s="30" t="inlineStr">
        <is>
          <t>.</t>
        </is>
      </c>
      <c r="AN231" s="187">
        <f>IF(L231=0,0,Z231/L231)</f>
        <v/>
      </c>
      <c r="AO231" s="57">
        <f>IF(AN231&gt;=1,"🟢",IF(AN231&gt;=0.7,"🟡",IF(AN231&gt;=0.4,"🟠","🔴")))</f>
        <v/>
      </c>
      <c r="AP231" s="185">
        <f>L231-Z231</f>
        <v/>
      </c>
      <c r="AQ231" s="55">
        <f>RANK(Z231,$Z$4:$Z$503,0)</f>
        <v/>
      </c>
      <c r="AR231" s="39" t="inlineStr">
        <is>
          <t>.</t>
        </is>
      </c>
      <c r="AS231" s="27" t="n"/>
      <c r="AT231" s="27" t="n"/>
      <c r="AU231" s="27" t="n"/>
      <c r="AV231" s="27" t="n"/>
      <c r="AW231" s="27" t="n"/>
      <c r="AX231" s="27" t="n"/>
      <c r="AY231" s="204" t="n"/>
      <c r="AZ231" s="204" t="n"/>
      <c r="BA231" s="38" t="inlineStr">
        <is>
          <t>.</t>
        </is>
      </c>
      <c r="BB231" s="190">
        <f>SUM(BC231:BN231)</f>
        <v/>
      </c>
      <c r="BC231" s="191">
        <f>L231*0.0702730030</f>
        <v/>
      </c>
      <c r="BD231" s="191">
        <f>L231*0.0734327604</f>
        <v/>
      </c>
      <c r="BE231" s="191">
        <f>L231*0.0752022245</f>
        <v/>
      </c>
      <c r="BF231" s="191">
        <f>L231*0.0771612740</f>
        <v/>
      </c>
      <c r="BG231" s="191">
        <f>L231*0.0796890799</f>
        <v/>
      </c>
      <c r="BH231" s="191">
        <f>L231*0.0817745197</f>
        <v/>
      </c>
      <c r="BI231" s="191">
        <f>L231*0.0849342770</f>
        <v/>
      </c>
      <c r="BJ231" s="191">
        <f>L231*0.0870197169</f>
        <v/>
      </c>
      <c r="BK231" s="191">
        <f>L231*0.0889787664</f>
        <v/>
      </c>
      <c r="BL231" s="191">
        <f>L231*0.0911905966</f>
        <v/>
      </c>
      <c r="BM231" s="191">
        <f>L231*0.0935920121</f>
        <v/>
      </c>
      <c r="BN231" s="192">
        <f>L231*0.0967517695</f>
        <v/>
      </c>
      <c r="BO231" s="36" t="inlineStr">
        <is>
          <t>.</t>
        </is>
      </c>
      <c r="BP231" s="193">
        <f>SUM(BQ231:CB231)</f>
        <v/>
      </c>
      <c r="BQ231" s="191">
        <f>MAX(0,BC231-AA231)</f>
        <v/>
      </c>
      <c r="BR231" s="191">
        <f>MAX(0,BD231-AB231)</f>
        <v/>
      </c>
      <c r="BS231" s="191">
        <f>MAX(0,BE231-AC231)</f>
        <v/>
      </c>
      <c r="BT231" s="191">
        <f>MAX(0,BF231-AD231)</f>
        <v/>
      </c>
      <c r="BU231" s="191">
        <f>MAX(0,BG231-AE231)</f>
        <v/>
      </c>
      <c r="BV231" s="191">
        <f>MAX(0,BH231-AF231)</f>
        <v/>
      </c>
      <c r="BW231" s="191">
        <f>MAX(0,BI231-AG231)</f>
        <v/>
      </c>
      <c r="BX231" s="191">
        <f>MAX(0,BJ231-AH231)</f>
        <v/>
      </c>
      <c r="BY231" s="191">
        <f>MAX(0,BK231-AI231)</f>
        <v/>
      </c>
      <c r="BZ231" s="191">
        <f>MAX(0,BL231-AJ231)</f>
        <v/>
      </c>
      <c r="CA231" s="191">
        <f>MAX(0,BM231-AK231)</f>
        <v/>
      </c>
      <c r="CB231" s="192">
        <f>MAX(0,BN231-AL231)</f>
        <v/>
      </c>
    </row>
    <row r="232">
      <c r="A232" s="64" t="inlineStr">
        <is>
          <t>62351082000176</t>
        </is>
      </c>
      <c r="B232" s="57" t="inlineStr">
        <is>
          <t>62.351.082 JOANA BATISTA DOS SANTOSAMORI</t>
        </is>
      </c>
      <c r="C232" s="57" t="inlineStr">
        <is>
          <t>SEM GRUPO</t>
        </is>
      </c>
      <c r="D232" s="61" t="inlineStr">
        <is>
          <t>LARISSA PADILHA</t>
        </is>
      </c>
      <c r="E232" s="30" t="inlineStr">
        <is>
          <t>.</t>
        </is>
      </c>
      <c r="F232" s="63" t="inlineStr"/>
      <c r="G232" s="179" t="inlineStr"/>
      <c r="H232" s="57" t="inlineStr"/>
      <c r="I232" s="57" t="inlineStr"/>
      <c r="J232" s="61" t="inlineStr"/>
      <c r="K232" s="30" t="inlineStr">
        <is>
          <t>.</t>
        </is>
      </c>
      <c r="L232" s="180" t="n">
        <v>5089.110000000001</v>
      </c>
      <c r="M232" s="181" t="n">
        <v>357.63</v>
      </c>
      <c r="N232" s="181" t="n">
        <v>373.71</v>
      </c>
      <c r="O232" s="181" t="n">
        <v>382.71</v>
      </c>
      <c r="P232" s="181" t="n">
        <v>392.68</v>
      </c>
      <c r="Q232" s="181" t="n">
        <v>405.55</v>
      </c>
      <c r="R232" s="181" t="n">
        <v>416.16</v>
      </c>
      <c r="S232" s="181" t="n">
        <v>432.24</v>
      </c>
      <c r="T232" s="181" t="n">
        <v>442.85</v>
      </c>
      <c r="U232" s="181" t="n">
        <v>452.82</v>
      </c>
      <c r="V232" s="181" t="n">
        <v>464.08</v>
      </c>
      <c r="W232" s="181" t="n">
        <v>476.3</v>
      </c>
      <c r="X232" s="182" t="n">
        <v>492.38</v>
      </c>
      <c r="Y232" s="183" t="inlineStr">
        <is>
          <t>.</t>
        </is>
      </c>
      <c r="Z232" s="184">
        <f>SUM(AA232:AL232)</f>
        <v/>
      </c>
      <c r="AA232" s="185" t="n">
        <v>0</v>
      </c>
      <c r="AB232" s="185" t="n">
        <v>0</v>
      </c>
      <c r="AC232" s="185" t="n">
        <v>0</v>
      </c>
      <c r="AD232" s="185" t="n">
        <v>0</v>
      </c>
      <c r="AE232" s="185" t="n">
        <v>0</v>
      </c>
      <c r="AF232" s="185" t="n">
        <v>0</v>
      </c>
      <c r="AG232" s="185" t="n">
        <v>0</v>
      </c>
      <c r="AH232" s="185" t="n">
        <v>0</v>
      </c>
      <c r="AI232" s="185" t="n">
        <v>0</v>
      </c>
      <c r="AJ232" s="185" t="n">
        <v>2895.01</v>
      </c>
      <c r="AK232" s="185" t="n">
        <v>0</v>
      </c>
      <c r="AL232" s="186" t="n">
        <v>0</v>
      </c>
      <c r="AM232" s="30" t="inlineStr">
        <is>
          <t>.</t>
        </is>
      </c>
      <c r="AN232" s="187">
        <f>IF(L232=0,0,Z232/L232)</f>
        <v/>
      </c>
      <c r="AO232" s="57">
        <f>IF(AN232&gt;=1,"🟢",IF(AN232&gt;=0.7,"🟡",IF(AN232&gt;=0.4,"🟠","🔴")))</f>
        <v/>
      </c>
      <c r="AP232" s="185">
        <f>L232-Z232</f>
        <v/>
      </c>
      <c r="AQ232" s="55">
        <f>RANK(Z232,$Z$4:$Z$503,0)</f>
        <v/>
      </c>
      <c r="AR232" s="39" t="inlineStr">
        <is>
          <t>.</t>
        </is>
      </c>
      <c r="AS232" s="27" t="n"/>
      <c r="AT232" s="27" t="n"/>
      <c r="AU232" s="27" t="n"/>
      <c r="AV232" s="27" t="n"/>
      <c r="AW232" s="27" t="n"/>
      <c r="AX232" s="27" t="n"/>
      <c r="AY232" s="204" t="n"/>
      <c r="AZ232" s="204" t="n"/>
      <c r="BA232" s="38" t="inlineStr">
        <is>
          <t>.</t>
        </is>
      </c>
      <c r="BB232" s="190">
        <f>SUM(BC232:BN232)</f>
        <v/>
      </c>
      <c r="BC232" s="191">
        <f>L232*0.0702730030</f>
        <v/>
      </c>
      <c r="BD232" s="191">
        <f>L232*0.0734327604</f>
        <v/>
      </c>
      <c r="BE232" s="191">
        <f>L232*0.0752022245</f>
        <v/>
      </c>
      <c r="BF232" s="191">
        <f>L232*0.0771612740</f>
        <v/>
      </c>
      <c r="BG232" s="191">
        <f>L232*0.0796890799</f>
        <v/>
      </c>
      <c r="BH232" s="191">
        <f>L232*0.0817745197</f>
        <v/>
      </c>
      <c r="BI232" s="191">
        <f>L232*0.0849342770</f>
        <v/>
      </c>
      <c r="BJ232" s="191">
        <f>L232*0.0870197169</f>
        <v/>
      </c>
      <c r="BK232" s="191">
        <f>L232*0.0889787664</f>
        <v/>
      </c>
      <c r="BL232" s="191">
        <f>L232*0.0911905966</f>
        <v/>
      </c>
      <c r="BM232" s="191">
        <f>L232*0.0935920121</f>
        <v/>
      </c>
      <c r="BN232" s="192">
        <f>L232*0.0967517695</f>
        <v/>
      </c>
      <c r="BO232" s="36" t="inlineStr">
        <is>
          <t>.</t>
        </is>
      </c>
      <c r="BP232" s="193">
        <f>SUM(BQ232:CB232)</f>
        <v/>
      </c>
      <c r="BQ232" s="191">
        <f>MAX(0,BC232-AA232)</f>
        <v/>
      </c>
      <c r="BR232" s="191">
        <f>MAX(0,BD232-AB232)</f>
        <v/>
      </c>
      <c r="BS232" s="191">
        <f>MAX(0,BE232-AC232)</f>
        <v/>
      </c>
      <c r="BT232" s="191">
        <f>MAX(0,BF232-AD232)</f>
        <v/>
      </c>
      <c r="BU232" s="191">
        <f>MAX(0,BG232-AE232)</f>
        <v/>
      </c>
      <c r="BV232" s="191">
        <f>MAX(0,BH232-AF232)</f>
        <v/>
      </c>
      <c r="BW232" s="191">
        <f>MAX(0,BI232-AG232)</f>
        <v/>
      </c>
      <c r="BX232" s="191">
        <f>MAX(0,BJ232-AH232)</f>
        <v/>
      </c>
      <c r="BY232" s="191">
        <f>MAX(0,BK232-AI232)</f>
        <v/>
      </c>
      <c r="BZ232" s="191">
        <f>MAX(0,BL232-AJ232)</f>
        <v/>
      </c>
      <c r="CA232" s="191">
        <f>MAX(0,BM232-AK232)</f>
        <v/>
      </c>
      <c r="CB232" s="192">
        <f>MAX(0,BN232-AL232)</f>
        <v/>
      </c>
    </row>
    <row r="233">
      <c r="A233" s="64" t="inlineStr">
        <is>
          <t>06938837000162</t>
        </is>
      </c>
      <c r="B233" s="57" t="inlineStr">
        <is>
          <t>SJ INDUSTRIA DA PANIFICACAO LTDA - EPP</t>
        </is>
      </c>
      <c r="C233" s="57" t="inlineStr">
        <is>
          <t>SEM GRUPO</t>
        </is>
      </c>
      <c r="D233" s="61" t="inlineStr">
        <is>
          <t>HEMANUELE DITZEL (MANU)</t>
        </is>
      </c>
      <c r="E233" s="30" t="inlineStr">
        <is>
          <t>.</t>
        </is>
      </c>
      <c r="F233" s="63" t="inlineStr"/>
      <c r="G233" s="179" t="inlineStr"/>
      <c r="H233" s="57" t="inlineStr"/>
      <c r="I233" s="57" t="inlineStr"/>
      <c r="J233" s="61" t="inlineStr"/>
      <c r="K233" s="30" t="inlineStr">
        <is>
          <t>.</t>
        </is>
      </c>
      <c r="L233" s="180" t="n">
        <v>5058.01</v>
      </c>
      <c r="M233" s="181" t="n">
        <v>355.44</v>
      </c>
      <c r="N233" s="181" t="n">
        <v>371.42</v>
      </c>
      <c r="O233" s="181" t="n">
        <v>380.37</v>
      </c>
      <c r="P233" s="181" t="n">
        <v>390.28</v>
      </c>
      <c r="Q233" s="181" t="n">
        <v>403.07</v>
      </c>
      <c r="R233" s="181" t="n">
        <v>413.62</v>
      </c>
      <c r="S233" s="181" t="n">
        <v>429.6</v>
      </c>
      <c r="T233" s="181" t="n">
        <v>440.15</v>
      </c>
      <c r="U233" s="181" t="n">
        <v>450.06</v>
      </c>
      <c r="V233" s="181" t="n">
        <v>461.24</v>
      </c>
      <c r="W233" s="181" t="n">
        <v>473.39</v>
      </c>
      <c r="X233" s="182" t="n">
        <v>489.37</v>
      </c>
      <c r="Y233" s="183" t="inlineStr">
        <is>
          <t>.</t>
        </is>
      </c>
      <c r="Z233" s="184">
        <f>SUM(AA233:AL233)</f>
        <v/>
      </c>
      <c r="AA233" s="185" t="n">
        <v>0</v>
      </c>
      <c r="AB233" s="185" t="n">
        <v>0</v>
      </c>
      <c r="AC233" s="185" t="n">
        <v>0</v>
      </c>
      <c r="AD233" s="185" t="n">
        <v>0</v>
      </c>
      <c r="AE233" s="185" t="n">
        <v>2082.51</v>
      </c>
      <c r="AF233" s="185" t="n">
        <v>0</v>
      </c>
      <c r="AG233" s="185" t="n">
        <v>0</v>
      </c>
      <c r="AH233" s="185" t="n">
        <v>0</v>
      </c>
      <c r="AI233" s="185" t="n">
        <v>0</v>
      </c>
      <c r="AJ233" s="185" t="n">
        <v>0</v>
      </c>
      <c r="AK233" s="185" t="n">
        <v>0</v>
      </c>
      <c r="AL233" s="186" t="n">
        <v>0</v>
      </c>
      <c r="AM233" s="30" t="inlineStr">
        <is>
          <t>.</t>
        </is>
      </c>
      <c r="AN233" s="187">
        <f>IF(L233=0,0,Z233/L233)</f>
        <v/>
      </c>
      <c r="AO233" s="57">
        <f>IF(AN233&gt;=1,"🟢",IF(AN233&gt;=0.7,"🟡",IF(AN233&gt;=0.4,"🟠","🔴")))</f>
        <v/>
      </c>
      <c r="AP233" s="185">
        <f>L233-Z233</f>
        <v/>
      </c>
      <c r="AQ233" s="55">
        <f>RANK(Z233,$Z$4:$Z$503,0)</f>
        <v/>
      </c>
      <c r="AR233" s="39" t="inlineStr">
        <is>
          <t>.</t>
        </is>
      </c>
      <c r="AS233" s="27" t="n"/>
      <c r="AT233" s="27" t="n"/>
      <c r="AU233" s="27" t="n"/>
      <c r="AV233" s="27" t="n"/>
      <c r="AW233" s="27" t="n"/>
      <c r="AX233" s="27" t="n"/>
      <c r="AY233" s="204" t="n"/>
      <c r="AZ233" s="204" t="n"/>
      <c r="BA233" s="38" t="inlineStr">
        <is>
          <t>.</t>
        </is>
      </c>
      <c r="BB233" s="190">
        <f>SUM(BC233:BN233)</f>
        <v/>
      </c>
      <c r="BC233" s="191">
        <f>L233*0.0702730030</f>
        <v/>
      </c>
      <c r="BD233" s="191">
        <f>L233*0.0734327604</f>
        <v/>
      </c>
      <c r="BE233" s="191">
        <f>L233*0.0752022245</f>
        <v/>
      </c>
      <c r="BF233" s="191">
        <f>L233*0.0771612740</f>
        <v/>
      </c>
      <c r="BG233" s="191">
        <f>L233*0.0796890799</f>
        <v/>
      </c>
      <c r="BH233" s="191">
        <f>L233*0.0817745197</f>
        <v/>
      </c>
      <c r="BI233" s="191">
        <f>L233*0.0849342770</f>
        <v/>
      </c>
      <c r="BJ233" s="191">
        <f>L233*0.0870197169</f>
        <v/>
      </c>
      <c r="BK233" s="191">
        <f>L233*0.0889787664</f>
        <v/>
      </c>
      <c r="BL233" s="191">
        <f>L233*0.0911905966</f>
        <v/>
      </c>
      <c r="BM233" s="191">
        <f>L233*0.0935920121</f>
        <v/>
      </c>
      <c r="BN233" s="192">
        <f>L233*0.0967517695</f>
        <v/>
      </c>
      <c r="BO233" s="36" t="inlineStr">
        <is>
          <t>.</t>
        </is>
      </c>
      <c r="BP233" s="193">
        <f>SUM(BQ233:CB233)</f>
        <v/>
      </c>
      <c r="BQ233" s="191">
        <f>MAX(0,BC233-AA233)</f>
        <v/>
      </c>
      <c r="BR233" s="191">
        <f>MAX(0,BD233-AB233)</f>
        <v/>
      </c>
      <c r="BS233" s="191">
        <f>MAX(0,BE233-AC233)</f>
        <v/>
      </c>
      <c r="BT233" s="191">
        <f>MAX(0,BF233-AD233)</f>
        <v/>
      </c>
      <c r="BU233" s="191">
        <f>MAX(0,BG233-AE233)</f>
        <v/>
      </c>
      <c r="BV233" s="191">
        <f>MAX(0,BH233-AF233)</f>
        <v/>
      </c>
      <c r="BW233" s="191">
        <f>MAX(0,BI233-AG233)</f>
        <v/>
      </c>
      <c r="BX233" s="191">
        <f>MAX(0,BJ233-AH233)</f>
        <v/>
      </c>
      <c r="BY233" s="191">
        <f>MAX(0,BK233-AI233)</f>
        <v/>
      </c>
      <c r="BZ233" s="191">
        <f>MAX(0,BL233-AJ233)</f>
        <v/>
      </c>
      <c r="CA233" s="191">
        <f>MAX(0,BM233-AK233)</f>
        <v/>
      </c>
      <c r="CB233" s="192">
        <f>MAX(0,BN233-AL233)</f>
        <v/>
      </c>
    </row>
    <row r="234">
      <c r="A234" s="64" t="inlineStr">
        <is>
          <t>46796336000103</t>
        </is>
      </c>
      <c r="B234" s="57" t="inlineStr">
        <is>
          <t>CENTRO DE EMAGRECIMENTO E SAUDE JUIZ DE</t>
        </is>
      </c>
      <c r="C234" s="57" t="inlineStr">
        <is>
          <t>SEM GRUPO</t>
        </is>
      </c>
      <c r="D234" s="61" t="inlineStr">
        <is>
          <t>LARISSA PADILHA</t>
        </is>
      </c>
      <c r="E234" s="30" t="inlineStr">
        <is>
          <t>.</t>
        </is>
      </c>
      <c r="F234" s="63" t="inlineStr"/>
      <c r="G234" s="179" t="inlineStr"/>
      <c r="H234" s="57" t="inlineStr"/>
      <c r="I234" s="57" t="inlineStr"/>
      <c r="J234" s="61" t="inlineStr"/>
      <c r="K234" s="30" t="inlineStr">
        <is>
          <t>.</t>
        </is>
      </c>
      <c r="L234" s="180" t="n">
        <v>5053.749999999999</v>
      </c>
      <c r="M234" s="181" t="n">
        <v>355.14</v>
      </c>
      <c r="N234" s="181" t="n">
        <v>371.11</v>
      </c>
      <c r="O234" s="181" t="n">
        <v>380.05</v>
      </c>
      <c r="P234" s="181" t="n">
        <v>389.95</v>
      </c>
      <c r="Q234" s="181" t="n">
        <v>402.73</v>
      </c>
      <c r="R234" s="181" t="n">
        <v>413.27</v>
      </c>
      <c r="S234" s="181" t="n">
        <v>429.24</v>
      </c>
      <c r="T234" s="181" t="n">
        <v>439.78</v>
      </c>
      <c r="U234" s="181" t="n">
        <v>449.68</v>
      </c>
      <c r="V234" s="181" t="n">
        <v>460.85</v>
      </c>
      <c r="W234" s="181" t="n">
        <v>472.99</v>
      </c>
      <c r="X234" s="182" t="n">
        <v>488.96</v>
      </c>
      <c r="Y234" s="183" t="inlineStr">
        <is>
          <t>.</t>
        </is>
      </c>
      <c r="Z234" s="184">
        <f>SUM(AA234:AL234)</f>
        <v/>
      </c>
      <c r="AA234" s="185" t="n">
        <v>0</v>
      </c>
      <c r="AB234" s="185" t="n">
        <v>0</v>
      </c>
      <c r="AC234" s="185" t="n">
        <v>0</v>
      </c>
      <c r="AD234" s="185" t="n">
        <v>0</v>
      </c>
      <c r="AE234" s="185" t="n">
        <v>0</v>
      </c>
      <c r="AF234" s="185" t="n">
        <v>2029.47</v>
      </c>
      <c r="AG234" s="185" t="n">
        <v>0</v>
      </c>
      <c r="AH234" s="185" t="n">
        <v>0</v>
      </c>
      <c r="AI234" s="185" t="n">
        <v>0</v>
      </c>
      <c r="AJ234" s="185" t="n">
        <v>0</v>
      </c>
      <c r="AK234" s="185" t="n">
        <v>0</v>
      </c>
      <c r="AL234" s="186" t="n">
        <v>0</v>
      </c>
      <c r="AM234" s="30" t="inlineStr">
        <is>
          <t>.</t>
        </is>
      </c>
      <c r="AN234" s="187">
        <f>IF(L234=0,0,Z234/L234)</f>
        <v/>
      </c>
      <c r="AO234" s="57">
        <f>IF(AN234&gt;=1,"🟢",IF(AN234&gt;=0.7,"🟡",IF(AN234&gt;=0.4,"🟠","🔴")))</f>
        <v/>
      </c>
      <c r="AP234" s="185">
        <f>L234-Z234</f>
        <v/>
      </c>
      <c r="AQ234" s="55">
        <f>RANK(Z234,$Z$4:$Z$503,0)</f>
        <v/>
      </c>
      <c r="AR234" s="39" t="inlineStr">
        <is>
          <t>.</t>
        </is>
      </c>
      <c r="AS234" s="27" t="n"/>
      <c r="AT234" s="27" t="n"/>
      <c r="AU234" s="27" t="n"/>
      <c r="AV234" s="27" t="n"/>
      <c r="AW234" s="27" t="n"/>
      <c r="AX234" s="27" t="n"/>
      <c r="AY234" s="204" t="n"/>
      <c r="AZ234" s="204" t="n"/>
      <c r="BA234" s="38" t="inlineStr">
        <is>
          <t>.</t>
        </is>
      </c>
      <c r="BB234" s="190">
        <f>SUM(BC234:BN234)</f>
        <v/>
      </c>
      <c r="BC234" s="191">
        <f>L234*0.0702730030</f>
        <v/>
      </c>
      <c r="BD234" s="191">
        <f>L234*0.0734327604</f>
        <v/>
      </c>
      <c r="BE234" s="191">
        <f>L234*0.0752022245</f>
        <v/>
      </c>
      <c r="BF234" s="191">
        <f>L234*0.0771612740</f>
        <v/>
      </c>
      <c r="BG234" s="191">
        <f>L234*0.0796890799</f>
        <v/>
      </c>
      <c r="BH234" s="191">
        <f>L234*0.0817745197</f>
        <v/>
      </c>
      <c r="BI234" s="191">
        <f>L234*0.0849342770</f>
        <v/>
      </c>
      <c r="BJ234" s="191">
        <f>L234*0.0870197169</f>
        <v/>
      </c>
      <c r="BK234" s="191">
        <f>L234*0.0889787664</f>
        <v/>
      </c>
      <c r="BL234" s="191">
        <f>L234*0.0911905966</f>
        <v/>
      </c>
      <c r="BM234" s="191">
        <f>L234*0.0935920121</f>
        <v/>
      </c>
      <c r="BN234" s="192">
        <f>L234*0.0967517695</f>
        <v/>
      </c>
      <c r="BO234" s="36" t="inlineStr">
        <is>
          <t>.</t>
        </is>
      </c>
      <c r="BP234" s="193">
        <f>SUM(BQ234:CB234)</f>
        <v/>
      </c>
      <c r="BQ234" s="191">
        <f>MAX(0,BC234-AA234)</f>
        <v/>
      </c>
      <c r="BR234" s="191">
        <f>MAX(0,BD234-AB234)</f>
        <v/>
      </c>
      <c r="BS234" s="191">
        <f>MAX(0,BE234-AC234)</f>
        <v/>
      </c>
      <c r="BT234" s="191">
        <f>MAX(0,BF234-AD234)</f>
        <v/>
      </c>
      <c r="BU234" s="191">
        <f>MAX(0,BG234-AE234)</f>
        <v/>
      </c>
      <c r="BV234" s="191">
        <f>MAX(0,BH234-AF234)</f>
        <v/>
      </c>
      <c r="BW234" s="191">
        <f>MAX(0,BI234-AG234)</f>
        <v/>
      </c>
      <c r="BX234" s="191">
        <f>MAX(0,BJ234-AH234)</f>
        <v/>
      </c>
      <c r="BY234" s="191">
        <f>MAX(0,BK234-AI234)</f>
        <v/>
      </c>
      <c r="BZ234" s="191">
        <f>MAX(0,BL234-AJ234)</f>
        <v/>
      </c>
      <c r="CA234" s="191">
        <f>MAX(0,BM234-AK234)</f>
        <v/>
      </c>
      <c r="CB234" s="192">
        <f>MAX(0,BN234-AL234)</f>
        <v/>
      </c>
    </row>
    <row r="235">
      <c r="A235" s="64" t="inlineStr">
        <is>
          <t>51938854000154</t>
        </is>
      </c>
      <c r="B235" s="57" t="inlineStr">
        <is>
          <t>G S DIAS LTDA - ME</t>
        </is>
      </c>
      <c r="C235" s="57" t="inlineStr">
        <is>
          <t>SEM GRUPO</t>
        </is>
      </c>
      <c r="D235" s="61" t="inlineStr">
        <is>
          <t>HEMANUELE DITZEL (MANU)</t>
        </is>
      </c>
      <c r="E235" s="30" t="inlineStr">
        <is>
          <t>.</t>
        </is>
      </c>
      <c r="F235" s="63" t="inlineStr"/>
      <c r="G235" s="179" t="inlineStr"/>
      <c r="H235" s="57" t="inlineStr"/>
      <c r="I235" s="57" t="inlineStr"/>
      <c r="J235" s="61" t="inlineStr"/>
      <c r="K235" s="30" t="inlineStr">
        <is>
          <t>.</t>
        </is>
      </c>
      <c r="L235" s="180" t="n">
        <v>5049.289999999999</v>
      </c>
      <c r="M235" s="181" t="n">
        <v>354.83</v>
      </c>
      <c r="N235" s="181" t="n">
        <v>370.78</v>
      </c>
      <c r="O235" s="181" t="n">
        <v>379.72</v>
      </c>
      <c r="P235" s="181" t="n">
        <v>389.61</v>
      </c>
      <c r="Q235" s="181" t="n">
        <v>402.37</v>
      </c>
      <c r="R235" s="181" t="n">
        <v>412.9</v>
      </c>
      <c r="S235" s="181" t="n">
        <v>428.86</v>
      </c>
      <c r="T235" s="181" t="n">
        <v>439.39</v>
      </c>
      <c r="U235" s="181" t="n">
        <v>449.28</v>
      </c>
      <c r="V235" s="181" t="n">
        <v>460.45</v>
      </c>
      <c r="W235" s="181" t="n">
        <v>472.57</v>
      </c>
      <c r="X235" s="182" t="n">
        <v>488.53</v>
      </c>
      <c r="Y235" s="183" t="inlineStr">
        <is>
          <t>.</t>
        </is>
      </c>
      <c r="Z235" s="184">
        <f>SUM(AA235:AL235)</f>
        <v/>
      </c>
      <c r="AA235" s="185" t="n">
        <v>0</v>
      </c>
      <c r="AB235" s="185" t="n">
        <v>0</v>
      </c>
      <c r="AC235" s="185" t="n">
        <v>0</v>
      </c>
      <c r="AD235" s="185" t="n">
        <v>0</v>
      </c>
      <c r="AE235" s="185" t="n">
        <v>0</v>
      </c>
      <c r="AF235" s="185" t="n">
        <v>0</v>
      </c>
      <c r="AG235" s="185" t="n">
        <v>0</v>
      </c>
      <c r="AH235" s="185" t="n">
        <v>0</v>
      </c>
      <c r="AI235" s="185" t="n">
        <v>0</v>
      </c>
      <c r="AJ235" s="185" t="n">
        <v>0</v>
      </c>
      <c r="AK235" s="185" t="n">
        <v>0</v>
      </c>
      <c r="AL235" s="186" t="n">
        <v>0</v>
      </c>
      <c r="AM235" s="30" t="inlineStr">
        <is>
          <t>.</t>
        </is>
      </c>
      <c r="AN235" s="187">
        <f>IF(L235=0,0,Z235/L235)</f>
        <v/>
      </c>
      <c r="AO235" s="57">
        <f>IF(AN235&gt;=1,"🟢",IF(AN235&gt;=0.7,"🟡",IF(AN235&gt;=0.4,"🟠","🔴")))</f>
        <v/>
      </c>
      <c r="AP235" s="185">
        <f>L235-Z235</f>
        <v/>
      </c>
      <c r="AQ235" s="55">
        <f>RANK(Z235,$Z$4:$Z$503,0)</f>
        <v/>
      </c>
      <c r="AR235" s="39" t="inlineStr">
        <is>
          <t>.</t>
        </is>
      </c>
      <c r="AS235" s="27" t="n"/>
      <c r="AT235" s="27" t="n"/>
      <c r="AU235" s="27" t="n"/>
      <c r="AV235" s="27" t="n"/>
      <c r="AW235" s="27" t="n"/>
      <c r="AX235" s="27" t="n"/>
      <c r="AY235" s="204" t="n"/>
      <c r="AZ235" s="204" t="n"/>
      <c r="BA235" s="38" t="inlineStr">
        <is>
          <t>.</t>
        </is>
      </c>
      <c r="BB235" s="190">
        <f>SUM(BC235:BN235)</f>
        <v/>
      </c>
      <c r="BC235" s="191">
        <f>L235*0.0702730030</f>
        <v/>
      </c>
      <c r="BD235" s="191">
        <f>L235*0.0734327604</f>
        <v/>
      </c>
      <c r="BE235" s="191">
        <f>L235*0.0752022245</f>
        <v/>
      </c>
      <c r="BF235" s="191">
        <f>L235*0.0771612740</f>
        <v/>
      </c>
      <c r="BG235" s="191">
        <f>L235*0.0796890799</f>
        <v/>
      </c>
      <c r="BH235" s="191">
        <f>L235*0.0817745197</f>
        <v/>
      </c>
      <c r="BI235" s="191">
        <f>L235*0.0849342770</f>
        <v/>
      </c>
      <c r="BJ235" s="191">
        <f>L235*0.0870197169</f>
        <v/>
      </c>
      <c r="BK235" s="191">
        <f>L235*0.0889787664</f>
        <v/>
      </c>
      <c r="BL235" s="191">
        <f>L235*0.0911905966</f>
        <v/>
      </c>
      <c r="BM235" s="191">
        <f>L235*0.0935920121</f>
        <v/>
      </c>
      <c r="BN235" s="192">
        <f>L235*0.0967517695</f>
        <v/>
      </c>
      <c r="BO235" s="36" t="inlineStr">
        <is>
          <t>.</t>
        </is>
      </c>
      <c r="BP235" s="193">
        <f>SUM(BQ235:CB235)</f>
        <v/>
      </c>
      <c r="BQ235" s="191">
        <f>MAX(0,BC235-AA235)</f>
        <v/>
      </c>
      <c r="BR235" s="191">
        <f>MAX(0,BD235-AB235)</f>
        <v/>
      </c>
      <c r="BS235" s="191">
        <f>MAX(0,BE235-AC235)</f>
        <v/>
      </c>
      <c r="BT235" s="191">
        <f>MAX(0,BF235-AD235)</f>
        <v/>
      </c>
      <c r="BU235" s="191">
        <f>MAX(0,BG235-AE235)</f>
        <v/>
      </c>
      <c r="BV235" s="191">
        <f>MAX(0,BH235-AF235)</f>
        <v/>
      </c>
      <c r="BW235" s="191">
        <f>MAX(0,BI235-AG235)</f>
        <v/>
      </c>
      <c r="BX235" s="191">
        <f>MAX(0,BJ235-AH235)</f>
        <v/>
      </c>
      <c r="BY235" s="191">
        <f>MAX(0,BK235-AI235)</f>
        <v/>
      </c>
      <c r="BZ235" s="191">
        <f>MAX(0,BL235-AJ235)</f>
        <v/>
      </c>
      <c r="CA235" s="191">
        <f>MAX(0,BM235-AK235)</f>
        <v/>
      </c>
      <c r="CB235" s="192">
        <f>MAX(0,BN235-AL235)</f>
        <v/>
      </c>
    </row>
    <row r="236">
      <c r="A236" s="64" t="inlineStr">
        <is>
          <t>76384908000108</t>
        </is>
      </c>
      <c r="B236" s="57" t="inlineStr">
        <is>
          <t>FARMACIA HOMEOPATICA AVILA LTDA - ME</t>
        </is>
      </c>
      <c r="C236" s="57" t="inlineStr">
        <is>
          <t>CIA DA SAUDE</t>
        </is>
      </c>
      <c r="D236" s="61" t="inlineStr">
        <is>
          <t>JULIO GADRET</t>
        </is>
      </c>
      <c r="E236" s="30" t="inlineStr">
        <is>
          <t>.</t>
        </is>
      </c>
      <c r="F236" s="63" t="n">
        <v>163</v>
      </c>
      <c r="G236" s="179" t="n">
        <v>0.026</v>
      </c>
      <c r="H236" s="57" t="inlineStr">
        <is>
          <t>🔴 VERMELHO</t>
        </is>
      </c>
      <c r="I236" s="57" t="inlineStr">
        <is>
          <t>ATIVAÇÃO</t>
        </is>
      </c>
      <c r="J236" s="61" t="inlineStr">
        <is>
          <t>Reativar inativos + Prospectar</t>
        </is>
      </c>
      <c r="K236" s="30" t="inlineStr">
        <is>
          <t>.</t>
        </is>
      </c>
      <c r="L236" s="180" t="n">
        <v>5034.28</v>
      </c>
      <c r="M236" s="181" t="n">
        <v>353.77</v>
      </c>
      <c r="N236" s="181" t="n">
        <v>369.68</v>
      </c>
      <c r="O236" s="181" t="n">
        <v>378.59</v>
      </c>
      <c r="P236" s="181" t="n">
        <v>388.45</v>
      </c>
      <c r="Q236" s="181" t="n">
        <v>401.18</v>
      </c>
      <c r="R236" s="181" t="n">
        <v>411.68</v>
      </c>
      <c r="S236" s="181" t="n">
        <v>427.58</v>
      </c>
      <c r="T236" s="181" t="n">
        <v>438.08</v>
      </c>
      <c r="U236" s="181" t="n">
        <v>447.94</v>
      </c>
      <c r="V236" s="181" t="n">
        <v>459.08</v>
      </c>
      <c r="W236" s="181" t="n">
        <v>471.17</v>
      </c>
      <c r="X236" s="182" t="n">
        <v>487.08</v>
      </c>
      <c r="Y236" s="183" t="inlineStr">
        <is>
          <t>.</t>
        </is>
      </c>
      <c r="Z236" s="184">
        <f>SUM(AA236:AL236)</f>
        <v/>
      </c>
      <c r="AA236" s="185" t="n">
        <v>0</v>
      </c>
      <c r="AB236" s="185" t="n">
        <v>0</v>
      </c>
      <c r="AC236" s="185" t="n">
        <v>0</v>
      </c>
      <c r="AD236" s="185" t="n">
        <v>0</v>
      </c>
      <c r="AE236" s="185" t="n">
        <v>0</v>
      </c>
      <c r="AF236" s="185" t="n">
        <v>0</v>
      </c>
      <c r="AG236" s="185" t="n">
        <v>0</v>
      </c>
      <c r="AH236" s="185" t="n">
        <v>0</v>
      </c>
      <c r="AI236" s="185" t="n">
        <v>736.8099999999999</v>
      </c>
      <c r="AJ236" s="185" t="n">
        <v>0</v>
      </c>
      <c r="AK236" s="185" t="n">
        <v>1817.71</v>
      </c>
      <c r="AL236" s="186" t="n">
        <v>0</v>
      </c>
      <c r="AM236" s="30" t="inlineStr">
        <is>
          <t>.</t>
        </is>
      </c>
      <c r="AN236" s="187">
        <f>IF(L236=0,0,Z236/L236)</f>
        <v/>
      </c>
      <c r="AO236" s="57">
        <f>IF(AN236&gt;=1,"🟢",IF(AN236&gt;=0.7,"🟡",IF(AN236&gt;=0.4,"🟠","🔴")))</f>
        <v/>
      </c>
      <c r="AP236" s="185">
        <f>L236-Z236</f>
        <v/>
      </c>
      <c r="AQ236" s="55">
        <f>RANK(Z236,$Z$4:$Z$503,0)</f>
        <v/>
      </c>
      <c r="AR236" s="39" t="inlineStr">
        <is>
          <t>.</t>
        </is>
      </c>
      <c r="AS236" s="27" t="n"/>
      <c r="AT236" s="27" t="n"/>
      <c r="AU236" s="27" t="n"/>
      <c r="AV236" s="27" t="n"/>
      <c r="AW236" s="27" t="n"/>
      <c r="AX236" s="27" t="n"/>
      <c r="AY236" s="204" t="n"/>
      <c r="AZ236" s="204" t="n"/>
      <c r="BA236" s="38" t="inlineStr">
        <is>
          <t>.</t>
        </is>
      </c>
      <c r="BB236" s="190">
        <f>SUM(BC236:BN236)</f>
        <v/>
      </c>
      <c r="BC236" s="191">
        <f>L236*0.0702730030</f>
        <v/>
      </c>
      <c r="BD236" s="191">
        <f>L236*0.0734327604</f>
        <v/>
      </c>
      <c r="BE236" s="191">
        <f>L236*0.0752022245</f>
        <v/>
      </c>
      <c r="BF236" s="191">
        <f>L236*0.0771612740</f>
        <v/>
      </c>
      <c r="BG236" s="191">
        <f>L236*0.0796890799</f>
        <v/>
      </c>
      <c r="BH236" s="191">
        <f>L236*0.0817745197</f>
        <v/>
      </c>
      <c r="BI236" s="191">
        <f>L236*0.0849342770</f>
        <v/>
      </c>
      <c r="BJ236" s="191">
        <f>L236*0.0870197169</f>
        <v/>
      </c>
      <c r="BK236" s="191">
        <f>L236*0.0889787664</f>
        <v/>
      </c>
      <c r="BL236" s="191">
        <f>L236*0.0911905966</f>
        <v/>
      </c>
      <c r="BM236" s="191">
        <f>L236*0.0935920121</f>
        <v/>
      </c>
      <c r="BN236" s="192">
        <f>L236*0.0967517695</f>
        <v/>
      </c>
      <c r="BO236" s="36" t="inlineStr">
        <is>
          <t>.</t>
        </is>
      </c>
      <c r="BP236" s="193">
        <f>SUM(BQ236:CB236)</f>
        <v/>
      </c>
      <c r="BQ236" s="191">
        <f>MAX(0,BC236-AA236)</f>
        <v/>
      </c>
      <c r="BR236" s="191">
        <f>MAX(0,BD236-AB236)</f>
        <v/>
      </c>
      <c r="BS236" s="191">
        <f>MAX(0,BE236-AC236)</f>
        <v/>
      </c>
      <c r="BT236" s="191">
        <f>MAX(0,BF236-AD236)</f>
        <v/>
      </c>
      <c r="BU236" s="191">
        <f>MAX(0,BG236-AE236)</f>
        <v/>
      </c>
      <c r="BV236" s="191">
        <f>MAX(0,BH236-AF236)</f>
        <v/>
      </c>
      <c r="BW236" s="191">
        <f>MAX(0,BI236-AG236)</f>
        <v/>
      </c>
      <c r="BX236" s="191">
        <f>MAX(0,BJ236-AH236)</f>
        <v/>
      </c>
      <c r="BY236" s="191">
        <f>MAX(0,BK236-AI236)</f>
        <v/>
      </c>
      <c r="BZ236" s="191">
        <f>MAX(0,BL236-AJ236)</f>
        <v/>
      </c>
      <c r="CA236" s="191">
        <f>MAX(0,BM236-AK236)</f>
        <v/>
      </c>
      <c r="CB236" s="192">
        <f>MAX(0,BN236-AL236)</f>
        <v/>
      </c>
    </row>
    <row r="237">
      <c r="A237" s="64" t="inlineStr">
        <is>
          <t>74552068000110</t>
        </is>
      </c>
      <c r="B237" s="57" t="inlineStr">
        <is>
          <t>CPQ BRASIL S/A - EM RECUPERACAO JUDICIAL</t>
        </is>
      </c>
      <c r="C237" s="57" t="inlineStr">
        <is>
          <t>SEM GRUPO</t>
        </is>
      </c>
      <c r="D237" s="61" t="inlineStr">
        <is>
          <t>LARISSA PADILHA</t>
        </is>
      </c>
      <c r="E237" s="30" t="inlineStr">
        <is>
          <t>.</t>
        </is>
      </c>
      <c r="F237" s="63" t="inlineStr"/>
      <c r="G237" s="179" t="inlineStr"/>
      <c r="H237" s="57" t="inlineStr"/>
      <c r="I237" s="57" t="inlineStr"/>
      <c r="J237" s="61" t="inlineStr"/>
      <c r="K237" s="30" t="inlineStr">
        <is>
          <t>.</t>
        </is>
      </c>
      <c r="L237" s="180" t="n">
        <v>5011.849999999999</v>
      </c>
      <c r="M237" s="181" t="n">
        <v>352.2</v>
      </c>
      <c r="N237" s="181" t="n">
        <v>368.03</v>
      </c>
      <c r="O237" s="181" t="n">
        <v>376.9</v>
      </c>
      <c r="P237" s="181" t="n">
        <v>386.72</v>
      </c>
      <c r="Q237" s="181" t="n">
        <v>399.39</v>
      </c>
      <c r="R237" s="181" t="n">
        <v>409.84</v>
      </c>
      <c r="S237" s="181" t="n">
        <v>425.68</v>
      </c>
      <c r="T237" s="181" t="n">
        <v>436.13</v>
      </c>
      <c r="U237" s="181" t="n">
        <v>445.95</v>
      </c>
      <c r="V237" s="181" t="n">
        <v>457.03</v>
      </c>
      <c r="W237" s="181" t="n">
        <v>469.07</v>
      </c>
      <c r="X237" s="182" t="n">
        <v>484.91</v>
      </c>
      <c r="Y237" s="183" t="inlineStr">
        <is>
          <t>.</t>
        </is>
      </c>
      <c r="Z237" s="184">
        <f>SUM(AA237:AL237)</f>
        <v/>
      </c>
      <c r="AA237" s="185" t="n">
        <v>0</v>
      </c>
      <c r="AB237" s="185" t="n">
        <v>0</v>
      </c>
      <c r="AC237" s="185" t="n">
        <v>0</v>
      </c>
      <c r="AD237" s="185" t="n">
        <v>0</v>
      </c>
      <c r="AE237" s="185" t="n">
        <v>0</v>
      </c>
      <c r="AF237" s="185" t="n">
        <v>0</v>
      </c>
      <c r="AG237" s="185" t="n">
        <v>0</v>
      </c>
      <c r="AH237" s="185" t="n">
        <v>0</v>
      </c>
      <c r="AI237" s="185" t="n">
        <v>0</v>
      </c>
      <c r="AJ237" s="185" t="n">
        <v>2851.04</v>
      </c>
      <c r="AK237" s="185" t="n">
        <v>0</v>
      </c>
      <c r="AL237" s="186" t="n">
        <v>0</v>
      </c>
      <c r="AM237" s="30" t="inlineStr">
        <is>
          <t>.</t>
        </is>
      </c>
      <c r="AN237" s="187">
        <f>IF(L237=0,0,Z237/L237)</f>
        <v/>
      </c>
      <c r="AO237" s="57">
        <f>IF(AN237&gt;=1,"🟢",IF(AN237&gt;=0.7,"🟡",IF(AN237&gt;=0.4,"🟠","🔴")))</f>
        <v/>
      </c>
      <c r="AP237" s="185">
        <f>L237-Z237</f>
        <v/>
      </c>
      <c r="AQ237" s="55">
        <f>RANK(Z237,$Z$4:$Z$503,0)</f>
        <v/>
      </c>
      <c r="AR237" s="39" t="inlineStr">
        <is>
          <t>.</t>
        </is>
      </c>
      <c r="AS237" s="27" t="n"/>
      <c r="AT237" s="27" t="n"/>
      <c r="AU237" s="27" t="n"/>
      <c r="AV237" s="27" t="n"/>
      <c r="AW237" s="27" t="n"/>
      <c r="AX237" s="27" t="n"/>
      <c r="AY237" s="204" t="n"/>
      <c r="AZ237" s="204" t="n"/>
      <c r="BA237" s="38" t="inlineStr">
        <is>
          <t>.</t>
        </is>
      </c>
      <c r="BB237" s="190">
        <f>SUM(BC237:BN237)</f>
        <v/>
      </c>
      <c r="BC237" s="191">
        <f>L237*0.0702730030</f>
        <v/>
      </c>
      <c r="BD237" s="191">
        <f>L237*0.0734327604</f>
        <v/>
      </c>
      <c r="BE237" s="191">
        <f>L237*0.0752022245</f>
        <v/>
      </c>
      <c r="BF237" s="191">
        <f>L237*0.0771612740</f>
        <v/>
      </c>
      <c r="BG237" s="191">
        <f>L237*0.0796890799</f>
        <v/>
      </c>
      <c r="BH237" s="191">
        <f>L237*0.0817745197</f>
        <v/>
      </c>
      <c r="BI237" s="191">
        <f>L237*0.0849342770</f>
        <v/>
      </c>
      <c r="BJ237" s="191">
        <f>L237*0.0870197169</f>
        <v/>
      </c>
      <c r="BK237" s="191">
        <f>L237*0.0889787664</f>
        <v/>
      </c>
      <c r="BL237" s="191">
        <f>L237*0.0911905966</f>
        <v/>
      </c>
      <c r="BM237" s="191">
        <f>L237*0.0935920121</f>
        <v/>
      </c>
      <c r="BN237" s="192">
        <f>L237*0.0967517695</f>
        <v/>
      </c>
      <c r="BO237" s="36" t="inlineStr">
        <is>
          <t>.</t>
        </is>
      </c>
      <c r="BP237" s="193">
        <f>SUM(BQ237:CB237)</f>
        <v/>
      </c>
      <c r="BQ237" s="191">
        <f>MAX(0,BC237-AA237)</f>
        <v/>
      </c>
      <c r="BR237" s="191">
        <f>MAX(0,BD237-AB237)</f>
        <v/>
      </c>
      <c r="BS237" s="191">
        <f>MAX(0,BE237-AC237)</f>
        <v/>
      </c>
      <c r="BT237" s="191">
        <f>MAX(0,BF237-AD237)</f>
        <v/>
      </c>
      <c r="BU237" s="191">
        <f>MAX(0,BG237-AE237)</f>
        <v/>
      </c>
      <c r="BV237" s="191">
        <f>MAX(0,BH237-AF237)</f>
        <v/>
      </c>
      <c r="BW237" s="191">
        <f>MAX(0,BI237-AG237)</f>
        <v/>
      </c>
      <c r="BX237" s="191">
        <f>MAX(0,BJ237-AH237)</f>
        <v/>
      </c>
      <c r="BY237" s="191">
        <f>MAX(0,BK237-AI237)</f>
        <v/>
      </c>
      <c r="BZ237" s="191">
        <f>MAX(0,BL237-AJ237)</f>
        <v/>
      </c>
      <c r="CA237" s="191">
        <f>MAX(0,BM237-AK237)</f>
        <v/>
      </c>
      <c r="CB237" s="192">
        <f>MAX(0,BN237-AL237)</f>
        <v/>
      </c>
    </row>
    <row r="238">
      <c r="A238" s="64" t="inlineStr">
        <is>
          <t>33589783000140</t>
        </is>
      </c>
      <c r="B238" s="57" t="inlineStr">
        <is>
          <t>GS DA GAMA COMPRE MAIS MINI MERCADO LTDA</t>
        </is>
      </c>
      <c r="C238" s="57" t="inlineStr">
        <is>
          <t>SEM GRUPO</t>
        </is>
      </c>
      <c r="D238" s="61" t="inlineStr">
        <is>
          <t>LARISSA PADILHA</t>
        </is>
      </c>
      <c r="E238" s="30" t="inlineStr">
        <is>
          <t>.</t>
        </is>
      </c>
      <c r="F238" s="63" t="inlineStr"/>
      <c r="G238" s="179" t="inlineStr"/>
      <c r="H238" s="57" t="inlineStr"/>
      <c r="I238" s="57" t="inlineStr"/>
      <c r="J238" s="61" t="inlineStr"/>
      <c r="K238" s="30" t="inlineStr">
        <is>
          <t>.</t>
        </is>
      </c>
      <c r="L238" s="180" t="n">
        <v>5011.68</v>
      </c>
      <c r="M238" s="181" t="n">
        <v>352.19</v>
      </c>
      <c r="N238" s="181" t="n">
        <v>368.02</v>
      </c>
      <c r="O238" s="181" t="n">
        <v>376.89</v>
      </c>
      <c r="P238" s="181" t="n">
        <v>386.71</v>
      </c>
      <c r="Q238" s="181" t="n">
        <v>399.38</v>
      </c>
      <c r="R238" s="181" t="n">
        <v>409.83</v>
      </c>
      <c r="S238" s="181" t="n">
        <v>425.66</v>
      </c>
      <c r="T238" s="181" t="n">
        <v>436.11</v>
      </c>
      <c r="U238" s="181" t="n">
        <v>445.93</v>
      </c>
      <c r="V238" s="181" t="n">
        <v>457.02</v>
      </c>
      <c r="W238" s="181" t="n">
        <v>469.05</v>
      </c>
      <c r="X238" s="182" t="n">
        <v>484.89</v>
      </c>
      <c r="Y238" s="183" t="inlineStr">
        <is>
          <t>.</t>
        </is>
      </c>
      <c r="Z238" s="184">
        <f>SUM(AA238:AL238)</f>
        <v/>
      </c>
      <c r="AA238" s="185" t="n">
        <v>0</v>
      </c>
      <c r="AB238" s="185" t="n">
        <v>0</v>
      </c>
      <c r="AC238" s="185" t="n">
        <v>0</v>
      </c>
      <c r="AD238" s="185" t="n">
        <v>0</v>
      </c>
      <c r="AE238" s="185" t="n">
        <v>0</v>
      </c>
      <c r="AF238" s="185" t="n">
        <v>0</v>
      </c>
      <c r="AG238" s="185" t="n">
        <v>2554.62</v>
      </c>
      <c r="AH238" s="185" t="n">
        <v>0</v>
      </c>
      <c r="AI238" s="185" t="n">
        <v>0</v>
      </c>
      <c r="AJ238" s="185" t="n">
        <v>0</v>
      </c>
      <c r="AK238" s="185" t="n">
        <v>0</v>
      </c>
      <c r="AL238" s="186" t="n">
        <v>0</v>
      </c>
      <c r="AM238" s="30" t="inlineStr">
        <is>
          <t>.</t>
        </is>
      </c>
      <c r="AN238" s="187">
        <f>IF(L238=0,0,Z238/L238)</f>
        <v/>
      </c>
      <c r="AO238" s="57">
        <f>IF(AN238&gt;=1,"🟢",IF(AN238&gt;=0.7,"🟡",IF(AN238&gt;=0.4,"🟠","🔴")))</f>
        <v/>
      </c>
      <c r="AP238" s="185">
        <f>L238-Z238</f>
        <v/>
      </c>
      <c r="AQ238" s="55">
        <f>RANK(Z238,$Z$4:$Z$503,0)</f>
        <v/>
      </c>
      <c r="AR238" s="39" t="inlineStr">
        <is>
          <t>.</t>
        </is>
      </c>
      <c r="AS238" s="27" t="n"/>
      <c r="AT238" s="27" t="n"/>
      <c r="AU238" s="27" t="n"/>
      <c r="AV238" s="27" t="n"/>
      <c r="AW238" s="27" t="n"/>
      <c r="AX238" s="27" t="n"/>
      <c r="AY238" s="204" t="n"/>
      <c r="AZ238" s="204" t="n"/>
      <c r="BA238" s="38" t="inlineStr">
        <is>
          <t>.</t>
        </is>
      </c>
      <c r="BB238" s="190">
        <f>SUM(BC238:BN238)</f>
        <v/>
      </c>
      <c r="BC238" s="191">
        <f>L238*0.0702730030</f>
        <v/>
      </c>
      <c r="BD238" s="191">
        <f>L238*0.0734327604</f>
        <v/>
      </c>
      <c r="BE238" s="191">
        <f>L238*0.0752022245</f>
        <v/>
      </c>
      <c r="BF238" s="191">
        <f>L238*0.0771612740</f>
        <v/>
      </c>
      <c r="BG238" s="191">
        <f>L238*0.0796890799</f>
        <v/>
      </c>
      <c r="BH238" s="191">
        <f>L238*0.0817745197</f>
        <v/>
      </c>
      <c r="BI238" s="191">
        <f>L238*0.0849342770</f>
        <v/>
      </c>
      <c r="BJ238" s="191">
        <f>L238*0.0870197169</f>
        <v/>
      </c>
      <c r="BK238" s="191">
        <f>L238*0.0889787664</f>
        <v/>
      </c>
      <c r="BL238" s="191">
        <f>L238*0.0911905966</f>
        <v/>
      </c>
      <c r="BM238" s="191">
        <f>L238*0.0935920121</f>
        <v/>
      </c>
      <c r="BN238" s="192">
        <f>L238*0.0967517695</f>
        <v/>
      </c>
      <c r="BO238" s="36" t="inlineStr">
        <is>
          <t>.</t>
        </is>
      </c>
      <c r="BP238" s="193">
        <f>SUM(BQ238:CB238)</f>
        <v/>
      </c>
      <c r="BQ238" s="191">
        <f>MAX(0,BC238-AA238)</f>
        <v/>
      </c>
      <c r="BR238" s="191">
        <f>MAX(0,BD238-AB238)</f>
        <v/>
      </c>
      <c r="BS238" s="191">
        <f>MAX(0,BE238-AC238)</f>
        <v/>
      </c>
      <c r="BT238" s="191">
        <f>MAX(0,BF238-AD238)</f>
        <v/>
      </c>
      <c r="BU238" s="191">
        <f>MAX(0,BG238-AE238)</f>
        <v/>
      </c>
      <c r="BV238" s="191">
        <f>MAX(0,BH238-AF238)</f>
        <v/>
      </c>
      <c r="BW238" s="191">
        <f>MAX(0,BI238-AG238)</f>
        <v/>
      </c>
      <c r="BX238" s="191">
        <f>MAX(0,BJ238-AH238)</f>
        <v/>
      </c>
      <c r="BY238" s="191">
        <f>MAX(0,BK238-AI238)</f>
        <v/>
      </c>
      <c r="BZ238" s="191">
        <f>MAX(0,BL238-AJ238)</f>
        <v/>
      </c>
      <c r="CA238" s="191">
        <f>MAX(0,BM238-AK238)</f>
        <v/>
      </c>
      <c r="CB238" s="192">
        <f>MAX(0,BN238-AL238)</f>
        <v/>
      </c>
    </row>
    <row r="239">
      <c r="A239" s="64" t="inlineStr">
        <is>
          <t>62697942000128</t>
        </is>
      </c>
      <c r="B239" s="57" t="inlineStr">
        <is>
          <t>CELEIRO PRODUTOS NATURAIS LTDA - ME</t>
        </is>
      </c>
      <c r="C239" s="57" t="inlineStr">
        <is>
          <t>SEM GRUPO</t>
        </is>
      </c>
      <c r="D239" s="61" t="inlineStr">
        <is>
          <t>LARISSA PADILHA</t>
        </is>
      </c>
      <c r="E239" s="30" t="inlineStr">
        <is>
          <t>.</t>
        </is>
      </c>
      <c r="F239" s="63" t="inlineStr"/>
      <c r="G239" s="179" t="inlineStr"/>
      <c r="H239" s="57" t="inlineStr"/>
      <c r="I239" s="57" t="inlineStr"/>
      <c r="J239" s="61" t="inlineStr"/>
      <c r="K239" s="30" t="inlineStr">
        <is>
          <t>.</t>
        </is>
      </c>
      <c r="L239" s="180" t="n">
        <v>4915.24</v>
      </c>
      <c r="M239" s="181" t="n">
        <v>345.41</v>
      </c>
      <c r="N239" s="181" t="n">
        <v>360.94</v>
      </c>
      <c r="O239" s="181" t="n">
        <v>369.64</v>
      </c>
      <c r="P239" s="181" t="n">
        <v>379.27</v>
      </c>
      <c r="Q239" s="181" t="n">
        <v>391.69</v>
      </c>
      <c r="R239" s="181" t="n">
        <v>401.94</v>
      </c>
      <c r="S239" s="181" t="n">
        <v>417.47</v>
      </c>
      <c r="T239" s="181" t="n">
        <v>427.72</v>
      </c>
      <c r="U239" s="181" t="n">
        <v>437.35</v>
      </c>
      <c r="V239" s="181" t="n">
        <v>448.22</v>
      </c>
      <c r="W239" s="181" t="n">
        <v>460.03</v>
      </c>
      <c r="X239" s="182" t="n">
        <v>475.56</v>
      </c>
      <c r="Y239" s="183" t="inlineStr">
        <is>
          <t>.</t>
        </is>
      </c>
      <c r="Z239" s="184">
        <f>SUM(AA239:AL239)</f>
        <v/>
      </c>
      <c r="AA239" s="185" t="n">
        <v>0</v>
      </c>
      <c r="AB239" s="185" t="n">
        <v>0</v>
      </c>
      <c r="AC239" s="185" t="n">
        <v>0</v>
      </c>
      <c r="AD239" s="185" t="n">
        <v>0</v>
      </c>
      <c r="AE239" s="185" t="n">
        <v>0</v>
      </c>
      <c r="AF239" s="185" t="n">
        <v>0</v>
      </c>
      <c r="AG239" s="185" t="n">
        <v>0</v>
      </c>
      <c r="AH239" s="185" t="n">
        <v>0</v>
      </c>
      <c r="AI239" s="185" t="n">
        <v>0</v>
      </c>
      <c r="AJ239" s="185" t="n">
        <v>0</v>
      </c>
      <c r="AK239" s="185" t="n">
        <v>0</v>
      </c>
      <c r="AL239" s="186" t="n">
        <v>2166.29</v>
      </c>
      <c r="AM239" s="222" t="n">
        <v>1508.54</v>
      </c>
      <c r="AN239" s="187">
        <f>IF(L239=0,0,Z239/L239)</f>
        <v/>
      </c>
      <c r="AO239" s="57">
        <f>IF(AN239&gt;=1,"🟢",IF(AN239&gt;=0.7,"🟡",IF(AN239&gt;=0.4,"🟠","🔴")))</f>
        <v/>
      </c>
      <c r="AP239" s="185">
        <f>L239-Z239</f>
        <v/>
      </c>
      <c r="AQ239" s="55">
        <f>RANK(Z239,$Z$4:$Z$503,0)</f>
        <v/>
      </c>
      <c r="AR239" s="39" t="inlineStr">
        <is>
          <t>.</t>
        </is>
      </c>
      <c r="AS239" s="27" t="n"/>
      <c r="AT239" s="27" t="n"/>
      <c r="AU239" s="27" t="n"/>
      <c r="AV239" s="27" t="n"/>
      <c r="AW239" s="27" t="n"/>
      <c r="AX239" s="27" t="n"/>
      <c r="AY239" s="204" t="n"/>
      <c r="AZ239" s="204" t="n"/>
      <c r="BA239" s="38" t="inlineStr">
        <is>
          <t>.</t>
        </is>
      </c>
      <c r="BB239" s="190">
        <f>SUM(BC239:BN239)</f>
        <v/>
      </c>
      <c r="BC239" s="191">
        <f>L239*0.0702730030</f>
        <v/>
      </c>
      <c r="BD239" s="191">
        <f>L239*0.0734327604</f>
        <v/>
      </c>
      <c r="BE239" s="191">
        <f>L239*0.0752022245</f>
        <v/>
      </c>
      <c r="BF239" s="191">
        <f>L239*0.0771612740</f>
        <v/>
      </c>
      <c r="BG239" s="191">
        <f>L239*0.0796890799</f>
        <v/>
      </c>
      <c r="BH239" s="191">
        <f>L239*0.0817745197</f>
        <v/>
      </c>
      <c r="BI239" s="191">
        <f>L239*0.0849342770</f>
        <v/>
      </c>
      <c r="BJ239" s="191">
        <f>L239*0.0870197169</f>
        <v/>
      </c>
      <c r="BK239" s="191">
        <f>L239*0.0889787664</f>
        <v/>
      </c>
      <c r="BL239" s="191">
        <f>L239*0.0911905966</f>
        <v/>
      </c>
      <c r="BM239" s="191">
        <f>L239*0.0935920121</f>
        <v/>
      </c>
      <c r="BN239" s="192">
        <f>L239*0.0967517695</f>
        <v/>
      </c>
      <c r="BO239" s="36" t="inlineStr">
        <is>
          <t>.</t>
        </is>
      </c>
      <c r="BP239" s="193">
        <f>SUM(BQ239:CB239)</f>
        <v/>
      </c>
      <c r="BQ239" s="191">
        <f>MAX(0,BC239-AA239)</f>
        <v/>
      </c>
      <c r="BR239" s="191">
        <f>MAX(0,BD239-AB239)</f>
        <v/>
      </c>
      <c r="BS239" s="191">
        <f>MAX(0,BE239-AC239)</f>
        <v/>
      </c>
      <c r="BT239" s="191">
        <f>MAX(0,BF239-AD239)</f>
        <v/>
      </c>
      <c r="BU239" s="191">
        <f>MAX(0,BG239-AE239)</f>
        <v/>
      </c>
      <c r="BV239" s="191">
        <f>MAX(0,BH239-AF239)</f>
        <v/>
      </c>
      <c r="BW239" s="191">
        <f>MAX(0,BI239-AG239)</f>
        <v/>
      </c>
      <c r="BX239" s="191">
        <f>MAX(0,BJ239-AH239)</f>
        <v/>
      </c>
      <c r="BY239" s="191">
        <f>MAX(0,BK239-AI239)</f>
        <v/>
      </c>
      <c r="BZ239" s="191">
        <f>MAX(0,BL239-AJ239)</f>
        <v/>
      </c>
      <c r="CA239" s="191">
        <f>MAX(0,BM239-AK239)</f>
        <v/>
      </c>
      <c r="CB239" s="192">
        <f>MAX(0,BN239-AL239)</f>
        <v/>
      </c>
    </row>
    <row r="240">
      <c r="A240" s="64" t="inlineStr">
        <is>
          <t>51721657000189</t>
        </is>
      </c>
      <c r="B240" s="57" t="inlineStr">
        <is>
          <t>A.E PRODUTOS NATURAIS LTDA - ME</t>
        </is>
      </c>
      <c r="C240" s="57" t="inlineStr">
        <is>
          <t>VIDA LEVE</t>
        </is>
      </c>
      <c r="D240" s="61" t="inlineStr">
        <is>
          <t>DAIANE STAVICKI</t>
        </is>
      </c>
      <c r="E240" s="30" t="inlineStr">
        <is>
          <t>.</t>
        </is>
      </c>
      <c r="F240" s="63" t="n">
        <v>81</v>
      </c>
      <c r="G240" s="179" t="n">
        <v>0.08</v>
      </c>
      <c r="H240" s="57" t="inlineStr">
        <is>
          <t>🔴 VERMELHO</t>
        </is>
      </c>
      <c r="I240" s="57" t="inlineStr">
        <is>
          <t>ATIVAÇÃO</t>
        </is>
      </c>
      <c r="J240" s="61" t="inlineStr">
        <is>
          <t>Reativar inativos + Prospectar</t>
        </is>
      </c>
      <c r="K240" s="30" t="inlineStr">
        <is>
          <t>.</t>
        </is>
      </c>
      <c r="L240" s="180" t="n">
        <v>4908.66</v>
      </c>
      <c r="M240" s="181" t="n">
        <v>344.95</v>
      </c>
      <c r="N240" s="181" t="n">
        <v>360.46</v>
      </c>
      <c r="O240" s="181" t="n">
        <v>369.14</v>
      </c>
      <c r="P240" s="181" t="n">
        <v>378.76</v>
      </c>
      <c r="Q240" s="181" t="n">
        <v>391.17</v>
      </c>
      <c r="R240" s="181" t="n">
        <v>401.4</v>
      </c>
      <c r="S240" s="181" t="n">
        <v>416.91</v>
      </c>
      <c r="T240" s="181" t="n">
        <v>427.15</v>
      </c>
      <c r="U240" s="181" t="n">
        <v>436.77</v>
      </c>
      <c r="V240" s="181" t="n">
        <v>447.62</v>
      </c>
      <c r="W240" s="181" t="n">
        <v>459.41</v>
      </c>
      <c r="X240" s="182" t="n">
        <v>474.92</v>
      </c>
      <c r="Y240" s="183" t="inlineStr">
        <is>
          <t>.</t>
        </is>
      </c>
      <c r="Z240" s="184">
        <f>SUM(AA240:AL240)</f>
        <v/>
      </c>
      <c r="AA240" s="185" t="n">
        <v>0</v>
      </c>
      <c r="AB240" s="185" t="n">
        <v>0</v>
      </c>
      <c r="AC240" s="185" t="n">
        <v>0</v>
      </c>
      <c r="AD240" s="185" t="n">
        <v>0</v>
      </c>
      <c r="AE240" s="185" t="n">
        <v>0</v>
      </c>
      <c r="AF240" s="185" t="n">
        <v>0</v>
      </c>
      <c r="AG240" s="185" t="n">
        <v>0</v>
      </c>
      <c r="AH240" s="185" t="n">
        <v>0</v>
      </c>
      <c r="AI240" s="185" t="n">
        <v>0</v>
      </c>
      <c r="AJ240" s="185" t="n">
        <v>0</v>
      </c>
      <c r="AK240" s="185" t="n">
        <v>2618.38</v>
      </c>
      <c r="AL240" s="186" t="n">
        <v>0</v>
      </c>
      <c r="AM240" s="30" t="inlineStr">
        <is>
          <t>.</t>
        </is>
      </c>
      <c r="AN240" s="187">
        <f>IF(L240=0,0,Z240/L240)</f>
        <v/>
      </c>
      <c r="AO240" s="57">
        <f>IF(AN240&gt;=1,"🟢",IF(AN240&gt;=0.7,"🟡",IF(AN240&gt;=0.4,"🟠","🔴")))</f>
        <v/>
      </c>
      <c r="AP240" s="185">
        <f>L240-Z240</f>
        <v/>
      </c>
      <c r="AQ240" s="55">
        <f>RANK(Z240,$Z$4:$Z$503,0)</f>
        <v/>
      </c>
      <c r="AR240" s="39" t="inlineStr">
        <is>
          <t>.</t>
        </is>
      </c>
      <c r="AS240" s="27" t="n"/>
      <c r="AT240" s="27" t="n"/>
      <c r="AU240" s="27" t="n"/>
      <c r="AV240" s="27" t="n"/>
      <c r="AW240" s="27" t="n"/>
      <c r="AX240" s="27" t="n"/>
      <c r="AY240" s="204" t="n"/>
      <c r="AZ240" s="204" t="n"/>
      <c r="BA240" s="38" t="inlineStr">
        <is>
          <t>.</t>
        </is>
      </c>
      <c r="BB240" s="190">
        <f>SUM(BC240:BN240)</f>
        <v/>
      </c>
      <c r="BC240" s="191">
        <f>L240*0.0702730030</f>
        <v/>
      </c>
      <c r="BD240" s="191">
        <f>L240*0.0734327604</f>
        <v/>
      </c>
      <c r="BE240" s="191">
        <f>L240*0.0752022245</f>
        <v/>
      </c>
      <c r="BF240" s="191">
        <f>L240*0.0771612740</f>
        <v/>
      </c>
      <c r="BG240" s="191">
        <f>L240*0.0796890799</f>
        <v/>
      </c>
      <c r="BH240" s="191">
        <f>L240*0.0817745197</f>
        <v/>
      </c>
      <c r="BI240" s="191">
        <f>L240*0.0849342770</f>
        <v/>
      </c>
      <c r="BJ240" s="191">
        <f>L240*0.0870197169</f>
        <v/>
      </c>
      <c r="BK240" s="191">
        <f>L240*0.0889787664</f>
        <v/>
      </c>
      <c r="BL240" s="191">
        <f>L240*0.0911905966</f>
        <v/>
      </c>
      <c r="BM240" s="191">
        <f>L240*0.0935920121</f>
        <v/>
      </c>
      <c r="BN240" s="192">
        <f>L240*0.0967517695</f>
        <v/>
      </c>
      <c r="BO240" s="36" t="inlineStr">
        <is>
          <t>.</t>
        </is>
      </c>
      <c r="BP240" s="193">
        <f>SUM(BQ240:CB240)</f>
        <v/>
      </c>
      <c r="BQ240" s="191">
        <f>MAX(0,BC240-AA240)</f>
        <v/>
      </c>
      <c r="BR240" s="191">
        <f>MAX(0,BD240-AB240)</f>
        <v/>
      </c>
      <c r="BS240" s="191">
        <f>MAX(0,BE240-AC240)</f>
        <v/>
      </c>
      <c r="BT240" s="191">
        <f>MAX(0,BF240-AD240)</f>
        <v/>
      </c>
      <c r="BU240" s="191">
        <f>MAX(0,BG240-AE240)</f>
        <v/>
      </c>
      <c r="BV240" s="191">
        <f>MAX(0,BH240-AF240)</f>
        <v/>
      </c>
      <c r="BW240" s="191">
        <f>MAX(0,BI240-AG240)</f>
        <v/>
      </c>
      <c r="BX240" s="191">
        <f>MAX(0,BJ240-AH240)</f>
        <v/>
      </c>
      <c r="BY240" s="191">
        <f>MAX(0,BK240-AI240)</f>
        <v/>
      </c>
      <c r="BZ240" s="191">
        <f>MAX(0,BL240-AJ240)</f>
        <v/>
      </c>
      <c r="CA240" s="191">
        <f>MAX(0,BM240-AK240)</f>
        <v/>
      </c>
      <c r="CB240" s="192">
        <f>MAX(0,BN240-AL240)</f>
        <v/>
      </c>
    </row>
    <row r="241">
      <c r="A241" s="64" t="inlineStr">
        <is>
          <t>38449259000197</t>
        </is>
      </c>
      <c r="B241" s="57" t="inlineStr">
        <is>
          <t>M. A. SILVA DE FREITAS COMERCIO DE PRODU</t>
        </is>
      </c>
      <c r="C241" s="57" t="inlineStr">
        <is>
          <t>SEM GRUPO</t>
        </is>
      </c>
      <c r="D241" s="61" t="inlineStr">
        <is>
          <t>LARISSA PADILHA</t>
        </is>
      </c>
      <c r="E241" s="30" t="inlineStr">
        <is>
          <t>.</t>
        </is>
      </c>
      <c r="F241" s="63" t="inlineStr"/>
      <c r="G241" s="179" t="inlineStr"/>
      <c r="H241" s="57" t="inlineStr"/>
      <c r="I241" s="57" t="inlineStr"/>
      <c r="J241" s="61" t="inlineStr"/>
      <c r="K241" s="30" t="inlineStr">
        <is>
          <t>.</t>
        </is>
      </c>
      <c r="L241" s="180" t="n">
        <v>4901.720000000001</v>
      </c>
      <c r="M241" s="181" t="n">
        <v>344.46</v>
      </c>
      <c r="N241" s="181" t="n">
        <v>359.95</v>
      </c>
      <c r="O241" s="181" t="n">
        <v>368.62</v>
      </c>
      <c r="P241" s="181" t="n">
        <v>378.22</v>
      </c>
      <c r="Q241" s="181" t="n">
        <v>390.61</v>
      </c>
      <c r="R241" s="181" t="n">
        <v>400.84</v>
      </c>
      <c r="S241" s="181" t="n">
        <v>416.32</v>
      </c>
      <c r="T241" s="181" t="n">
        <v>426.55</v>
      </c>
      <c r="U241" s="181" t="n">
        <v>436.15</v>
      </c>
      <c r="V241" s="181" t="n">
        <v>446.99</v>
      </c>
      <c r="W241" s="181" t="n">
        <v>458.76</v>
      </c>
      <c r="X241" s="182" t="n">
        <v>474.25</v>
      </c>
      <c r="Y241" s="183" t="inlineStr">
        <is>
          <t>.</t>
        </is>
      </c>
      <c r="Z241" s="184">
        <f>SUM(AA241:AL241)</f>
        <v/>
      </c>
      <c r="AA241" s="185" t="n">
        <v>0</v>
      </c>
      <c r="AB241" s="185" t="n">
        <v>1524.27</v>
      </c>
      <c r="AC241" s="185" t="n">
        <v>0</v>
      </c>
      <c r="AD241" s="185" t="n">
        <v>0</v>
      </c>
      <c r="AE241" s="185" t="n">
        <v>0</v>
      </c>
      <c r="AF241" s="185" t="n">
        <v>668.54</v>
      </c>
      <c r="AG241" s="185" t="n">
        <v>0</v>
      </c>
      <c r="AH241" s="185" t="n">
        <v>0</v>
      </c>
      <c r="AI241" s="185" t="n">
        <v>0</v>
      </c>
      <c r="AJ241" s="185" t="n">
        <v>978.86</v>
      </c>
      <c r="AK241" s="185" t="n">
        <v>0</v>
      </c>
      <c r="AL241" s="186" t="n">
        <v>0</v>
      </c>
      <c r="AM241" s="30" t="inlineStr">
        <is>
          <t>.</t>
        </is>
      </c>
      <c r="AN241" s="187">
        <f>IF(L241=0,0,Z241/L241)</f>
        <v/>
      </c>
      <c r="AO241" s="57">
        <f>IF(AN241&gt;=1,"🟢",IF(AN241&gt;=0.7,"🟡",IF(AN241&gt;=0.4,"🟠","🔴")))</f>
        <v/>
      </c>
      <c r="AP241" s="185">
        <f>L241-Z241</f>
        <v/>
      </c>
      <c r="AQ241" s="55">
        <f>RANK(Z241,$Z$4:$Z$503,0)</f>
        <v/>
      </c>
      <c r="AR241" s="39" t="inlineStr">
        <is>
          <t>.</t>
        </is>
      </c>
      <c r="AS241" s="27" t="n"/>
      <c r="AT241" s="27" t="n"/>
      <c r="AU241" s="27" t="n"/>
      <c r="AV241" s="27" t="n"/>
      <c r="AW241" s="27" t="n"/>
      <c r="AX241" s="27" t="n"/>
      <c r="AY241" s="204" t="n"/>
      <c r="AZ241" s="204" t="n"/>
      <c r="BA241" s="38" t="inlineStr">
        <is>
          <t>.</t>
        </is>
      </c>
      <c r="BB241" s="190">
        <f>SUM(BC241:BN241)</f>
        <v/>
      </c>
      <c r="BC241" s="191">
        <f>L241*0.0702730030</f>
        <v/>
      </c>
      <c r="BD241" s="191">
        <f>L241*0.0734327604</f>
        <v/>
      </c>
      <c r="BE241" s="191">
        <f>L241*0.0752022245</f>
        <v/>
      </c>
      <c r="BF241" s="191">
        <f>L241*0.0771612740</f>
        <v/>
      </c>
      <c r="BG241" s="191">
        <f>L241*0.0796890799</f>
        <v/>
      </c>
      <c r="BH241" s="191">
        <f>L241*0.0817745197</f>
        <v/>
      </c>
      <c r="BI241" s="191">
        <f>L241*0.0849342770</f>
        <v/>
      </c>
      <c r="BJ241" s="191">
        <f>L241*0.0870197169</f>
        <v/>
      </c>
      <c r="BK241" s="191">
        <f>L241*0.0889787664</f>
        <v/>
      </c>
      <c r="BL241" s="191">
        <f>L241*0.0911905966</f>
        <v/>
      </c>
      <c r="BM241" s="191">
        <f>L241*0.0935920121</f>
        <v/>
      </c>
      <c r="BN241" s="192">
        <f>L241*0.0967517695</f>
        <v/>
      </c>
      <c r="BO241" s="36" t="inlineStr">
        <is>
          <t>.</t>
        </is>
      </c>
      <c r="BP241" s="193">
        <f>SUM(BQ241:CB241)</f>
        <v/>
      </c>
      <c r="BQ241" s="191">
        <f>MAX(0,BC241-AA241)</f>
        <v/>
      </c>
      <c r="BR241" s="191">
        <f>MAX(0,BD241-AB241)</f>
        <v/>
      </c>
      <c r="BS241" s="191">
        <f>MAX(0,BE241-AC241)</f>
        <v/>
      </c>
      <c r="BT241" s="191">
        <f>MAX(0,BF241-AD241)</f>
        <v/>
      </c>
      <c r="BU241" s="191">
        <f>MAX(0,BG241-AE241)</f>
        <v/>
      </c>
      <c r="BV241" s="191">
        <f>MAX(0,BH241-AF241)</f>
        <v/>
      </c>
      <c r="BW241" s="191">
        <f>MAX(0,BI241-AG241)</f>
        <v/>
      </c>
      <c r="BX241" s="191">
        <f>MAX(0,BJ241-AH241)</f>
        <v/>
      </c>
      <c r="BY241" s="191">
        <f>MAX(0,BK241-AI241)</f>
        <v/>
      </c>
      <c r="BZ241" s="191">
        <f>MAX(0,BL241-AJ241)</f>
        <v/>
      </c>
      <c r="CA241" s="191">
        <f>MAX(0,BM241-AK241)</f>
        <v/>
      </c>
      <c r="CB241" s="192">
        <f>MAX(0,BN241-AL241)</f>
        <v/>
      </c>
    </row>
    <row r="242">
      <c r="A242" s="64" t="inlineStr">
        <is>
          <t>31921194000191</t>
        </is>
      </c>
      <c r="B242" s="57" t="inlineStr">
        <is>
          <t>LEMOS &amp; STEFFENS LTDA - ME</t>
        </is>
      </c>
      <c r="C242" s="57" t="inlineStr">
        <is>
          <t>SEM GRUPO</t>
        </is>
      </c>
      <c r="D242" s="61" t="inlineStr">
        <is>
          <t>HEMANUELE DITZEL (MANU)</t>
        </is>
      </c>
      <c r="E242" s="30" t="inlineStr">
        <is>
          <t>.</t>
        </is>
      </c>
      <c r="F242" s="63" t="inlineStr"/>
      <c r="G242" s="179" t="inlineStr"/>
      <c r="H242" s="57" t="inlineStr"/>
      <c r="I242" s="57" t="inlineStr"/>
      <c r="J242" s="61" t="inlineStr"/>
      <c r="K242" s="30" t="inlineStr">
        <is>
          <t>.</t>
        </is>
      </c>
      <c r="L242" s="180" t="n">
        <v>4805.07</v>
      </c>
      <c r="M242" s="181" t="n">
        <v>337.67</v>
      </c>
      <c r="N242" s="181" t="n">
        <v>352.85</v>
      </c>
      <c r="O242" s="181" t="n">
        <v>361.35</v>
      </c>
      <c r="P242" s="181" t="n">
        <v>370.76</v>
      </c>
      <c r="Q242" s="181" t="n">
        <v>382.91</v>
      </c>
      <c r="R242" s="181" t="n">
        <v>392.93</v>
      </c>
      <c r="S242" s="181" t="n">
        <v>408.11</v>
      </c>
      <c r="T242" s="181" t="n">
        <v>418.14</v>
      </c>
      <c r="U242" s="181" t="n">
        <v>427.55</v>
      </c>
      <c r="V242" s="181" t="n">
        <v>438.18</v>
      </c>
      <c r="W242" s="181" t="n">
        <v>449.72</v>
      </c>
      <c r="X242" s="182" t="n">
        <v>464.9</v>
      </c>
      <c r="Y242" s="183" t="inlineStr">
        <is>
          <t>.</t>
        </is>
      </c>
      <c r="Z242" s="184">
        <f>SUM(AA242:AL242)</f>
        <v/>
      </c>
      <c r="AA242" s="185" t="n">
        <v>0</v>
      </c>
      <c r="AB242" s="185" t="n">
        <v>0</v>
      </c>
      <c r="AC242" s="185" t="n">
        <v>0</v>
      </c>
      <c r="AD242" s="185" t="n">
        <v>0</v>
      </c>
      <c r="AE242" s="185" t="n">
        <v>0</v>
      </c>
      <c r="AF242" s="185" t="n">
        <v>0</v>
      </c>
      <c r="AG242" s="185" t="n">
        <v>1119.33</v>
      </c>
      <c r="AH242" s="185" t="n">
        <v>0</v>
      </c>
      <c r="AI242" s="185" t="n">
        <v>0</v>
      </c>
      <c r="AJ242" s="185" t="n">
        <v>0</v>
      </c>
      <c r="AK242" s="185" t="n">
        <v>0</v>
      </c>
      <c r="AL242" s="186" t="n">
        <v>1145.13</v>
      </c>
      <c r="AM242" s="30" t="inlineStr">
        <is>
          <t>.</t>
        </is>
      </c>
      <c r="AN242" s="187">
        <f>IF(L242=0,0,Z242/L242)</f>
        <v/>
      </c>
      <c r="AO242" s="57">
        <f>IF(AN242&gt;=1,"🟢",IF(AN242&gt;=0.7,"🟡",IF(AN242&gt;=0.4,"🟠","🔴")))</f>
        <v/>
      </c>
      <c r="AP242" s="185">
        <f>L242-Z242</f>
        <v/>
      </c>
      <c r="AQ242" s="55">
        <f>RANK(Z242,$Z$4:$Z$503,0)</f>
        <v/>
      </c>
      <c r="AR242" s="39" t="inlineStr">
        <is>
          <t>.</t>
        </is>
      </c>
      <c r="AS242" s="27" t="n"/>
      <c r="AT242" s="27" t="n"/>
      <c r="AU242" s="27" t="n"/>
      <c r="AV242" s="27" t="n"/>
      <c r="AW242" s="27" t="n"/>
      <c r="AX242" s="27" t="n"/>
      <c r="AY242" s="204" t="n"/>
      <c r="AZ242" s="204" t="n"/>
      <c r="BA242" s="38" t="inlineStr">
        <is>
          <t>.</t>
        </is>
      </c>
      <c r="BB242" s="190">
        <f>SUM(BC242:BN242)</f>
        <v/>
      </c>
      <c r="BC242" s="191">
        <f>L242*0.0702730030</f>
        <v/>
      </c>
      <c r="BD242" s="191">
        <f>L242*0.0734327604</f>
        <v/>
      </c>
      <c r="BE242" s="191">
        <f>L242*0.0752022245</f>
        <v/>
      </c>
      <c r="BF242" s="191">
        <f>L242*0.0771612740</f>
        <v/>
      </c>
      <c r="BG242" s="191">
        <f>L242*0.0796890799</f>
        <v/>
      </c>
      <c r="BH242" s="191">
        <f>L242*0.0817745197</f>
        <v/>
      </c>
      <c r="BI242" s="191">
        <f>L242*0.0849342770</f>
        <v/>
      </c>
      <c r="BJ242" s="191">
        <f>L242*0.0870197169</f>
        <v/>
      </c>
      <c r="BK242" s="191">
        <f>L242*0.0889787664</f>
        <v/>
      </c>
      <c r="BL242" s="191">
        <f>L242*0.0911905966</f>
        <v/>
      </c>
      <c r="BM242" s="191">
        <f>L242*0.0935920121</f>
        <v/>
      </c>
      <c r="BN242" s="192">
        <f>L242*0.0967517695</f>
        <v/>
      </c>
      <c r="BO242" s="36" t="inlineStr">
        <is>
          <t>.</t>
        </is>
      </c>
      <c r="BP242" s="193">
        <f>SUM(BQ242:CB242)</f>
        <v/>
      </c>
      <c r="BQ242" s="191">
        <f>MAX(0,BC242-AA242)</f>
        <v/>
      </c>
      <c r="BR242" s="191">
        <f>MAX(0,BD242-AB242)</f>
        <v/>
      </c>
      <c r="BS242" s="191">
        <f>MAX(0,BE242-AC242)</f>
        <v/>
      </c>
      <c r="BT242" s="191">
        <f>MAX(0,BF242-AD242)</f>
        <v/>
      </c>
      <c r="BU242" s="191">
        <f>MAX(0,BG242-AE242)</f>
        <v/>
      </c>
      <c r="BV242" s="191">
        <f>MAX(0,BH242-AF242)</f>
        <v/>
      </c>
      <c r="BW242" s="191">
        <f>MAX(0,BI242-AG242)</f>
        <v/>
      </c>
      <c r="BX242" s="191">
        <f>MAX(0,BJ242-AH242)</f>
        <v/>
      </c>
      <c r="BY242" s="191">
        <f>MAX(0,BK242-AI242)</f>
        <v/>
      </c>
      <c r="BZ242" s="191">
        <f>MAX(0,BL242-AJ242)</f>
        <v/>
      </c>
      <c r="CA242" s="191">
        <f>MAX(0,BM242-AK242)</f>
        <v/>
      </c>
      <c r="CB242" s="192">
        <f>MAX(0,BN242-AL242)</f>
        <v/>
      </c>
    </row>
    <row r="243">
      <c r="A243" s="64" t="inlineStr">
        <is>
          <t>59618403000141</t>
        </is>
      </c>
      <c r="B243" s="57" t="inlineStr">
        <is>
          <t>EMPORIUM MERCATO NOSTRO LTDA - ME</t>
        </is>
      </c>
      <c r="C243" s="57" t="inlineStr">
        <is>
          <t>SEM GRUPO</t>
        </is>
      </c>
      <c r="D243" s="61" t="inlineStr">
        <is>
          <t>LARISSA PADILHA</t>
        </is>
      </c>
      <c r="E243" s="30" t="inlineStr">
        <is>
          <t>.</t>
        </is>
      </c>
      <c r="F243" s="63" t="inlineStr"/>
      <c r="G243" s="179" t="inlineStr"/>
      <c r="H243" s="57" t="inlineStr"/>
      <c r="I243" s="57" t="inlineStr"/>
      <c r="J243" s="61" t="inlineStr"/>
      <c r="K243" s="30" t="inlineStr">
        <is>
          <t>.</t>
        </is>
      </c>
      <c r="L243" s="180" t="n">
        <v>4794.63</v>
      </c>
      <c r="M243" s="181" t="n">
        <v>336.93</v>
      </c>
      <c r="N243" s="181" t="n">
        <v>352.08</v>
      </c>
      <c r="O243" s="181" t="n">
        <v>360.57</v>
      </c>
      <c r="P243" s="181" t="n">
        <v>369.96</v>
      </c>
      <c r="Q243" s="181" t="n">
        <v>382.08</v>
      </c>
      <c r="R243" s="181" t="n">
        <v>392.08</v>
      </c>
      <c r="S243" s="181" t="n">
        <v>407.23</v>
      </c>
      <c r="T243" s="181" t="n">
        <v>417.23</v>
      </c>
      <c r="U243" s="181" t="n">
        <v>426.62</v>
      </c>
      <c r="V243" s="181" t="n">
        <v>437.22</v>
      </c>
      <c r="W243" s="181" t="n">
        <v>448.74</v>
      </c>
      <c r="X243" s="182" t="n">
        <v>463.89</v>
      </c>
      <c r="Y243" s="183" t="inlineStr">
        <is>
          <t>.</t>
        </is>
      </c>
      <c r="Z243" s="184">
        <f>SUM(AA243:AL243)</f>
        <v/>
      </c>
      <c r="AA243" s="185" t="n">
        <v>0</v>
      </c>
      <c r="AB243" s="185" t="n">
        <v>0</v>
      </c>
      <c r="AC243" s="185" t="n">
        <v>0</v>
      </c>
      <c r="AD243" s="185" t="n">
        <v>0</v>
      </c>
      <c r="AE243" s="185" t="n">
        <v>0</v>
      </c>
      <c r="AF243" s="185" t="n">
        <v>0</v>
      </c>
      <c r="AG243" s="185" t="n">
        <v>0</v>
      </c>
      <c r="AH243" s="185" t="n">
        <v>0</v>
      </c>
      <c r="AI243" s="185" t="n">
        <v>0</v>
      </c>
      <c r="AJ243" s="185" t="n">
        <v>0</v>
      </c>
      <c r="AK243" s="185" t="n">
        <v>2557.55</v>
      </c>
      <c r="AL243" s="186" t="n">
        <v>0</v>
      </c>
      <c r="AM243" s="30" t="inlineStr">
        <is>
          <t>.</t>
        </is>
      </c>
      <c r="AN243" s="187">
        <f>IF(L243=0,0,Z243/L243)</f>
        <v/>
      </c>
      <c r="AO243" s="57">
        <f>IF(AN243&gt;=1,"🟢",IF(AN243&gt;=0.7,"🟡",IF(AN243&gt;=0.4,"🟠","🔴")))</f>
        <v/>
      </c>
      <c r="AP243" s="185">
        <f>L243-Z243</f>
        <v/>
      </c>
      <c r="AQ243" s="55">
        <f>RANK(Z243,$Z$4:$Z$503,0)</f>
        <v/>
      </c>
      <c r="AR243" s="39" t="inlineStr">
        <is>
          <t>.</t>
        </is>
      </c>
      <c r="AS243" s="27" t="n"/>
      <c r="AT243" s="27" t="n"/>
      <c r="AU243" s="27" t="n"/>
      <c r="AV243" s="27" t="n"/>
      <c r="AW243" s="27" t="n"/>
      <c r="AX243" s="27" t="n"/>
      <c r="AY243" s="204" t="n"/>
      <c r="AZ243" s="204" t="n"/>
      <c r="BA243" s="38" t="inlineStr">
        <is>
          <t>.</t>
        </is>
      </c>
      <c r="BB243" s="190">
        <f>SUM(BC243:BN243)</f>
        <v/>
      </c>
      <c r="BC243" s="191">
        <f>L243*0.0702730030</f>
        <v/>
      </c>
      <c r="BD243" s="191">
        <f>L243*0.0734327604</f>
        <v/>
      </c>
      <c r="BE243" s="191">
        <f>L243*0.0752022245</f>
        <v/>
      </c>
      <c r="BF243" s="191">
        <f>L243*0.0771612740</f>
        <v/>
      </c>
      <c r="BG243" s="191">
        <f>L243*0.0796890799</f>
        <v/>
      </c>
      <c r="BH243" s="191">
        <f>L243*0.0817745197</f>
        <v/>
      </c>
      <c r="BI243" s="191">
        <f>L243*0.0849342770</f>
        <v/>
      </c>
      <c r="BJ243" s="191">
        <f>L243*0.0870197169</f>
        <v/>
      </c>
      <c r="BK243" s="191">
        <f>L243*0.0889787664</f>
        <v/>
      </c>
      <c r="BL243" s="191">
        <f>L243*0.0911905966</f>
        <v/>
      </c>
      <c r="BM243" s="191">
        <f>L243*0.0935920121</f>
        <v/>
      </c>
      <c r="BN243" s="192">
        <f>L243*0.0967517695</f>
        <v/>
      </c>
      <c r="BO243" s="36" t="inlineStr">
        <is>
          <t>.</t>
        </is>
      </c>
      <c r="BP243" s="193">
        <f>SUM(BQ243:CB243)</f>
        <v/>
      </c>
      <c r="BQ243" s="191">
        <f>MAX(0,BC243-AA243)</f>
        <v/>
      </c>
      <c r="BR243" s="191">
        <f>MAX(0,BD243-AB243)</f>
        <v/>
      </c>
      <c r="BS243" s="191">
        <f>MAX(0,BE243-AC243)</f>
        <v/>
      </c>
      <c r="BT243" s="191">
        <f>MAX(0,BF243-AD243)</f>
        <v/>
      </c>
      <c r="BU243" s="191">
        <f>MAX(0,BG243-AE243)</f>
        <v/>
      </c>
      <c r="BV243" s="191">
        <f>MAX(0,BH243-AF243)</f>
        <v/>
      </c>
      <c r="BW243" s="191">
        <f>MAX(0,BI243-AG243)</f>
        <v/>
      </c>
      <c r="BX243" s="191">
        <f>MAX(0,BJ243-AH243)</f>
        <v/>
      </c>
      <c r="BY243" s="191">
        <f>MAX(0,BK243-AI243)</f>
        <v/>
      </c>
      <c r="BZ243" s="191">
        <f>MAX(0,BL243-AJ243)</f>
        <v/>
      </c>
      <c r="CA243" s="191">
        <f>MAX(0,BM243-AK243)</f>
        <v/>
      </c>
      <c r="CB243" s="192">
        <f>MAX(0,BN243-AL243)</f>
        <v/>
      </c>
    </row>
    <row r="244">
      <c r="A244" s="64" t="inlineStr">
        <is>
          <t>26198700000126</t>
        </is>
      </c>
      <c r="B244" s="57" t="inlineStr">
        <is>
          <t>REDE HIPER DOCE CENTRO LTDA - ME</t>
        </is>
      </c>
      <c r="C244" s="57" t="inlineStr">
        <is>
          <t>SEM GRUPO</t>
        </is>
      </c>
      <c r="D244" s="61" t="inlineStr">
        <is>
          <t>LARISSA PADILHA</t>
        </is>
      </c>
      <c r="E244" s="30" t="inlineStr">
        <is>
          <t>.</t>
        </is>
      </c>
      <c r="F244" s="63" t="inlineStr"/>
      <c r="G244" s="179" t="inlineStr"/>
      <c r="H244" s="57" t="inlineStr"/>
      <c r="I244" s="57" t="inlineStr"/>
      <c r="J244" s="61" t="inlineStr"/>
      <c r="K244" s="30" t="inlineStr">
        <is>
          <t>.</t>
        </is>
      </c>
      <c r="L244" s="180" t="n">
        <v>4793.23</v>
      </c>
      <c r="M244" s="181" t="n">
        <v>336.83</v>
      </c>
      <c r="N244" s="181" t="n">
        <v>351.98</v>
      </c>
      <c r="O244" s="181" t="n">
        <v>360.46</v>
      </c>
      <c r="P244" s="181" t="n">
        <v>369.85</v>
      </c>
      <c r="Q244" s="181" t="n">
        <v>381.97</v>
      </c>
      <c r="R244" s="181" t="n">
        <v>391.96</v>
      </c>
      <c r="S244" s="181" t="n">
        <v>407.11</v>
      </c>
      <c r="T244" s="181" t="n">
        <v>417.11</v>
      </c>
      <c r="U244" s="181" t="n">
        <v>426.5</v>
      </c>
      <c r="V244" s="181" t="n">
        <v>437.1</v>
      </c>
      <c r="W244" s="181" t="n">
        <v>448.61</v>
      </c>
      <c r="X244" s="182" t="n">
        <v>463.75</v>
      </c>
      <c r="Y244" s="183" t="inlineStr">
        <is>
          <t>.</t>
        </is>
      </c>
      <c r="Z244" s="184">
        <f>SUM(AA244:AL244)</f>
        <v/>
      </c>
      <c r="AA244" s="185" t="n">
        <v>0</v>
      </c>
      <c r="AB244" s="185" t="n">
        <v>0</v>
      </c>
      <c r="AC244" s="185" t="n">
        <v>0</v>
      </c>
      <c r="AD244" s="185" t="n">
        <v>0</v>
      </c>
      <c r="AE244" s="185" t="n">
        <v>0</v>
      </c>
      <c r="AF244" s="185" t="n">
        <v>0</v>
      </c>
      <c r="AG244" s="185" t="n">
        <v>0</v>
      </c>
      <c r="AH244" s="185" t="n">
        <v>2019.72</v>
      </c>
      <c r="AI244" s="185" t="n">
        <v>0</v>
      </c>
      <c r="AJ244" s="185" t="n">
        <v>0</v>
      </c>
      <c r="AK244" s="185" t="n">
        <v>0</v>
      </c>
      <c r="AL244" s="186" t="n">
        <v>0</v>
      </c>
      <c r="AM244" s="30" t="inlineStr">
        <is>
          <t>.</t>
        </is>
      </c>
      <c r="AN244" s="187">
        <f>IF(L244=0,0,Z244/L244)</f>
        <v/>
      </c>
      <c r="AO244" s="57">
        <f>IF(AN244&gt;=1,"🟢",IF(AN244&gt;=0.7,"🟡",IF(AN244&gt;=0.4,"🟠","🔴")))</f>
        <v/>
      </c>
      <c r="AP244" s="185">
        <f>L244-Z244</f>
        <v/>
      </c>
      <c r="AQ244" s="55">
        <f>RANK(Z244,$Z$4:$Z$503,0)</f>
        <v/>
      </c>
      <c r="AR244" s="39" t="inlineStr">
        <is>
          <t>.</t>
        </is>
      </c>
      <c r="AS244" s="27" t="n"/>
      <c r="AT244" s="27" t="n"/>
      <c r="AU244" s="27" t="n"/>
      <c r="AV244" s="27" t="n"/>
      <c r="AW244" s="27" t="n"/>
      <c r="AX244" s="27" t="n"/>
      <c r="AY244" s="204" t="n"/>
      <c r="AZ244" s="204" t="n"/>
      <c r="BA244" s="38" t="inlineStr">
        <is>
          <t>.</t>
        </is>
      </c>
      <c r="BB244" s="190">
        <f>SUM(BC244:BN244)</f>
        <v/>
      </c>
      <c r="BC244" s="191">
        <f>L244*0.0702730030</f>
        <v/>
      </c>
      <c r="BD244" s="191">
        <f>L244*0.0734327604</f>
        <v/>
      </c>
      <c r="BE244" s="191">
        <f>L244*0.0752022245</f>
        <v/>
      </c>
      <c r="BF244" s="191">
        <f>L244*0.0771612740</f>
        <v/>
      </c>
      <c r="BG244" s="191">
        <f>L244*0.0796890799</f>
        <v/>
      </c>
      <c r="BH244" s="191">
        <f>L244*0.0817745197</f>
        <v/>
      </c>
      <c r="BI244" s="191">
        <f>L244*0.0849342770</f>
        <v/>
      </c>
      <c r="BJ244" s="191">
        <f>L244*0.0870197169</f>
        <v/>
      </c>
      <c r="BK244" s="191">
        <f>L244*0.0889787664</f>
        <v/>
      </c>
      <c r="BL244" s="191">
        <f>L244*0.0911905966</f>
        <v/>
      </c>
      <c r="BM244" s="191">
        <f>L244*0.0935920121</f>
        <v/>
      </c>
      <c r="BN244" s="192">
        <f>L244*0.0967517695</f>
        <v/>
      </c>
      <c r="BO244" s="36" t="inlineStr">
        <is>
          <t>.</t>
        </is>
      </c>
      <c r="BP244" s="193">
        <f>SUM(BQ244:CB244)</f>
        <v/>
      </c>
      <c r="BQ244" s="191">
        <f>MAX(0,BC244-AA244)</f>
        <v/>
      </c>
      <c r="BR244" s="191">
        <f>MAX(0,BD244-AB244)</f>
        <v/>
      </c>
      <c r="BS244" s="191">
        <f>MAX(0,BE244-AC244)</f>
        <v/>
      </c>
      <c r="BT244" s="191">
        <f>MAX(0,BF244-AD244)</f>
        <v/>
      </c>
      <c r="BU244" s="191">
        <f>MAX(0,BG244-AE244)</f>
        <v/>
      </c>
      <c r="BV244" s="191">
        <f>MAX(0,BH244-AF244)</f>
        <v/>
      </c>
      <c r="BW244" s="191">
        <f>MAX(0,BI244-AG244)</f>
        <v/>
      </c>
      <c r="BX244" s="191">
        <f>MAX(0,BJ244-AH244)</f>
        <v/>
      </c>
      <c r="BY244" s="191">
        <f>MAX(0,BK244-AI244)</f>
        <v/>
      </c>
      <c r="BZ244" s="191">
        <f>MAX(0,BL244-AJ244)</f>
        <v/>
      </c>
      <c r="CA244" s="191">
        <f>MAX(0,BM244-AK244)</f>
        <v/>
      </c>
      <c r="CB244" s="192">
        <f>MAX(0,BN244-AL244)</f>
        <v/>
      </c>
    </row>
    <row r="245">
      <c r="A245" s="64" t="inlineStr">
        <is>
          <t>54423411000119</t>
        </is>
      </c>
      <c r="B245" s="57" t="inlineStr">
        <is>
          <t>MAGE MAIS COMERCIO DE ALIMENTOS LTDA - M</t>
        </is>
      </c>
      <c r="C245" s="57" t="inlineStr">
        <is>
          <t>VIDA LEVE</t>
        </is>
      </c>
      <c r="D245" s="61" t="inlineStr">
        <is>
          <t>DAIANE STAVICKI</t>
        </is>
      </c>
      <c r="E245" s="30" t="inlineStr">
        <is>
          <t>.</t>
        </is>
      </c>
      <c r="F245" s="63" t="n">
        <v>81</v>
      </c>
      <c r="G245" s="179" t="n">
        <v>0.08</v>
      </c>
      <c r="H245" s="57" t="inlineStr">
        <is>
          <t>🔴 VERMELHO</t>
        </is>
      </c>
      <c r="I245" s="57" t="inlineStr">
        <is>
          <t>ATIVAÇÃO</t>
        </is>
      </c>
      <c r="J245" s="61" t="inlineStr">
        <is>
          <t>Reativar inativos + Prospectar</t>
        </is>
      </c>
      <c r="K245" s="30" t="inlineStr">
        <is>
          <t>.</t>
        </is>
      </c>
      <c r="L245" s="180" t="n">
        <v>4742.19</v>
      </c>
      <c r="M245" s="181" t="n">
        <v>333.25</v>
      </c>
      <c r="N245" s="181" t="n">
        <v>348.23</v>
      </c>
      <c r="O245" s="181" t="n">
        <v>356.62</v>
      </c>
      <c r="P245" s="181" t="n">
        <v>365.91</v>
      </c>
      <c r="Q245" s="181" t="n">
        <v>377.9</v>
      </c>
      <c r="R245" s="181" t="n">
        <v>387.79</v>
      </c>
      <c r="S245" s="181" t="n">
        <v>402.78</v>
      </c>
      <c r="T245" s="181" t="n">
        <v>412.66</v>
      </c>
      <c r="U245" s="181" t="n">
        <v>421.96</v>
      </c>
      <c r="V245" s="181" t="n">
        <v>432.44</v>
      </c>
      <c r="W245" s="181" t="n">
        <v>443.83</v>
      </c>
      <c r="X245" s="182" t="n">
        <v>458.82</v>
      </c>
      <c r="Y245" s="183" t="inlineStr">
        <is>
          <t>.</t>
        </is>
      </c>
      <c r="Z245" s="184">
        <f>SUM(AA245:AL245)</f>
        <v/>
      </c>
      <c r="AA245" s="185" t="n">
        <v>0</v>
      </c>
      <c r="AB245" s="185" t="n">
        <v>0</v>
      </c>
      <c r="AC245" s="185" t="n">
        <v>0</v>
      </c>
      <c r="AD245" s="185" t="n">
        <v>0</v>
      </c>
      <c r="AE245" s="185" t="n">
        <v>0</v>
      </c>
      <c r="AF245" s="185" t="n">
        <v>0</v>
      </c>
      <c r="AG245" s="185" t="n">
        <v>831.02</v>
      </c>
      <c r="AH245" s="185" t="n">
        <v>0</v>
      </c>
      <c r="AI245" s="185" t="n">
        <v>0</v>
      </c>
      <c r="AJ245" s="185" t="n">
        <v>852.97</v>
      </c>
      <c r="AK245" s="185" t="n">
        <v>0</v>
      </c>
      <c r="AL245" s="186" t="n">
        <v>718.05</v>
      </c>
      <c r="AM245" s="30" t="inlineStr">
        <is>
          <t>.</t>
        </is>
      </c>
      <c r="AN245" s="187">
        <f>IF(L245=0,0,Z245/L245)</f>
        <v/>
      </c>
      <c r="AO245" s="57">
        <f>IF(AN245&gt;=1,"🟢",IF(AN245&gt;=0.7,"🟡",IF(AN245&gt;=0.4,"🟠","🔴")))</f>
        <v/>
      </c>
      <c r="AP245" s="185">
        <f>L245-Z245</f>
        <v/>
      </c>
      <c r="AQ245" s="55">
        <f>RANK(Z245,$Z$4:$Z$503,0)</f>
        <v/>
      </c>
      <c r="AR245" s="39" t="inlineStr">
        <is>
          <t>.</t>
        </is>
      </c>
      <c r="AS245" s="27" t="n"/>
      <c r="AT245" s="27" t="n"/>
      <c r="AU245" s="27" t="n"/>
      <c r="AV245" s="27" t="n"/>
      <c r="AW245" s="27" t="n"/>
      <c r="AX245" s="27" t="n"/>
      <c r="AY245" s="204" t="n"/>
      <c r="AZ245" s="204" t="n"/>
      <c r="BA245" s="38" t="inlineStr">
        <is>
          <t>.</t>
        </is>
      </c>
      <c r="BB245" s="190">
        <f>SUM(BC245:BN245)</f>
        <v/>
      </c>
      <c r="BC245" s="191">
        <f>L245*0.0702730030</f>
        <v/>
      </c>
      <c r="BD245" s="191">
        <f>L245*0.0734327604</f>
        <v/>
      </c>
      <c r="BE245" s="191">
        <f>L245*0.0752022245</f>
        <v/>
      </c>
      <c r="BF245" s="191">
        <f>L245*0.0771612740</f>
        <v/>
      </c>
      <c r="BG245" s="191">
        <f>L245*0.0796890799</f>
        <v/>
      </c>
      <c r="BH245" s="191">
        <f>L245*0.0817745197</f>
        <v/>
      </c>
      <c r="BI245" s="191">
        <f>L245*0.0849342770</f>
        <v/>
      </c>
      <c r="BJ245" s="191">
        <f>L245*0.0870197169</f>
        <v/>
      </c>
      <c r="BK245" s="191">
        <f>L245*0.0889787664</f>
        <v/>
      </c>
      <c r="BL245" s="191">
        <f>L245*0.0911905966</f>
        <v/>
      </c>
      <c r="BM245" s="191">
        <f>L245*0.0935920121</f>
        <v/>
      </c>
      <c r="BN245" s="192">
        <f>L245*0.0967517695</f>
        <v/>
      </c>
      <c r="BO245" s="36" t="inlineStr">
        <is>
          <t>.</t>
        </is>
      </c>
      <c r="BP245" s="193">
        <f>SUM(BQ245:CB245)</f>
        <v/>
      </c>
      <c r="BQ245" s="191">
        <f>MAX(0,BC245-AA245)</f>
        <v/>
      </c>
      <c r="BR245" s="191">
        <f>MAX(0,BD245-AB245)</f>
        <v/>
      </c>
      <c r="BS245" s="191">
        <f>MAX(0,BE245-AC245)</f>
        <v/>
      </c>
      <c r="BT245" s="191">
        <f>MAX(0,BF245-AD245)</f>
        <v/>
      </c>
      <c r="BU245" s="191">
        <f>MAX(0,BG245-AE245)</f>
        <v/>
      </c>
      <c r="BV245" s="191">
        <f>MAX(0,BH245-AF245)</f>
        <v/>
      </c>
      <c r="BW245" s="191">
        <f>MAX(0,BI245-AG245)</f>
        <v/>
      </c>
      <c r="BX245" s="191">
        <f>MAX(0,BJ245-AH245)</f>
        <v/>
      </c>
      <c r="BY245" s="191">
        <f>MAX(0,BK245-AI245)</f>
        <v/>
      </c>
      <c r="BZ245" s="191">
        <f>MAX(0,BL245-AJ245)</f>
        <v/>
      </c>
      <c r="CA245" s="191">
        <f>MAX(0,BM245-AK245)</f>
        <v/>
      </c>
      <c r="CB245" s="192">
        <f>MAX(0,BN245-AL245)</f>
        <v/>
      </c>
    </row>
    <row r="246">
      <c r="A246" s="64" t="inlineStr">
        <is>
          <t>18997672000189</t>
        </is>
      </c>
      <c r="B246" s="57" t="inlineStr">
        <is>
          <t>KUWADA COMPANIA LTDA - ME</t>
        </is>
      </c>
      <c r="C246" s="57" t="inlineStr">
        <is>
          <t>SEM GRUPO</t>
        </is>
      </c>
      <c r="D246" s="61" t="inlineStr">
        <is>
          <t>LARISSA PADILHA</t>
        </is>
      </c>
      <c r="E246" s="30" t="inlineStr">
        <is>
          <t>.</t>
        </is>
      </c>
      <c r="F246" s="63" t="inlineStr"/>
      <c r="G246" s="179" t="inlineStr"/>
      <c r="H246" s="57" t="inlineStr"/>
      <c r="I246" s="57" t="inlineStr"/>
      <c r="J246" s="61" t="inlineStr"/>
      <c r="K246" s="30" t="inlineStr">
        <is>
          <t>.</t>
        </is>
      </c>
      <c r="L246" s="180" t="n">
        <v>4730.070000000002</v>
      </c>
      <c r="M246" s="181" t="n">
        <v>332.4</v>
      </c>
      <c r="N246" s="181" t="n">
        <v>347.34</v>
      </c>
      <c r="O246" s="181" t="n">
        <v>355.71</v>
      </c>
      <c r="P246" s="181" t="n">
        <v>364.98</v>
      </c>
      <c r="Q246" s="181" t="n">
        <v>376.93</v>
      </c>
      <c r="R246" s="181" t="n">
        <v>386.8</v>
      </c>
      <c r="S246" s="181" t="n">
        <v>401.74</v>
      </c>
      <c r="T246" s="181" t="n">
        <v>411.61</v>
      </c>
      <c r="U246" s="181" t="n">
        <v>420.88</v>
      </c>
      <c r="V246" s="181" t="n">
        <v>431.34</v>
      </c>
      <c r="W246" s="181" t="n">
        <v>442.7</v>
      </c>
      <c r="X246" s="182" t="n">
        <v>457.64</v>
      </c>
      <c r="Y246" s="183" t="inlineStr">
        <is>
          <t>.</t>
        </is>
      </c>
      <c r="Z246" s="184">
        <f>SUM(AA246:AL246)</f>
        <v/>
      </c>
      <c r="AA246" s="185" t="n">
        <v>0</v>
      </c>
      <c r="AB246" s="185" t="n">
        <v>0</v>
      </c>
      <c r="AC246" s="185" t="n">
        <v>0</v>
      </c>
      <c r="AD246" s="185" t="n">
        <v>0</v>
      </c>
      <c r="AE246" s="185" t="n">
        <v>0</v>
      </c>
      <c r="AF246" s="185" t="n">
        <v>0</v>
      </c>
      <c r="AG246" s="185" t="n">
        <v>893</v>
      </c>
      <c r="AH246" s="185" t="n">
        <v>0</v>
      </c>
      <c r="AI246" s="185" t="n">
        <v>1345.1</v>
      </c>
      <c r="AJ246" s="185" t="n">
        <v>0</v>
      </c>
      <c r="AK246" s="185" t="n">
        <v>0</v>
      </c>
      <c r="AL246" s="186" t="n">
        <v>0</v>
      </c>
      <c r="AM246" s="30" t="inlineStr">
        <is>
          <t>.</t>
        </is>
      </c>
      <c r="AN246" s="187">
        <f>IF(L246=0,0,Z246/L246)</f>
        <v/>
      </c>
      <c r="AO246" s="57">
        <f>IF(AN246&gt;=1,"🟢",IF(AN246&gt;=0.7,"🟡",IF(AN246&gt;=0.4,"🟠","🔴")))</f>
        <v/>
      </c>
      <c r="AP246" s="185">
        <f>L246-Z246</f>
        <v/>
      </c>
      <c r="AQ246" s="55">
        <f>RANK(Z246,$Z$4:$Z$503,0)</f>
        <v/>
      </c>
      <c r="AR246" s="39" t="inlineStr">
        <is>
          <t>.</t>
        </is>
      </c>
      <c r="AS246" s="27" t="n"/>
      <c r="AT246" s="27" t="n"/>
      <c r="AU246" s="27" t="n"/>
      <c r="AV246" s="27" t="n"/>
      <c r="AW246" s="27" t="n"/>
      <c r="AX246" s="27" t="n"/>
      <c r="AY246" s="204" t="n"/>
      <c r="AZ246" s="204" t="n"/>
      <c r="BA246" s="38" t="inlineStr">
        <is>
          <t>.</t>
        </is>
      </c>
      <c r="BB246" s="190">
        <f>SUM(BC246:BN246)</f>
        <v/>
      </c>
      <c r="BC246" s="191">
        <f>L246*0.0702730030</f>
        <v/>
      </c>
      <c r="BD246" s="191">
        <f>L246*0.0734327604</f>
        <v/>
      </c>
      <c r="BE246" s="191">
        <f>L246*0.0752022245</f>
        <v/>
      </c>
      <c r="BF246" s="191">
        <f>L246*0.0771612740</f>
        <v/>
      </c>
      <c r="BG246" s="191">
        <f>L246*0.0796890799</f>
        <v/>
      </c>
      <c r="BH246" s="191">
        <f>L246*0.0817745197</f>
        <v/>
      </c>
      <c r="BI246" s="191">
        <f>L246*0.0849342770</f>
        <v/>
      </c>
      <c r="BJ246" s="191">
        <f>L246*0.0870197169</f>
        <v/>
      </c>
      <c r="BK246" s="191">
        <f>L246*0.0889787664</f>
        <v/>
      </c>
      <c r="BL246" s="191">
        <f>L246*0.0911905966</f>
        <v/>
      </c>
      <c r="BM246" s="191">
        <f>L246*0.0935920121</f>
        <v/>
      </c>
      <c r="BN246" s="192">
        <f>L246*0.0967517695</f>
        <v/>
      </c>
      <c r="BO246" s="36" t="inlineStr">
        <is>
          <t>.</t>
        </is>
      </c>
      <c r="BP246" s="193">
        <f>SUM(BQ246:CB246)</f>
        <v/>
      </c>
      <c r="BQ246" s="191">
        <f>MAX(0,BC246-AA246)</f>
        <v/>
      </c>
      <c r="BR246" s="191">
        <f>MAX(0,BD246-AB246)</f>
        <v/>
      </c>
      <c r="BS246" s="191">
        <f>MAX(0,BE246-AC246)</f>
        <v/>
      </c>
      <c r="BT246" s="191">
        <f>MAX(0,BF246-AD246)</f>
        <v/>
      </c>
      <c r="BU246" s="191">
        <f>MAX(0,BG246-AE246)</f>
        <v/>
      </c>
      <c r="BV246" s="191">
        <f>MAX(0,BH246-AF246)</f>
        <v/>
      </c>
      <c r="BW246" s="191">
        <f>MAX(0,BI246-AG246)</f>
        <v/>
      </c>
      <c r="BX246" s="191">
        <f>MAX(0,BJ246-AH246)</f>
        <v/>
      </c>
      <c r="BY246" s="191">
        <f>MAX(0,BK246-AI246)</f>
        <v/>
      </c>
      <c r="BZ246" s="191">
        <f>MAX(0,BL246-AJ246)</f>
        <v/>
      </c>
      <c r="CA246" s="191">
        <f>MAX(0,BM246-AK246)</f>
        <v/>
      </c>
      <c r="CB246" s="192">
        <f>MAX(0,BN246-AL246)</f>
        <v/>
      </c>
    </row>
    <row r="247">
      <c r="A247" s="64" t="inlineStr">
        <is>
          <t>26249561000465</t>
        </is>
      </c>
      <c r="B247" s="57" t="inlineStr">
        <is>
          <t>MIX TUDO COMERCIO DE ALIMENTOS E SERVICO</t>
        </is>
      </c>
      <c r="C247" s="57" t="inlineStr">
        <is>
          <t>SEM GRUPO</t>
        </is>
      </c>
      <c r="D247" s="61" t="inlineStr">
        <is>
          <t>LARISSA PADILHA</t>
        </is>
      </c>
      <c r="E247" s="30" t="inlineStr">
        <is>
          <t>.</t>
        </is>
      </c>
      <c r="F247" s="63" t="inlineStr"/>
      <c r="G247" s="179" t="inlineStr"/>
      <c r="H247" s="57" t="inlineStr"/>
      <c r="I247" s="57" t="inlineStr"/>
      <c r="J247" s="61" t="inlineStr"/>
      <c r="K247" s="30" t="inlineStr">
        <is>
          <t>.</t>
        </is>
      </c>
      <c r="L247" s="180" t="n">
        <v>4719.12</v>
      </c>
      <c r="M247" s="181" t="n">
        <v>331.63</v>
      </c>
      <c r="N247" s="181" t="n">
        <v>346.54</v>
      </c>
      <c r="O247" s="181" t="n">
        <v>354.89</v>
      </c>
      <c r="P247" s="181" t="n">
        <v>364.13</v>
      </c>
      <c r="Q247" s="181" t="n">
        <v>376.06</v>
      </c>
      <c r="R247" s="181" t="n">
        <v>385.9</v>
      </c>
      <c r="S247" s="181" t="n">
        <v>400.82</v>
      </c>
      <c r="T247" s="181" t="n">
        <v>410.66</v>
      </c>
      <c r="U247" s="181" t="n">
        <v>419.9</v>
      </c>
      <c r="V247" s="181" t="n">
        <v>430.34</v>
      </c>
      <c r="W247" s="181" t="n">
        <v>441.67</v>
      </c>
      <c r="X247" s="182" t="n">
        <v>456.58</v>
      </c>
      <c r="Y247" s="183" t="inlineStr">
        <is>
          <t>.</t>
        </is>
      </c>
      <c r="Z247" s="184">
        <f>SUM(AA247:AL247)</f>
        <v/>
      </c>
      <c r="AA247" s="185" t="n">
        <v>0</v>
      </c>
      <c r="AB247" s="185" t="n">
        <v>0</v>
      </c>
      <c r="AC247" s="185" t="n">
        <v>0</v>
      </c>
      <c r="AD247" s="185" t="n">
        <v>614.71</v>
      </c>
      <c r="AE247" s="185" t="n">
        <v>0</v>
      </c>
      <c r="AF247" s="185" t="n">
        <v>0</v>
      </c>
      <c r="AG247" s="185" t="n">
        <v>0</v>
      </c>
      <c r="AH247" s="185" t="n">
        <v>0</v>
      </c>
      <c r="AI247" s="185" t="n">
        <v>1352.31</v>
      </c>
      <c r="AJ247" s="185" t="n">
        <v>0</v>
      </c>
      <c r="AK247" s="185" t="n">
        <v>0</v>
      </c>
      <c r="AL247" s="186" t="n">
        <v>0</v>
      </c>
      <c r="AM247" s="30" t="inlineStr">
        <is>
          <t>.</t>
        </is>
      </c>
      <c r="AN247" s="187">
        <f>IF(L247=0,0,Z247/L247)</f>
        <v/>
      </c>
      <c r="AO247" s="57">
        <f>IF(AN247&gt;=1,"🟢",IF(AN247&gt;=0.7,"🟡",IF(AN247&gt;=0.4,"🟠","🔴")))</f>
        <v/>
      </c>
      <c r="AP247" s="185">
        <f>L247-Z247</f>
        <v/>
      </c>
      <c r="AQ247" s="55">
        <f>RANK(Z247,$Z$4:$Z$503,0)</f>
        <v/>
      </c>
      <c r="AR247" s="39" t="inlineStr">
        <is>
          <t>.</t>
        </is>
      </c>
      <c r="AS247" s="27" t="n"/>
      <c r="AT247" s="27" t="n"/>
      <c r="AU247" s="27" t="n"/>
      <c r="AV247" s="27" t="n"/>
      <c r="AW247" s="27" t="n"/>
      <c r="AX247" s="27" t="n"/>
      <c r="AY247" s="204" t="n"/>
      <c r="AZ247" s="204" t="n"/>
      <c r="BA247" s="38" t="inlineStr">
        <is>
          <t>.</t>
        </is>
      </c>
      <c r="BB247" s="190">
        <f>SUM(BC247:BN247)</f>
        <v/>
      </c>
      <c r="BC247" s="191">
        <f>L247*0.0702730030</f>
        <v/>
      </c>
      <c r="BD247" s="191">
        <f>L247*0.0734327604</f>
        <v/>
      </c>
      <c r="BE247" s="191">
        <f>L247*0.0752022245</f>
        <v/>
      </c>
      <c r="BF247" s="191">
        <f>L247*0.0771612740</f>
        <v/>
      </c>
      <c r="BG247" s="191">
        <f>L247*0.0796890799</f>
        <v/>
      </c>
      <c r="BH247" s="191">
        <f>L247*0.0817745197</f>
        <v/>
      </c>
      <c r="BI247" s="191">
        <f>L247*0.0849342770</f>
        <v/>
      </c>
      <c r="BJ247" s="191">
        <f>L247*0.0870197169</f>
        <v/>
      </c>
      <c r="BK247" s="191">
        <f>L247*0.0889787664</f>
        <v/>
      </c>
      <c r="BL247" s="191">
        <f>L247*0.0911905966</f>
        <v/>
      </c>
      <c r="BM247" s="191">
        <f>L247*0.0935920121</f>
        <v/>
      </c>
      <c r="BN247" s="192">
        <f>L247*0.0967517695</f>
        <v/>
      </c>
      <c r="BO247" s="36" t="inlineStr">
        <is>
          <t>.</t>
        </is>
      </c>
      <c r="BP247" s="193">
        <f>SUM(BQ247:CB247)</f>
        <v/>
      </c>
      <c r="BQ247" s="191">
        <f>MAX(0,BC247-AA247)</f>
        <v/>
      </c>
      <c r="BR247" s="191">
        <f>MAX(0,BD247-AB247)</f>
        <v/>
      </c>
      <c r="BS247" s="191">
        <f>MAX(0,BE247-AC247)</f>
        <v/>
      </c>
      <c r="BT247" s="191">
        <f>MAX(0,BF247-AD247)</f>
        <v/>
      </c>
      <c r="BU247" s="191">
        <f>MAX(0,BG247-AE247)</f>
        <v/>
      </c>
      <c r="BV247" s="191">
        <f>MAX(0,BH247-AF247)</f>
        <v/>
      </c>
      <c r="BW247" s="191">
        <f>MAX(0,BI247-AG247)</f>
        <v/>
      </c>
      <c r="BX247" s="191">
        <f>MAX(0,BJ247-AH247)</f>
        <v/>
      </c>
      <c r="BY247" s="191">
        <f>MAX(0,BK247-AI247)</f>
        <v/>
      </c>
      <c r="BZ247" s="191">
        <f>MAX(0,BL247-AJ247)</f>
        <v/>
      </c>
      <c r="CA247" s="191">
        <f>MAX(0,BM247-AK247)</f>
        <v/>
      </c>
      <c r="CB247" s="192">
        <f>MAX(0,BN247-AL247)</f>
        <v/>
      </c>
    </row>
    <row r="248">
      <c r="A248" s="64" t="inlineStr">
        <is>
          <t>53357667000293</t>
        </is>
      </c>
      <c r="B248" s="57" t="inlineStr">
        <is>
          <t>ROCHA NUTRICAO LTDA - ME</t>
        </is>
      </c>
      <c r="C248" s="57" t="inlineStr">
        <is>
          <t>SEM GRUPO</t>
        </is>
      </c>
      <c r="D248" s="61" t="inlineStr">
        <is>
          <t>HEMANUELE DITZEL (MANU)</t>
        </is>
      </c>
      <c r="E248" s="30" t="inlineStr">
        <is>
          <t>.</t>
        </is>
      </c>
      <c r="F248" s="63" t="inlineStr"/>
      <c r="G248" s="179" t="inlineStr"/>
      <c r="H248" s="57" t="inlineStr"/>
      <c r="I248" s="57" t="inlineStr"/>
      <c r="J248" s="61" t="inlineStr"/>
      <c r="K248" s="30" t="inlineStr">
        <is>
          <t>.</t>
        </is>
      </c>
      <c r="L248" s="180" t="n">
        <v>4706.92</v>
      </c>
      <c r="M248" s="181" t="n">
        <v>330.77</v>
      </c>
      <c r="N248" s="181" t="n">
        <v>345.64</v>
      </c>
      <c r="O248" s="181" t="n">
        <v>353.97</v>
      </c>
      <c r="P248" s="181" t="n">
        <v>363.19</v>
      </c>
      <c r="Q248" s="181" t="n">
        <v>375.09</v>
      </c>
      <c r="R248" s="181" t="n">
        <v>384.91</v>
      </c>
      <c r="S248" s="181" t="n">
        <v>399.78</v>
      </c>
      <c r="T248" s="181" t="n">
        <v>409.59</v>
      </c>
      <c r="U248" s="181" t="n">
        <v>418.82</v>
      </c>
      <c r="V248" s="181" t="n">
        <v>429.23</v>
      </c>
      <c r="W248" s="181" t="n">
        <v>440.53</v>
      </c>
      <c r="X248" s="182" t="n">
        <v>455.4</v>
      </c>
      <c r="Y248" s="183" t="inlineStr">
        <is>
          <t>.</t>
        </is>
      </c>
      <c r="Z248" s="184">
        <f>SUM(AA248:AL248)</f>
        <v/>
      </c>
      <c r="AA248" s="185" t="n">
        <v>0</v>
      </c>
      <c r="AB248" s="185" t="n">
        <v>0</v>
      </c>
      <c r="AC248" s="185" t="n">
        <v>0</v>
      </c>
      <c r="AD248" s="185" t="n">
        <v>0</v>
      </c>
      <c r="AE248" s="185" t="n">
        <v>0</v>
      </c>
      <c r="AF248" s="185" t="n">
        <v>1890.19</v>
      </c>
      <c r="AG248" s="185" t="n">
        <v>0</v>
      </c>
      <c r="AH248" s="185" t="n">
        <v>0</v>
      </c>
      <c r="AI248" s="185" t="n">
        <v>0</v>
      </c>
      <c r="AJ248" s="185" t="n">
        <v>0</v>
      </c>
      <c r="AK248" s="185" t="n">
        <v>0</v>
      </c>
      <c r="AL248" s="186" t="n">
        <v>0</v>
      </c>
      <c r="AM248" s="30" t="inlineStr">
        <is>
          <t>.</t>
        </is>
      </c>
      <c r="AN248" s="187">
        <f>IF(L248=0,0,Z248/L248)</f>
        <v/>
      </c>
      <c r="AO248" s="57">
        <f>IF(AN248&gt;=1,"🟢",IF(AN248&gt;=0.7,"🟡",IF(AN248&gt;=0.4,"🟠","🔴")))</f>
        <v/>
      </c>
      <c r="AP248" s="185">
        <f>L248-Z248</f>
        <v/>
      </c>
      <c r="AQ248" s="55">
        <f>RANK(Z248,$Z$4:$Z$503,0)</f>
        <v/>
      </c>
      <c r="AR248" s="39" t="inlineStr">
        <is>
          <t>.</t>
        </is>
      </c>
      <c r="AS248" s="27" t="n"/>
      <c r="AT248" s="27" t="n"/>
      <c r="AU248" s="27" t="n"/>
      <c r="AV248" s="27" t="n"/>
      <c r="AW248" s="27" t="n"/>
      <c r="AX248" s="27" t="n"/>
      <c r="AY248" s="204" t="n"/>
      <c r="AZ248" s="204" t="n"/>
      <c r="BA248" s="38" t="inlineStr">
        <is>
          <t>.</t>
        </is>
      </c>
      <c r="BB248" s="190">
        <f>SUM(BC248:BN248)</f>
        <v/>
      </c>
      <c r="BC248" s="191">
        <f>L248*0.0702730030</f>
        <v/>
      </c>
      <c r="BD248" s="191">
        <f>L248*0.0734327604</f>
        <v/>
      </c>
      <c r="BE248" s="191">
        <f>L248*0.0752022245</f>
        <v/>
      </c>
      <c r="BF248" s="191">
        <f>L248*0.0771612740</f>
        <v/>
      </c>
      <c r="BG248" s="191">
        <f>L248*0.0796890799</f>
        <v/>
      </c>
      <c r="BH248" s="191">
        <f>L248*0.0817745197</f>
        <v/>
      </c>
      <c r="BI248" s="191">
        <f>L248*0.0849342770</f>
        <v/>
      </c>
      <c r="BJ248" s="191">
        <f>L248*0.0870197169</f>
        <v/>
      </c>
      <c r="BK248" s="191">
        <f>L248*0.0889787664</f>
        <v/>
      </c>
      <c r="BL248" s="191">
        <f>L248*0.0911905966</f>
        <v/>
      </c>
      <c r="BM248" s="191">
        <f>L248*0.0935920121</f>
        <v/>
      </c>
      <c r="BN248" s="192">
        <f>L248*0.0967517695</f>
        <v/>
      </c>
      <c r="BO248" s="36" t="inlineStr">
        <is>
          <t>.</t>
        </is>
      </c>
      <c r="BP248" s="193">
        <f>SUM(BQ248:CB248)</f>
        <v/>
      </c>
      <c r="BQ248" s="191">
        <f>MAX(0,BC248-AA248)</f>
        <v/>
      </c>
      <c r="BR248" s="191">
        <f>MAX(0,BD248-AB248)</f>
        <v/>
      </c>
      <c r="BS248" s="191">
        <f>MAX(0,BE248-AC248)</f>
        <v/>
      </c>
      <c r="BT248" s="191">
        <f>MAX(0,BF248-AD248)</f>
        <v/>
      </c>
      <c r="BU248" s="191">
        <f>MAX(0,BG248-AE248)</f>
        <v/>
      </c>
      <c r="BV248" s="191">
        <f>MAX(0,BH248-AF248)</f>
        <v/>
      </c>
      <c r="BW248" s="191">
        <f>MAX(0,BI248-AG248)</f>
        <v/>
      </c>
      <c r="BX248" s="191">
        <f>MAX(0,BJ248-AH248)</f>
        <v/>
      </c>
      <c r="BY248" s="191">
        <f>MAX(0,BK248-AI248)</f>
        <v/>
      </c>
      <c r="BZ248" s="191">
        <f>MAX(0,BL248-AJ248)</f>
        <v/>
      </c>
      <c r="CA248" s="191">
        <f>MAX(0,BM248-AK248)</f>
        <v/>
      </c>
      <c r="CB248" s="192">
        <f>MAX(0,BN248-AL248)</f>
        <v/>
      </c>
    </row>
    <row r="249">
      <c r="A249" s="64" t="inlineStr">
        <is>
          <t>08808355000113</t>
        </is>
      </c>
      <c r="B249" s="57" t="inlineStr">
        <is>
          <t>IM PRODUTOS NATURAIS LTDA - ME</t>
        </is>
      </c>
      <c r="C249" s="57" t="inlineStr">
        <is>
          <t>CIA DA SAUDE</t>
        </is>
      </c>
      <c r="D249" s="61" t="inlineStr">
        <is>
          <t>JULIO GADRET</t>
        </is>
      </c>
      <c r="E249" s="30" t="inlineStr">
        <is>
          <t>.</t>
        </is>
      </c>
      <c r="F249" s="63" t="n">
        <v>163</v>
      </c>
      <c r="G249" s="179" t="n">
        <v>0.026</v>
      </c>
      <c r="H249" s="57" t="inlineStr">
        <is>
          <t>🔴 VERMELHO</t>
        </is>
      </c>
      <c r="I249" s="57" t="inlineStr">
        <is>
          <t>ATIVAÇÃO</t>
        </is>
      </c>
      <c r="J249" s="61" t="inlineStr">
        <is>
          <t>Reativar inativos + Prospectar</t>
        </is>
      </c>
      <c r="K249" s="30" t="inlineStr">
        <is>
          <t>.</t>
        </is>
      </c>
      <c r="L249" s="180" t="n">
        <v>4602.89</v>
      </c>
      <c r="M249" s="181" t="n">
        <v>323.46</v>
      </c>
      <c r="N249" s="181" t="n">
        <v>338</v>
      </c>
      <c r="O249" s="181" t="n">
        <v>346.15</v>
      </c>
      <c r="P249" s="181" t="n">
        <v>355.17</v>
      </c>
      <c r="Q249" s="181" t="n">
        <v>366.8</v>
      </c>
      <c r="R249" s="181" t="n">
        <v>376.4</v>
      </c>
      <c r="S249" s="181" t="n">
        <v>390.94</v>
      </c>
      <c r="T249" s="181" t="n">
        <v>400.54</v>
      </c>
      <c r="U249" s="181" t="n">
        <v>409.56</v>
      </c>
      <c r="V249" s="181" t="n">
        <v>419.74</v>
      </c>
      <c r="W249" s="181" t="n">
        <v>430.79</v>
      </c>
      <c r="X249" s="182" t="n">
        <v>445.34</v>
      </c>
      <c r="Y249" s="183" t="inlineStr">
        <is>
          <t>.</t>
        </is>
      </c>
      <c r="Z249" s="184">
        <f>SUM(AA249:AL249)</f>
        <v/>
      </c>
      <c r="AA249" s="185" t="n">
        <v>0</v>
      </c>
      <c r="AB249" s="185" t="n">
        <v>0</v>
      </c>
      <c r="AC249" s="185" t="n">
        <v>0</v>
      </c>
      <c r="AD249" s="185" t="n">
        <v>0</v>
      </c>
      <c r="AE249" s="185" t="n">
        <v>0</v>
      </c>
      <c r="AF249" s="185" t="n">
        <v>0</v>
      </c>
      <c r="AG249" s="185" t="n">
        <v>0</v>
      </c>
      <c r="AH249" s="185" t="n">
        <v>0</v>
      </c>
      <c r="AI249" s="185" t="n">
        <v>0</v>
      </c>
      <c r="AJ249" s="185" t="n">
        <v>1469.43</v>
      </c>
      <c r="AK249" s="185" t="n">
        <v>0</v>
      </c>
      <c r="AL249" s="186" t="n">
        <v>890.1799999999999</v>
      </c>
      <c r="AM249" s="30" t="inlineStr">
        <is>
          <t>.</t>
        </is>
      </c>
      <c r="AN249" s="187">
        <f>IF(L249=0,0,Z249/L249)</f>
        <v/>
      </c>
      <c r="AO249" s="57">
        <f>IF(AN249&gt;=1,"🟢",IF(AN249&gt;=0.7,"🟡",IF(AN249&gt;=0.4,"🟠","🔴")))</f>
        <v/>
      </c>
      <c r="AP249" s="185">
        <f>L249-Z249</f>
        <v/>
      </c>
      <c r="AQ249" s="55">
        <f>RANK(Z249,$Z$4:$Z$503,0)</f>
        <v/>
      </c>
      <c r="AR249" s="39" t="inlineStr">
        <is>
          <t>.</t>
        </is>
      </c>
      <c r="AS249" s="27" t="n"/>
      <c r="AT249" s="27" t="n"/>
      <c r="AU249" s="27" t="n"/>
      <c r="AV249" s="27" t="n"/>
      <c r="AW249" s="27" t="n"/>
      <c r="AX249" s="27" t="n"/>
      <c r="AY249" s="204" t="n"/>
      <c r="AZ249" s="204" t="n"/>
      <c r="BA249" s="38" t="inlineStr">
        <is>
          <t>.</t>
        </is>
      </c>
      <c r="BB249" s="190">
        <f>SUM(BC249:BN249)</f>
        <v/>
      </c>
      <c r="BC249" s="191">
        <f>L249*0.0702730030</f>
        <v/>
      </c>
      <c r="BD249" s="191">
        <f>L249*0.0734327604</f>
        <v/>
      </c>
      <c r="BE249" s="191">
        <f>L249*0.0752022245</f>
        <v/>
      </c>
      <c r="BF249" s="191">
        <f>L249*0.0771612740</f>
        <v/>
      </c>
      <c r="BG249" s="191">
        <f>L249*0.0796890799</f>
        <v/>
      </c>
      <c r="BH249" s="191">
        <f>L249*0.0817745197</f>
        <v/>
      </c>
      <c r="BI249" s="191">
        <f>L249*0.0849342770</f>
        <v/>
      </c>
      <c r="BJ249" s="191">
        <f>L249*0.0870197169</f>
        <v/>
      </c>
      <c r="BK249" s="191">
        <f>L249*0.0889787664</f>
        <v/>
      </c>
      <c r="BL249" s="191">
        <f>L249*0.0911905966</f>
        <v/>
      </c>
      <c r="BM249" s="191">
        <f>L249*0.0935920121</f>
        <v/>
      </c>
      <c r="BN249" s="192">
        <f>L249*0.0967517695</f>
        <v/>
      </c>
      <c r="BO249" s="36" t="inlineStr">
        <is>
          <t>.</t>
        </is>
      </c>
      <c r="BP249" s="193">
        <f>SUM(BQ249:CB249)</f>
        <v/>
      </c>
      <c r="BQ249" s="191">
        <f>MAX(0,BC249-AA249)</f>
        <v/>
      </c>
      <c r="BR249" s="191">
        <f>MAX(0,BD249-AB249)</f>
        <v/>
      </c>
      <c r="BS249" s="191">
        <f>MAX(0,BE249-AC249)</f>
        <v/>
      </c>
      <c r="BT249" s="191">
        <f>MAX(0,BF249-AD249)</f>
        <v/>
      </c>
      <c r="BU249" s="191">
        <f>MAX(0,BG249-AE249)</f>
        <v/>
      </c>
      <c r="BV249" s="191">
        <f>MAX(0,BH249-AF249)</f>
        <v/>
      </c>
      <c r="BW249" s="191">
        <f>MAX(0,BI249-AG249)</f>
        <v/>
      </c>
      <c r="BX249" s="191">
        <f>MAX(0,BJ249-AH249)</f>
        <v/>
      </c>
      <c r="BY249" s="191">
        <f>MAX(0,BK249-AI249)</f>
        <v/>
      </c>
      <c r="BZ249" s="191">
        <f>MAX(0,BL249-AJ249)</f>
        <v/>
      </c>
      <c r="CA249" s="191">
        <f>MAX(0,BM249-AK249)</f>
        <v/>
      </c>
      <c r="CB249" s="192">
        <f>MAX(0,BN249-AL249)</f>
        <v/>
      </c>
    </row>
    <row r="250">
      <c r="A250" s="64" t="inlineStr">
        <is>
          <t>58820609000197</t>
        </is>
      </c>
      <c r="B250" s="57" t="inlineStr">
        <is>
          <t>TERRITORIO SAUDE CABRAL LTDA - ME</t>
        </is>
      </c>
      <c r="C250" s="57" t="inlineStr">
        <is>
          <t>SEM GRUPO</t>
        </is>
      </c>
      <c r="D250" s="61" t="inlineStr">
        <is>
          <t>HEMANUELE DITZEL (MANU)</t>
        </is>
      </c>
      <c r="E250" s="30" t="inlineStr">
        <is>
          <t>.</t>
        </is>
      </c>
      <c r="F250" s="63" t="inlineStr"/>
      <c r="G250" s="179" t="inlineStr"/>
      <c r="H250" s="57" t="inlineStr"/>
      <c r="I250" s="57" t="inlineStr"/>
      <c r="J250" s="61" t="inlineStr"/>
      <c r="K250" s="30" t="inlineStr">
        <is>
          <t>.</t>
        </is>
      </c>
      <c r="L250" s="180" t="n">
        <v>4565.969999999999</v>
      </c>
      <c r="M250" s="181" t="n">
        <v>320.86</v>
      </c>
      <c r="N250" s="181" t="n">
        <v>335.29</v>
      </c>
      <c r="O250" s="181" t="n">
        <v>343.37</v>
      </c>
      <c r="P250" s="181" t="n">
        <v>352.32</v>
      </c>
      <c r="Q250" s="181" t="n">
        <v>363.86</v>
      </c>
      <c r="R250" s="181" t="n">
        <v>373.38</v>
      </c>
      <c r="S250" s="181" t="n">
        <v>387.81</v>
      </c>
      <c r="T250" s="181" t="n">
        <v>397.33</v>
      </c>
      <c r="U250" s="181" t="n">
        <v>406.27</v>
      </c>
      <c r="V250" s="181" t="n">
        <v>416.37</v>
      </c>
      <c r="W250" s="181" t="n">
        <v>427.34</v>
      </c>
      <c r="X250" s="182" t="n">
        <v>441.77</v>
      </c>
      <c r="Y250" s="183" t="inlineStr">
        <is>
          <t>.</t>
        </is>
      </c>
      <c r="Z250" s="184">
        <f>SUM(AA250:AL250)</f>
        <v/>
      </c>
      <c r="AA250" s="185" t="n">
        <v>0</v>
      </c>
      <c r="AB250" s="185" t="n">
        <v>0</v>
      </c>
      <c r="AC250" s="185" t="n">
        <v>0</v>
      </c>
      <c r="AD250" s="185" t="n">
        <v>0</v>
      </c>
      <c r="AE250" s="185" t="n">
        <v>707.15</v>
      </c>
      <c r="AF250" s="185" t="n">
        <v>1133.69</v>
      </c>
      <c r="AG250" s="185" t="n">
        <v>0</v>
      </c>
      <c r="AH250" s="185" t="n">
        <v>0</v>
      </c>
      <c r="AI250" s="185" t="n">
        <v>0</v>
      </c>
      <c r="AJ250" s="185" t="n">
        <v>0</v>
      </c>
      <c r="AK250" s="185" t="n">
        <v>0</v>
      </c>
      <c r="AL250" s="186" t="n">
        <v>0</v>
      </c>
      <c r="AM250" s="30" t="inlineStr">
        <is>
          <t>.</t>
        </is>
      </c>
      <c r="AN250" s="187">
        <f>IF(L250=0,0,Z250/L250)</f>
        <v/>
      </c>
      <c r="AO250" s="57">
        <f>IF(AN250&gt;=1,"🟢",IF(AN250&gt;=0.7,"🟡",IF(AN250&gt;=0.4,"🟠","🔴")))</f>
        <v/>
      </c>
      <c r="AP250" s="185">
        <f>L250-Z250</f>
        <v/>
      </c>
      <c r="AQ250" s="55">
        <f>RANK(Z250,$Z$4:$Z$503,0)</f>
        <v/>
      </c>
      <c r="AR250" s="39" t="inlineStr">
        <is>
          <t>.</t>
        </is>
      </c>
      <c r="AS250" s="27" t="n"/>
      <c r="AT250" s="27" t="n"/>
      <c r="AU250" s="27" t="n"/>
      <c r="AV250" s="27" t="n"/>
      <c r="AW250" s="27" t="n"/>
      <c r="AX250" s="27" t="n"/>
      <c r="AY250" s="204" t="n"/>
      <c r="AZ250" s="204" t="n"/>
      <c r="BA250" s="38" t="inlineStr">
        <is>
          <t>.</t>
        </is>
      </c>
      <c r="BB250" s="190">
        <f>SUM(BC250:BN250)</f>
        <v/>
      </c>
      <c r="BC250" s="191">
        <f>L250*0.0702730030</f>
        <v/>
      </c>
      <c r="BD250" s="191">
        <f>L250*0.0734327604</f>
        <v/>
      </c>
      <c r="BE250" s="191">
        <f>L250*0.0752022245</f>
        <v/>
      </c>
      <c r="BF250" s="191">
        <f>L250*0.0771612740</f>
        <v/>
      </c>
      <c r="BG250" s="191">
        <f>L250*0.0796890799</f>
        <v/>
      </c>
      <c r="BH250" s="191">
        <f>L250*0.0817745197</f>
        <v/>
      </c>
      <c r="BI250" s="191">
        <f>L250*0.0849342770</f>
        <v/>
      </c>
      <c r="BJ250" s="191">
        <f>L250*0.0870197169</f>
        <v/>
      </c>
      <c r="BK250" s="191">
        <f>L250*0.0889787664</f>
        <v/>
      </c>
      <c r="BL250" s="191">
        <f>L250*0.0911905966</f>
        <v/>
      </c>
      <c r="BM250" s="191">
        <f>L250*0.0935920121</f>
        <v/>
      </c>
      <c r="BN250" s="192">
        <f>L250*0.0967517695</f>
        <v/>
      </c>
      <c r="BO250" s="36" t="inlineStr">
        <is>
          <t>.</t>
        </is>
      </c>
      <c r="BP250" s="193">
        <f>SUM(BQ250:CB250)</f>
        <v/>
      </c>
      <c r="BQ250" s="191">
        <f>MAX(0,BC250-AA250)</f>
        <v/>
      </c>
      <c r="BR250" s="191">
        <f>MAX(0,BD250-AB250)</f>
        <v/>
      </c>
      <c r="BS250" s="191">
        <f>MAX(0,BE250-AC250)</f>
        <v/>
      </c>
      <c r="BT250" s="191">
        <f>MAX(0,BF250-AD250)</f>
        <v/>
      </c>
      <c r="BU250" s="191">
        <f>MAX(0,BG250-AE250)</f>
        <v/>
      </c>
      <c r="BV250" s="191">
        <f>MAX(0,BH250-AF250)</f>
        <v/>
      </c>
      <c r="BW250" s="191">
        <f>MAX(0,BI250-AG250)</f>
        <v/>
      </c>
      <c r="BX250" s="191">
        <f>MAX(0,BJ250-AH250)</f>
        <v/>
      </c>
      <c r="BY250" s="191">
        <f>MAX(0,BK250-AI250)</f>
        <v/>
      </c>
      <c r="BZ250" s="191">
        <f>MAX(0,BL250-AJ250)</f>
        <v/>
      </c>
      <c r="CA250" s="191">
        <f>MAX(0,BM250-AK250)</f>
        <v/>
      </c>
      <c r="CB250" s="192">
        <f>MAX(0,BN250-AL250)</f>
        <v/>
      </c>
    </row>
    <row r="251">
      <c r="A251" s="64" t="inlineStr">
        <is>
          <t>00094461000332</t>
        </is>
      </c>
      <c r="B251" s="57" t="inlineStr">
        <is>
          <t>CRISTAL FRUTA ALIMENTOS EIRELI - ME</t>
        </is>
      </c>
      <c r="C251" s="57" t="inlineStr">
        <is>
          <t>SEM GRUPO</t>
        </is>
      </c>
      <c r="D251" s="61" t="inlineStr">
        <is>
          <t>HEMANUELE DITZEL (MANU)</t>
        </is>
      </c>
      <c r="E251" s="30" t="inlineStr">
        <is>
          <t>.</t>
        </is>
      </c>
      <c r="F251" s="63" t="inlineStr"/>
      <c r="G251" s="179" t="inlineStr"/>
      <c r="H251" s="57" t="inlineStr"/>
      <c r="I251" s="57" t="inlineStr"/>
      <c r="J251" s="61" t="inlineStr"/>
      <c r="K251" s="30" t="inlineStr">
        <is>
          <t>.</t>
        </is>
      </c>
      <c r="L251" s="180" t="n">
        <v>4554.11</v>
      </c>
      <c r="M251" s="181" t="n">
        <v>320.03</v>
      </c>
      <c r="N251" s="181" t="n">
        <v>334.42</v>
      </c>
      <c r="O251" s="181" t="n">
        <v>342.48</v>
      </c>
      <c r="P251" s="181" t="n">
        <v>351.4</v>
      </c>
      <c r="Q251" s="181" t="n">
        <v>362.91</v>
      </c>
      <c r="R251" s="181" t="n">
        <v>372.41</v>
      </c>
      <c r="S251" s="181" t="n">
        <v>386.8</v>
      </c>
      <c r="T251" s="181" t="n">
        <v>396.3</v>
      </c>
      <c r="U251" s="181" t="n">
        <v>405.22</v>
      </c>
      <c r="V251" s="181" t="n">
        <v>415.29</v>
      </c>
      <c r="W251" s="181" t="n">
        <v>426.23</v>
      </c>
      <c r="X251" s="182" t="n">
        <v>440.62</v>
      </c>
      <c r="Y251" s="183" t="inlineStr">
        <is>
          <t>.</t>
        </is>
      </c>
      <c r="Z251" s="184">
        <f>SUM(AA251:AL251)</f>
        <v/>
      </c>
      <c r="AA251" s="185" t="n">
        <v>0</v>
      </c>
      <c r="AB251" s="185" t="n">
        <v>0</v>
      </c>
      <c r="AC251" s="185" t="n">
        <v>1791.5</v>
      </c>
      <c r="AD251" s="185" t="n">
        <v>0</v>
      </c>
      <c r="AE251" s="185" t="n">
        <v>0</v>
      </c>
      <c r="AF251" s="185" t="n">
        <v>0</v>
      </c>
      <c r="AG251" s="185" t="n">
        <v>0</v>
      </c>
      <c r="AH251" s="185" t="n">
        <v>0</v>
      </c>
      <c r="AI251" s="185" t="n">
        <v>0</v>
      </c>
      <c r="AJ251" s="185" t="n">
        <v>0</v>
      </c>
      <c r="AK251" s="185" t="n">
        <v>0</v>
      </c>
      <c r="AL251" s="186" t="n">
        <v>0</v>
      </c>
      <c r="AM251" s="30" t="inlineStr">
        <is>
          <t>.</t>
        </is>
      </c>
      <c r="AN251" s="187">
        <f>IF(L251=0,0,Z251/L251)</f>
        <v/>
      </c>
      <c r="AO251" s="57">
        <f>IF(AN251&gt;=1,"🟢",IF(AN251&gt;=0.7,"🟡",IF(AN251&gt;=0.4,"🟠","🔴")))</f>
        <v/>
      </c>
      <c r="AP251" s="185">
        <f>L251-Z251</f>
        <v/>
      </c>
      <c r="AQ251" s="55">
        <f>RANK(Z251,$Z$4:$Z$503,0)</f>
        <v/>
      </c>
      <c r="AR251" s="39" t="inlineStr">
        <is>
          <t>.</t>
        </is>
      </c>
      <c r="AS251" s="27" t="n"/>
      <c r="AT251" s="27" t="n"/>
      <c r="AU251" s="27" t="n"/>
      <c r="AV251" s="27" t="n"/>
      <c r="AW251" s="27" t="n"/>
      <c r="AX251" s="27" t="n"/>
      <c r="AY251" s="204" t="n"/>
      <c r="AZ251" s="204" t="n"/>
      <c r="BA251" s="38" t="inlineStr">
        <is>
          <t>.</t>
        </is>
      </c>
      <c r="BB251" s="190">
        <f>SUM(BC251:BN251)</f>
        <v/>
      </c>
      <c r="BC251" s="191">
        <f>L251*0.0702730030</f>
        <v/>
      </c>
      <c r="BD251" s="191">
        <f>L251*0.0734327604</f>
        <v/>
      </c>
      <c r="BE251" s="191">
        <f>L251*0.0752022245</f>
        <v/>
      </c>
      <c r="BF251" s="191">
        <f>L251*0.0771612740</f>
        <v/>
      </c>
      <c r="BG251" s="191">
        <f>L251*0.0796890799</f>
        <v/>
      </c>
      <c r="BH251" s="191">
        <f>L251*0.0817745197</f>
        <v/>
      </c>
      <c r="BI251" s="191">
        <f>L251*0.0849342770</f>
        <v/>
      </c>
      <c r="BJ251" s="191">
        <f>L251*0.0870197169</f>
        <v/>
      </c>
      <c r="BK251" s="191">
        <f>L251*0.0889787664</f>
        <v/>
      </c>
      <c r="BL251" s="191">
        <f>L251*0.0911905966</f>
        <v/>
      </c>
      <c r="BM251" s="191">
        <f>L251*0.0935920121</f>
        <v/>
      </c>
      <c r="BN251" s="192">
        <f>L251*0.0967517695</f>
        <v/>
      </c>
      <c r="BO251" s="36" t="inlineStr">
        <is>
          <t>.</t>
        </is>
      </c>
      <c r="BP251" s="193">
        <f>SUM(BQ251:CB251)</f>
        <v/>
      </c>
      <c r="BQ251" s="191">
        <f>MAX(0,BC251-AA251)</f>
        <v/>
      </c>
      <c r="BR251" s="191">
        <f>MAX(0,BD251-AB251)</f>
        <v/>
      </c>
      <c r="BS251" s="191">
        <f>MAX(0,BE251-AC251)</f>
        <v/>
      </c>
      <c r="BT251" s="191">
        <f>MAX(0,BF251-AD251)</f>
        <v/>
      </c>
      <c r="BU251" s="191">
        <f>MAX(0,BG251-AE251)</f>
        <v/>
      </c>
      <c r="BV251" s="191">
        <f>MAX(0,BH251-AF251)</f>
        <v/>
      </c>
      <c r="BW251" s="191">
        <f>MAX(0,BI251-AG251)</f>
        <v/>
      </c>
      <c r="BX251" s="191">
        <f>MAX(0,BJ251-AH251)</f>
        <v/>
      </c>
      <c r="BY251" s="191">
        <f>MAX(0,BK251-AI251)</f>
        <v/>
      </c>
      <c r="BZ251" s="191">
        <f>MAX(0,BL251-AJ251)</f>
        <v/>
      </c>
      <c r="CA251" s="191">
        <f>MAX(0,BM251-AK251)</f>
        <v/>
      </c>
      <c r="CB251" s="192">
        <f>MAX(0,BN251-AL251)</f>
        <v/>
      </c>
    </row>
    <row r="252">
      <c r="A252" s="64" t="inlineStr">
        <is>
          <t>32093388000109</t>
        </is>
      </c>
      <c r="B252" s="57" t="inlineStr">
        <is>
          <t>RAIZES COMERCIO DE PRODUTOS NATURAIS EIN</t>
        </is>
      </c>
      <c r="C252" s="57" t="inlineStr">
        <is>
          <t>SEM GRUPO</t>
        </is>
      </c>
      <c r="D252" s="61" t="inlineStr">
        <is>
          <t>LARISSA PADILHA</t>
        </is>
      </c>
      <c r="E252" s="30" t="inlineStr">
        <is>
          <t>.</t>
        </is>
      </c>
      <c r="F252" s="63" t="inlineStr"/>
      <c r="G252" s="179" t="inlineStr"/>
      <c r="H252" s="57" t="inlineStr"/>
      <c r="I252" s="57" t="inlineStr"/>
      <c r="J252" s="61" t="inlineStr"/>
      <c r="K252" s="30" t="inlineStr">
        <is>
          <t>.</t>
        </is>
      </c>
      <c r="L252" s="180" t="n">
        <v>4537.49</v>
      </c>
      <c r="M252" s="181" t="n">
        <v>318.86</v>
      </c>
      <c r="N252" s="181" t="n">
        <v>333.2</v>
      </c>
      <c r="O252" s="181" t="n">
        <v>341.23</v>
      </c>
      <c r="P252" s="181" t="n">
        <v>350.12</v>
      </c>
      <c r="Q252" s="181" t="n">
        <v>361.59</v>
      </c>
      <c r="R252" s="181" t="n">
        <v>371.05</v>
      </c>
      <c r="S252" s="181" t="n">
        <v>385.39</v>
      </c>
      <c r="T252" s="181" t="n">
        <v>394.85</v>
      </c>
      <c r="U252" s="181" t="n">
        <v>403.74</v>
      </c>
      <c r="V252" s="181" t="n">
        <v>413.78</v>
      </c>
      <c r="W252" s="181" t="n">
        <v>424.67</v>
      </c>
      <c r="X252" s="182" t="n">
        <v>439.01</v>
      </c>
      <c r="Y252" s="183" t="inlineStr">
        <is>
          <t>.</t>
        </is>
      </c>
      <c r="Z252" s="184">
        <f>SUM(AA252:AL252)</f>
        <v/>
      </c>
      <c r="AA252" s="185" t="n">
        <v>0</v>
      </c>
      <c r="AB252" s="185" t="n">
        <v>0</v>
      </c>
      <c r="AC252" s="185" t="n">
        <v>0</v>
      </c>
      <c r="AD252" s="185" t="n">
        <v>0</v>
      </c>
      <c r="AE252" s="185" t="n">
        <v>0</v>
      </c>
      <c r="AF252" s="185" t="n">
        <v>0</v>
      </c>
      <c r="AG252" s="185" t="n">
        <v>0</v>
      </c>
      <c r="AH252" s="185" t="n">
        <v>2106.86</v>
      </c>
      <c r="AI252" s="185" t="n">
        <v>0</v>
      </c>
      <c r="AJ252" s="185" t="n">
        <v>0</v>
      </c>
      <c r="AK252" s="185" t="n">
        <v>0</v>
      </c>
      <c r="AL252" s="186" t="n">
        <v>0</v>
      </c>
      <c r="AM252" s="30" t="inlineStr">
        <is>
          <t>.</t>
        </is>
      </c>
      <c r="AN252" s="187">
        <f>IF(L252=0,0,Z252/L252)</f>
        <v/>
      </c>
      <c r="AO252" s="57">
        <f>IF(AN252&gt;=1,"🟢",IF(AN252&gt;=0.7,"🟡",IF(AN252&gt;=0.4,"🟠","🔴")))</f>
        <v/>
      </c>
      <c r="AP252" s="185">
        <f>L252-Z252</f>
        <v/>
      </c>
      <c r="AQ252" s="55">
        <f>RANK(Z252,$Z$4:$Z$503,0)</f>
        <v/>
      </c>
      <c r="AR252" s="39" t="inlineStr">
        <is>
          <t>.</t>
        </is>
      </c>
      <c r="AS252" s="27" t="n"/>
      <c r="AT252" s="27" t="n"/>
      <c r="AU252" s="27" t="n"/>
      <c r="AV252" s="27" t="n"/>
      <c r="AW252" s="27" t="n"/>
      <c r="AX252" s="27" t="n"/>
      <c r="AY252" s="204" t="n"/>
      <c r="AZ252" s="204" t="n"/>
      <c r="BA252" s="38" t="inlineStr">
        <is>
          <t>.</t>
        </is>
      </c>
      <c r="BB252" s="190">
        <f>SUM(BC252:BN252)</f>
        <v/>
      </c>
      <c r="BC252" s="191">
        <f>L252*0.0702730030</f>
        <v/>
      </c>
      <c r="BD252" s="191">
        <f>L252*0.0734327604</f>
        <v/>
      </c>
      <c r="BE252" s="191">
        <f>L252*0.0752022245</f>
        <v/>
      </c>
      <c r="BF252" s="191">
        <f>L252*0.0771612740</f>
        <v/>
      </c>
      <c r="BG252" s="191">
        <f>L252*0.0796890799</f>
        <v/>
      </c>
      <c r="BH252" s="191">
        <f>L252*0.0817745197</f>
        <v/>
      </c>
      <c r="BI252" s="191">
        <f>L252*0.0849342770</f>
        <v/>
      </c>
      <c r="BJ252" s="191">
        <f>L252*0.0870197169</f>
        <v/>
      </c>
      <c r="BK252" s="191">
        <f>L252*0.0889787664</f>
        <v/>
      </c>
      <c r="BL252" s="191">
        <f>L252*0.0911905966</f>
        <v/>
      </c>
      <c r="BM252" s="191">
        <f>L252*0.0935920121</f>
        <v/>
      </c>
      <c r="BN252" s="192">
        <f>L252*0.0967517695</f>
        <v/>
      </c>
      <c r="BO252" s="36" t="inlineStr">
        <is>
          <t>.</t>
        </is>
      </c>
      <c r="BP252" s="193">
        <f>SUM(BQ252:CB252)</f>
        <v/>
      </c>
      <c r="BQ252" s="191">
        <f>MAX(0,BC252-AA252)</f>
        <v/>
      </c>
      <c r="BR252" s="191">
        <f>MAX(0,BD252-AB252)</f>
        <v/>
      </c>
      <c r="BS252" s="191">
        <f>MAX(0,BE252-AC252)</f>
        <v/>
      </c>
      <c r="BT252" s="191">
        <f>MAX(0,BF252-AD252)</f>
        <v/>
      </c>
      <c r="BU252" s="191">
        <f>MAX(0,BG252-AE252)</f>
        <v/>
      </c>
      <c r="BV252" s="191">
        <f>MAX(0,BH252-AF252)</f>
        <v/>
      </c>
      <c r="BW252" s="191">
        <f>MAX(0,BI252-AG252)</f>
        <v/>
      </c>
      <c r="BX252" s="191">
        <f>MAX(0,BJ252-AH252)</f>
        <v/>
      </c>
      <c r="BY252" s="191">
        <f>MAX(0,BK252-AI252)</f>
        <v/>
      </c>
      <c r="BZ252" s="191">
        <f>MAX(0,BL252-AJ252)</f>
        <v/>
      </c>
      <c r="CA252" s="191">
        <f>MAX(0,BM252-AK252)</f>
        <v/>
      </c>
      <c r="CB252" s="192">
        <f>MAX(0,BN252-AL252)</f>
        <v/>
      </c>
    </row>
    <row r="253">
      <c r="A253" s="64" t="inlineStr">
        <is>
          <t>58256204000178</t>
        </is>
      </c>
      <c r="B253" s="57" t="inlineStr">
        <is>
          <t>PEROLA FIT PRODUTOS NATURAIS LTDA - ME</t>
        </is>
      </c>
      <c r="C253" s="57" t="inlineStr">
        <is>
          <t>SEM GRUPO</t>
        </is>
      </c>
      <c r="D253" s="61" t="inlineStr">
        <is>
          <t>HEMANUELE DITZEL (MANU)</t>
        </is>
      </c>
      <c r="E253" s="30" t="inlineStr">
        <is>
          <t>.</t>
        </is>
      </c>
      <c r="F253" s="63" t="inlineStr"/>
      <c r="G253" s="179" t="inlineStr"/>
      <c r="H253" s="57" t="inlineStr"/>
      <c r="I253" s="57" t="inlineStr"/>
      <c r="J253" s="61" t="inlineStr"/>
      <c r="K253" s="30" t="inlineStr">
        <is>
          <t>.</t>
        </is>
      </c>
      <c r="L253" s="180" t="n">
        <v>4524.24</v>
      </c>
      <c r="M253" s="181" t="n">
        <v>317.93</v>
      </c>
      <c r="N253" s="181" t="n">
        <v>332.23</v>
      </c>
      <c r="O253" s="181" t="n">
        <v>340.23</v>
      </c>
      <c r="P253" s="181" t="n">
        <v>349.1</v>
      </c>
      <c r="Q253" s="181" t="n">
        <v>360.53</v>
      </c>
      <c r="R253" s="181" t="n">
        <v>369.97</v>
      </c>
      <c r="S253" s="181" t="n">
        <v>384.26</v>
      </c>
      <c r="T253" s="181" t="n">
        <v>393.7</v>
      </c>
      <c r="U253" s="181" t="n">
        <v>402.56</v>
      </c>
      <c r="V253" s="181" t="n">
        <v>412.57</v>
      </c>
      <c r="W253" s="181" t="n">
        <v>423.43</v>
      </c>
      <c r="X253" s="182" t="n">
        <v>437.73</v>
      </c>
      <c r="Y253" s="183" t="inlineStr">
        <is>
          <t>.</t>
        </is>
      </c>
      <c r="Z253" s="184">
        <f>SUM(AA253:AL253)</f>
        <v/>
      </c>
      <c r="AA253" s="185" t="n">
        <v>0</v>
      </c>
      <c r="AB253" s="185" t="n">
        <v>0</v>
      </c>
      <c r="AC253" s="185" t="n">
        <v>0</v>
      </c>
      <c r="AD253" s="185" t="n">
        <v>0</v>
      </c>
      <c r="AE253" s="185" t="n">
        <v>0</v>
      </c>
      <c r="AF253" s="185" t="n">
        <v>0</v>
      </c>
      <c r="AG253" s="185" t="n">
        <v>0</v>
      </c>
      <c r="AH253" s="185" t="n">
        <v>0</v>
      </c>
      <c r="AI253" s="185" t="n">
        <v>0</v>
      </c>
      <c r="AJ253" s="185" t="n">
        <v>2684.37</v>
      </c>
      <c r="AK253" s="185" t="n">
        <v>0</v>
      </c>
      <c r="AL253" s="186" t="n">
        <v>0</v>
      </c>
      <c r="AM253" s="30" t="inlineStr">
        <is>
          <t>.</t>
        </is>
      </c>
      <c r="AN253" s="187">
        <f>IF(L253=0,0,Z253/L253)</f>
        <v/>
      </c>
      <c r="AO253" s="57">
        <f>IF(AN253&gt;=1,"🟢",IF(AN253&gt;=0.7,"🟡",IF(AN253&gt;=0.4,"🟠","🔴")))</f>
        <v/>
      </c>
      <c r="AP253" s="185">
        <f>L253-Z253</f>
        <v/>
      </c>
      <c r="AQ253" s="55">
        <f>RANK(Z253,$Z$4:$Z$503,0)</f>
        <v/>
      </c>
      <c r="AR253" s="39" t="inlineStr">
        <is>
          <t>.</t>
        </is>
      </c>
      <c r="AS253" s="27" t="n"/>
      <c r="AT253" s="27" t="n"/>
      <c r="AU253" s="27" t="n"/>
      <c r="AV253" s="27" t="n"/>
      <c r="AW253" s="27" t="n"/>
      <c r="AX253" s="27" t="n"/>
      <c r="AY253" s="204" t="n"/>
      <c r="AZ253" s="204" t="n"/>
      <c r="BA253" s="38" t="inlineStr">
        <is>
          <t>.</t>
        </is>
      </c>
      <c r="BB253" s="190">
        <f>SUM(BC253:BN253)</f>
        <v/>
      </c>
      <c r="BC253" s="191">
        <f>L253*0.0702730030</f>
        <v/>
      </c>
      <c r="BD253" s="191">
        <f>L253*0.0734327604</f>
        <v/>
      </c>
      <c r="BE253" s="191">
        <f>L253*0.0752022245</f>
        <v/>
      </c>
      <c r="BF253" s="191">
        <f>L253*0.0771612740</f>
        <v/>
      </c>
      <c r="BG253" s="191">
        <f>L253*0.0796890799</f>
        <v/>
      </c>
      <c r="BH253" s="191">
        <f>L253*0.0817745197</f>
        <v/>
      </c>
      <c r="BI253" s="191">
        <f>L253*0.0849342770</f>
        <v/>
      </c>
      <c r="BJ253" s="191">
        <f>L253*0.0870197169</f>
        <v/>
      </c>
      <c r="BK253" s="191">
        <f>L253*0.0889787664</f>
        <v/>
      </c>
      <c r="BL253" s="191">
        <f>L253*0.0911905966</f>
        <v/>
      </c>
      <c r="BM253" s="191">
        <f>L253*0.0935920121</f>
        <v/>
      </c>
      <c r="BN253" s="192">
        <f>L253*0.0967517695</f>
        <v/>
      </c>
      <c r="BO253" s="36" t="inlineStr">
        <is>
          <t>.</t>
        </is>
      </c>
      <c r="BP253" s="193">
        <f>SUM(BQ253:CB253)</f>
        <v/>
      </c>
      <c r="BQ253" s="191">
        <f>MAX(0,BC253-AA253)</f>
        <v/>
      </c>
      <c r="BR253" s="191">
        <f>MAX(0,BD253-AB253)</f>
        <v/>
      </c>
      <c r="BS253" s="191">
        <f>MAX(0,BE253-AC253)</f>
        <v/>
      </c>
      <c r="BT253" s="191">
        <f>MAX(0,BF253-AD253)</f>
        <v/>
      </c>
      <c r="BU253" s="191">
        <f>MAX(0,BG253-AE253)</f>
        <v/>
      </c>
      <c r="BV253" s="191">
        <f>MAX(0,BH253-AF253)</f>
        <v/>
      </c>
      <c r="BW253" s="191">
        <f>MAX(0,BI253-AG253)</f>
        <v/>
      </c>
      <c r="BX253" s="191">
        <f>MAX(0,BJ253-AH253)</f>
        <v/>
      </c>
      <c r="BY253" s="191">
        <f>MAX(0,BK253-AI253)</f>
        <v/>
      </c>
      <c r="BZ253" s="191">
        <f>MAX(0,BL253-AJ253)</f>
        <v/>
      </c>
      <c r="CA253" s="191">
        <f>MAX(0,BM253-AK253)</f>
        <v/>
      </c>
      <c r="CB253" s="192">
        <f>MAX(0,BN253-AL253)</f>
        <v/>
      </c>
    </row>
    <row r="254">
      <c r="A254" s="64" t="inlineStr">
        <is>
          <t>32365782000159</t>
        </is>
      </c>
      <c r="B254" s="57" t="inlineStr">
        <is>
          <t>ALECRIM &amp; TOMILHO PRODUTOS NATURAIS LTDA</t>
        </is>
      </c>
      <c r="C254" s="57" t="inlineStr">
        <is>
          <t>SEM GRUPO</t>
        </is>
      </c>
      <c r="D254" s="61" t="inlineStr">
        <is>
          <t>LARISSA PADILHA</t>
        </is>
      </c>
      <c r="E254" s="30" t="inlineStr">
        <is>
          <t>.</t>
        </is>
      </c>
      <c r="F254" s="63" t="inlineStr"/>
      <c r="G254" s="179" t="inlineStr"/>
      <c r="H254" s="57" t="inlineStr"/>
      <c r="I254" s="57" t="inlineStr"/>
      <c r="J254" s="61" t="inlineStr"/>
      <c r="K254" s="30" t="inlineStr">
        <is>
          <t>.</t>
        </is>
      </c>
      <c r="L254" s="180" t="n">
        <v>4520.2</v>
      </c>
      <c r="M254" s="181" t="n">
        <v>317.65</v>
      </c>
      <c r="N254" s="181" t="n">
        <v>331.93</v>
      </c>
      <c r="O254" s="181" t="n">
        <v>339.93</v>
      </c>
      <c r="P254" s="181" t="n">
        <v>348.78</v>
      </c>
      <c r="Q254" s="181" t="n">
        <v>360.21</v>
      </c>
      <c r="R254" s="181" t="n">
        <v>369.64</v>
      </c>
      <c r="S254" s="181" t="n">
        <v>383.92</v>
      </c>
      <c r="T254" s="181" t="n">
        <v>393.35</v>
      </c>
      <c r="U254" s="181" t="n">
        <v>402.2</v>
      </c>
      <c r="V254" s="181" t="n">
        <v>412.2</v>
      </c>
      <c r="W254" s="181" t="n">
        <v>423.05</v>
      </c>
      <c r="X254" s="182" t="n">
        <v>437.34</v>
      </c>
      <c r="Y254" s="183" t="inlineStr">
        <is>
          <t>.</t>
        </is>
      </c>
      <c r="Z254" s="184">
        <f>SUM(AA254:AL254)</f>
        <v/>
      </c>
      <c r="AA254" s="185" t="n">
        <v>0</v>
      </c>
      <c r="AB254" s="185" t="n">
        <v>0</v>
      </c>
      <c r="AC254" s="185" t="n">
        <v>0</v>
      </c>
      <c r="AD254" s="185" t="n">
        <v>0</v>
      </c>
      <c r="AE254" s="185" t="n">
        <v>0</v>
      </c>
      <c r="AF254" s="185" t="n">
        <v>0</v>
      </c>
      <c r="AG254" s="185" t="n">
        <v>0</v>
      </c>
      <c r="AH254" s="185" t="n">
        <v>0</v>
      </c>
      <c r="AI254" s="185" t="n">
        <v>0</v>
      </c>
      <c r="AJ254" s="185" t="n">
        <v>0</v>
      </c>
      <c r="AK254" s="185" t="n">
        <v>0</v>
      </c>
      <c r="AL254" s="186" t="n">
        <v>1992.18</v>
      </c>
      <c r="AM254" s="30" t="inlineStr">
        <is>
          <t>.</t>
        </is>
      </c>
      <c r="AN254" s="187">
        <f>IF(L254=0,0,Z254/L254)</f>
        <v/>
      </c>
      <c r="AO254" s="57">
        <f>IF(AN254&gt;=1,"🟢",IF(AN254&gt;=0.7,"🟡",IF(AN254&gt;=0.4,"🟠","🔴")))</f>
        <v/>
      </c>
      <c r="AP254" s="185">
        <f>L254-Z254</f>
        <v/>
      </c>
      <c r="AQ254" s="55">
        <f>RANK(Z254,$Z$4:$Z$503,0)</f>
        <v/>
      </c>
      <c r="AR254" s="39" t="inlineStr">
        <is>
          <t>.</t>
        </is>
      </c>
      <c r="AS254" s="27" t="n"/>
      <c r="AT254" s="27" t="n"/>
      <c r="AU254" s="27" t="n"/>
      <c r="AV254" s="27" t="n"/>
      <c r="AW254" s="27" t="n"/>
      <c r="AX254" s="27" t="n"/>
      <c r="AY254" s="204" t="n"/>
      <c r="AZ254" s="204" t="n"/>
      <c r="BA254" s="38" t="inlineStr">
        <is>
          <t>.</t>
        </is>
      </c>
      <c r="BB254" s="190">
        <f>SUM(BC254:BN254)</f>
        <v/>
      </c>
      <c r="BC254" s="191">
        <f>L254*0.0702730030</f>
        <v/>
      </c>
      <c r="BD254" s="191">
        <f>L254*0.0734327604</f>
        <v/>
      </c>
      <c r="BE254" s="191">
        <f>L254*0.0752022245</f>
        <v/>
      </c>
      <c r="BF254" s="191">
        <f>L254*0.0771612740</f>
        <v/>
      </c>
      <c r="BG254" s="191">
        <f>L254*0.0796890799</f>
        <v/>
      </c>
      <c r="BH254" s="191">
        <f>L254*0.0817745197</f>
        <v/>
      </c>
      <c r="BI254" s="191">
        <f>L254*0.0849342770</f>
        <v/>
      </c>
      <c r="BJ254" s="191">
        <f>L254*0.0870197169</f>
        <v/>
      </c>
      <c r="BK254" s="191">
        <f>L254*0.0889787664</f>
        <v/>
      </c>
      <c r="BL254" s="191">
        <f>L254*0.0911905966</f>
        <v/>
      </c>
      <c r="BM254" s="191">
        <f>L254*0.0935920121</f>
        <v/>
      </c>
      <c r="BN254" s="192">
        <f>L254*0.0967517695</f>
        <v/>
      </c>
      <c r="BO254" s="36" t="inlineStr">
        <is>
          <t>.</t>
        </is>
      </c>
      <c r="BP254" s="193">
        <f>SUM(BQ254:CB254)</f>
        <v/>
      </c>
      <c r="BQ254" s="191">
        <f>MAX(0,BC254-AA254)</f>
        <v/>
      </c>
      <c r="BR254" s="191">
        <f>MAX(0,BD254-AB254)</f>
        <v/>
      </c>
      <c r="BS254" s="191">
        <f>MAX(0,BE254-AC254)</f>
        <v/>
      </c>
      <c r="BT254" s="191">
        <f>MAX(0,BF254-AD254)</f>
        <v/>
      </c>
      <c r="BU254" s="191">
        <f>MAX(0,BG254-AE254)</f>
        <v/>
      </c>
      <c r="BV254" s="191">
        <f>MAX(0,BH254-AF254)</f>
        <v/>
      </c>
      <c r="BW254" s="191">
        <f>MAX(0,BI254-AG254)</f>
        <v/>
      </c>
      <c r="BX254" s="191">
        <f>MAX(0,BJ254-AH254)</f>
        <v/>
      </c>
      <c r="BY254" s="191">
        <f>MAX(0,BK254-AI254)</f>
        <v/>
      </c>
      <c r="BZ254" s="191">
        <f>MAX(0,BL254-AJ254)</f>
        <v/>
      </c>
      <c r="CA254" s="191">
        <f>MAX(0,BM254-AK254)</f>
        <v/>
      </c>
      <c r="CB254" s="192">
        <f>MAX(0,BN254-AL254)</f>
        <v/>
      </c>
    </row>
    <row r="255">
      <c r="A255" s="64" t="inlineStr">
        <is>
          <t>53191899000214</t>
        </is>
      </c>
      <c r="B255" s="57" t="inlineStr">
        <is>
          <t>MS NUTRICAO LTDA - ME</t>
        </is>
      </c>
      <c r="C255" s="57" t="inlineStr">
        <is>
          <t>FITLAND</t>
        </is>
      </c>
      <c r="D255" s="61" t="inlineStr">
        <is>
          <t>JULIO GADRET</t>
        </is>
      </c>
      <c r="E255" s="30" t="inlineStr">
        <is>
          <t>.</t>
        </is>
      </c>
      <c r="F255" s="63" t="n">
        <v>89</v>
      </c>
      <c r="G255" s="179" t="n">
        <v>0.298</v>
      </c>
      <c r="H255" s="57" t="inlineStr">
        <is>
          <t>🔴 VERMELHO</t>
        </is>
      </c>
      <c r="I255" s="57" t="inlineStr">
        <is>
          <t>POSITIVAÇÃO</t>
        </is>
      </c>
      <c r="J255" s="61" t="inlineStr">
        <is>
          <t>Aumentar frequência + Expandir base</t>
        </is>
      </c>
      <c r="K255" s="30" t="inlineStr">
        <is>
          <t>.</t>
        </is>
      </c>
      <c r="L255" s="180" t="n">
        <v>4493.219999999999</v>
      </c>
      <c r="M255" s="181" t="n">
        <v>315.75</v>
      </c>
      <c r="N255" s="181" t="n">
        <v>329.95</v>
      </c>
      <c r="O255" s="181" t="n">
        <v>337.9</v>
      </c>
      <c r="P255" s="181" t="n">
        <v>346.7</v>
      </c>
      <c r="Q255" s="181" t="n">
        <v>358.06</v>
      </c>
      <c r="R255" s="181" t="n">
        <v>367.43</v>
      </c>
      <c r="S255" s="181" t="n">
        <v>381.63</v>
      </c>
      <c r="T255" s="181" t="n">
        <v>391</v>
      </c>
      <c r="U255" s="181" t="n">
        <v>399.8</v>
      </c>
      <c r="V255" s="181" t="n">
        <v>409.74</v>
      </c>
      <c r="W255" s="181" t="n">
        <v>420.53</v>
      </c>
      <c r="X255" s="182" t="n">
        <v>434.73</v>
      </c>
      <c r="Y255" s="183" t="inlineStr">
        <is>
          <t>.</t>
        </is>
      </c>
      <c r="Z255" s="184">
        <f>SUM(AA255:AL255)</f>
        <v/>
      </c>
      <c r="AA255" s="185" t="n">
        <v>0</v>
      </c>
      <c r="AB255" s="185" t="n">
        <v>0</v>
      </c>
      <c r="AC255" s="185" t="n">
        <v>597.2</v>
      </c>
      <c r="AD255" s="185" t="n">
        <v>0</v>
      </c>
      <c r="AE255" s="185" t="n">
        <v>0</v>
      </c>
      <c r="AF255" s="185" t="n">
        <v>1194.73</v>
      </c>
      <c r="AG255" s="185" t="n">
        <v>0</v>
      </c>
      <c r="AH255" s="185" t="n">
        <v>0</v>
      </c>
      <c r="AI255" s="185" t="n">
        <v>0</v>
      </c>
      <c r="AJ255" s="185" t="n">
        <v>0</v>
      </c>
      <c r="AK255" s="185" t="n">
        <v>0</v>
      </c>
      <c r="AL255" s="186" t="n">
        <v>0</v>
      </c>
      <c r="AM255" s="30" t="inlineStr">
        <is>
          <t>.</t>
        </is>
      </c>
      <c r="AN255" s="187">
        <f>IF(L255=0,0,Z255/L255)</f>
        <v/>
      </c>
      <c r="AO255" s="57">
        <f>IF(AN255&gt;=1,"🟢",IF(AN255&gt;=0.7,"🟡",IF(AN255&gt;=0.4,"🟠","🔴")))</f>
        <v/>
      </c>
      <c r="AP255" s="185">
        <f>L255-Z255</f>
        <v/>
      </c>
      <c r="AQ255" s="55">
        <f>RANK(Z255,$Z$4:$Z$503,0)</f>
        <v/>
      </c>
      <c r="AR255" s="39" t="inlineStr">
        <is>
          <t>.</t>
        </is>
      </c>
      <c r="AS255" s="27" t="n"/>
      <c r="AT255" s="27" t="n"/>
      <c r="AU255" s="27" t="n"/>
      <c r="AV255" s="27" t="n"/>
      <c r="AW255" s="27" t="n"/>
      <c r="AX255" s="27" t="n"/>
      <c r="AY255" s="204" t="n"/>
      <c r="AZ255" s="204" t="n"/>
      <c r="BA255" s="38" t="inlineStr">
        <is>
          <t>.</t>
        </is>
      </c>
      <c r="BB255" s="190">
        <f>SUM(BC255:BN255)</f>
        <v/>
      </c>
      <c r="BC255" s="191">
        <f>L255*0.0702730030</f>
        <v/>
      </c>
      <c r="BD255" s="191">
        <f>L255*0.0734327604</f>
        <v/>
      </c>
      <c r="BE255" s="191">
        <f>L255*0.0752022245</f>
        <v/>
      </c>
      <c r="BF255" s="191">
        <f>L255*0.0771612740</f>
        <v/>
      </c>
      <c r="BG255" s="191">
        <f>L255*0.0796890799</f>
        <v/>
      </c>
      <c r="BH255" s="191">
        <f>L255*0.0817745197</f>
        <v/>
      </c>
      <c r="BI255" s="191">
        <f>L255*0.0849342770</f>
        <v/>
      </c>
      <c r="BJ255" s="191">
        <f>L255*0.0870197169</f>
        <v/>
      </c>
      <c r="BK255" s="191">
        <f>L255*0.0889787664</f>
        <v/>
      </c>
      <c r="BL255" s="191">
        <f>L255*0.0911905966</f>
        <v/>
      </c>
      <c r="BM255" s="191">
        <f>L255*0.0935920121</f>
        <v/>
      </c>
      <c r="BN255" s="192">
        <f>L255*0.0967517695</f>
        <v/>
      </c>
      <c r="BO255" s="36" t="inlineStr">
        <is>
          <t>.</t>
        </is>
      </c>
      <c r="BP255" s="193">
        <f>SUM(BQ255:CB255)</f>
        <v/>
      </c>
      <c r="BQ255" s="191">
        <f>MAX(0,BC255-AA255)</f>
        <v/>
      </c>
      <c r="BR255" s="191">
        <f>MAX(0,BD255-AB255)</f>
        <v/>
      </c>
      <c r="BS255" s="191">
        <f>MAX(0,BE255-AC255)</f>
        <v/>
      </c>
      <c r="BT255" s="191">
        <f>MAX(0,BF255-AD255)</f>
        <v/>
      </c>
      <c r="BU255" s="191">
        <f>MAX(0,BG255-AE255)</f>
        <v/>
      </c>
      <c r="BV255" s="191">
        <f>MAX(0,BH255-AF255)</f>
        <v/>
      </c>
      <c r="BW255" s="191">
        <f>MAX(0,BI255-AG255)</f>
        <v/>
      </c>
      <c r="BX255" s="191">
        <f>MAX(0,BJ255-AH255)</f>
        <v/>
      </c>
      <c r="BY255" s="191">
        <f>MAX(0,BK255-AI255)</f>
        <v/>
      </c>
      <c r="BZ255" s="191">
        <f>MAX(0,BL255-AJ255)</f>
        <v/>
      </c>
      <c r="CA255" s="191">
        <f>MAX(0,BM255-AK255)</f>
        <v/>
      </c>
      <c r="CB255" s="192">
        <f>MAX(0,BN255-AL255)</f>
        <v/>
      </c>
    </row>
    <row r="256">
      <c r="A256" s="64" t="inlineStr">
        <is>
          <t>13154456000239</t>
        </is>
      </c>
      <c r="B256" s="57" t="inlineStr">
        <is>
          <t>ACADEMIA LIFE ENERGY LTDA - ME</t>
        </is>
      </c>
      <c r="C256" s="57" t="inlineStr">
        <is>
          <t>SEM GRUPO</t>
        </is>
      </c>
      <c r="D256" s="61" t="inlineStr">
        <is>
          <t>HEMANUELE DITZEL (MANU)</t>
        </is>
      </c>
      <c r="E256" s="30" t="inlineStr">
        <is>
          <t>.</t>
        </is>
      </c>
      <c r="F256" s="63" t="inlineStr"/>
      <c r="G256" s="179" t="inlineStr"/>
      <c r="H256" s="57" t="inlineStr"/>
      <c r="I256" s="57" t="inlineStr"/>
      <c r="J256" s="61" t="inlineStr"/>
      <c r="K256" s="30" t="inlineStr">
        <is>
          <t>.</t>
        </is>
      </c>
      <c r="L256" s="180" t="n">
        <v>4412.18</v>
      </c>
      <c r="M256" s="181" t="n">
        <v>310.06</v>
      </c>
      <c r="N256" s="181" t="n">
        <v>324</v>
      </c>
      <c r="O256" s="181" t="n">
        <v>331.81</v>
      </c>
      <c r="P256" s="181" t="n">
        <v>340.45</v>
      </c>
      <c r="Q256" s="181" t="n">
        <v>351.6</v>
      </c>
      <c r="R256" s="181" t="n">
        <v>360.8</v>
      </c>
      <c r="S256" s="181" t="n">
        <v>374.74</v>
      </c>
      <c r="T256" s="181" t="n">
        <v>383.95</v>
      </c>
      <c r="U256" s="181" t="n">
        <v>392.59</v>
      </c>
      <c r="V256" s="181" t="n">
        <v>402.35</v>
      </c>
      <c r="W256" s="181" t="n">
        <v>412.94</v>
      </c>
      <c r="X256" s="182" t="n">
        <v>426.89</v>
      </c>
      <c r="Y256" s="183" t="inlineStr">
        <is>
          <t>.</t>
        </is>
      </c>
      <c r="Z256" s="184">
        <f>SUM(AA256:AL256)</f>
        <v/>
      </c>
      <c r="AA256" s="185" t="n">
        <v>0</v>
      </c>
      <c r="AB256" s="185" t="n">
        <v>0</v>
      </c>
      <c r="AC256" s="185" t="n">
        <v>0</v>
      </c>
      <c r="AD256" s="185" t="n">
        <v>0</v>
      </c>
      <c r="AE256" s="185" t="n">
        <v>0</v>
      </c>
      <c r="AF256" s="185" t="n">
        <v>0</v>
      </c>
      <c r="AG256" s="185" t="n">
        <v>0</v>
      </c>
      <c r="AH256" s="185" t="n">
        <v>1023.02</v>
      </c>
      <c r="AI256" s="185" t="n">
        <v>898.84</v>
      </c>
      <c r="AJ256" s="185" t="n">
        <v>0</v>
      </c>
      <c r="AK256" s="185" t="n">
        <v>0</v>
      </c>
      <c r="AL256" s="186" t="n">
        <v>0</v>
      </c>
      <c r="AM256" s="30" t="inlineStr">
        <is>
          <t>.</t>
        </is>
      </c>
      <c r="AN256" s="187">
        <f>IF(L256=0,0,Z256/L256)</f>
        <v/>
      </c>
      <c r="AO256" s="57">
        <f>IF(AN256&gt;=1,"🟢",IF(AN256&gt;=0.7,"🟡",IF(AN256&gt;=0.4,"🟠","🔴")))</f>
        <v/>
      </c>
      <c r="AP256" s="185">
        <f>L256-Z256</f>
        <v/>
      </c>
      <c r="AQ256" s="55">
        <f>RANK(Z256,$Z$4:$Z$503,0)</f>
        <v/>
      </c>
      <c r="AR256" s="39" t="inlineStr">
        <is>
          <t>.</t>
        </is>
      </c>
      <c r="AS256" s="27" t="n"/>
      <c r="AT256" s="27" t="n"/>
      <c r="AU256" s="27" t="n"/>
      <c r="AV256" s="27" t="n"/>
      <c r="AW256" s="27" t="n"/>
      <c r="AX256" s="27" t="n"/>
      <c r="AY256" s="204" t="n"/>
      <c r="AZ256" s="204" t="n"/>
      <c r="BA256" s="38" t="inlineStr">
        <is>
          <t>.</t>
        </is>
      </c>
      <c r="BB256" s="190">
        <f>SUM(BC256:BN256)</f>
        <v/>
      </c>
      <c r="BC256" s="191">
        <f>L256*0.0702730030</f>
        <v/>
      </c>
      <c r="BD256" s="191">
        <f>L256*0.0734327604</f>
        <v/>
      </c>
      <c r="BE256" s="191">
        <f>L256*0.0752022245</f>
        <v/>
      </c>
      <c r="BF256" s="191">
        <f>L256*0.0771612740</f>
        <v/>
      </c>
      <c r="BG256" s="191">
        <f>L256*0.0796890799</f>
        <v/>
      </c>
      <c r="BH256" s="191">
        <f>L256*0.0817745197</f>
        <v/>
      </c>
      <c r="BI256" s="191">
        <f>L256*0.0849342770</f>
        <v/>
      </c>
      <c r="BJ256" s="191">
        <f>L256*0.0870197169</f>
        <v/>
      </c>
      <c r="BK256" s="191">
        <f>L256*0.0889787664</f>
        <v/>
      </c>
      <c r="BL256" s="191">
        <f>L256*0.0911905966</f>
        <v/>
      </c>
      <c r="BM256" s="191">
        <f>L256*0.0935920121</f>
        <v/>
      </c>
      <c r="BN256" s="192">
        <f>L256*0.0967517695</f>
        <v/>
      </c>
      <c r="BO256" s="36" t="inlineStr">
        <is>
          <t>.</t>
        </is>
      </c>
      <c r="BP256" s="193">
        <f>SUM(BQ256:CB256)</f>
        <v/>
      </c>
      <c r="BQ256" s="191">
        <f>MAX(0,BC256-AA256)</f>
        <v/>
      </c>
      <c r="BR256" s="191">
        <f>MAX(0,BD256-AB256)</f>
        <v/>
      </c>
      <c r="BS256" s="191">
        <f>MAX(0,BE256-AC256)</f>
        <v/>
      </c>
      <c r="BT256" s="191">
        <f>MAX(0,BF256-AD256)</f>
        <v/>
      </c>
      <c r="BU256" s="191">
        <f>MAX(0,BG256-AE256)</f>
        <v/>
      </c>
      <c r="BV256" s="191">
        <f>MAX(0,BH256-AF256)</f>
        <v/>
      </c>
      <c r="BW256" s="191">
        <f>MAX(0,BI256-AG256)</f>
        <v/>
      </c>
      <c r="BX256" s="191">
        <f>MAX(0,BJ256-AH256)</f>
        <v/>
      </c>
      <c r="BY256" s="191">
        <f>MAX(0,BK256-AI256)</f>
        <v/>
      </c>
      <c r="BZ256" s="191">
        <f>MAX(0,BL256-AJ256)</f>
        <v/>
      </c>
      <c r="CA256" s="191">
        <f>MAX(0,BM256-AK256)</f>
        <v/>
      </c>
      <c r="CB256" s="192">
        <f>MAX(0,BN256-AL256)</f>
        <v/>
      </c>
    </row>
    <row r="257">
      <c r="A257" s="64" t="inlineStr">
        <is>
          <t>40607315000116</t>
        </is>
      </c>
      <c r="B257" s="57" t="inlineStr">
        <is>
          <t>RAW MARKET ALIMENTOS SAUDAVEIS LTDA - ME</t>
        </is>
      </c>
      <c r="C257" s="57" t="inlineStr">
        <is>
          <t>SEM GRUPO</t>
        </is>
      </c>
      <c r="D257" s="61" t="inlineStr">
        <is>
          <t>HEMANUELE DITZEL (MANU)</t>
        </is>
      </c>
      <c r="E257" s="30" t="inlineStr">
        <is>
          <t>.</t>
        </is>
      </c>
      <c r="F257" s="63" t="inlineStr"/>
      <c r="G257" s="179" t="inlineStr"/>
      <c r="H257" s="57" t="inlineStr"/>
      <c r="I257" s="57" t="inlineStr"/>
      <c r="J257" s="61" t="inlineStr"/>
      <c r="K257" s="30" t="inlineStr">
        <is>
          <t>.</t>
        </is>
      </c>
      <c r="L257" s="180" t="n">
        <v>4406.610000000001</v>
      </c>
      <c r="M257" s="181" t="n">
        <v>309.67</v>
      </c>
      <c r="N257" s="181" t="n">
        <v>323.59</v>
      </c>
      <c r="O257" s="181" t="n">
        <v>331.39</v>
      </c>
      <c r="P257" s="181" t="n">
        <v>340.02</v>
      </c>
      <c r="Q257" s="181" t="n">
        <v>351.16</v>
      </c>
      <c r="R257" s="181" t="n">
        <v>360.35</v>
      </c>
      <c r="S257" s="181" t="n">
        <v>374.27</v>
      </c>
      <c r="T257" s="181" t="n">
        <v>383.46</v>
      </c>
      <c r="U257" s="181" t="n">
        <v>392.09</v>
      </c>
      <c r="V257" s="181" t="n">
        <v>401.84</v>
      </c>
      <c r="W257" s="181" t="n">
        <v>412.42</v>
      </c>
      <c r="X257" s="182" t="n">
        <v>426.35</v>
      </c>
      <c r="Y257" s="183" t="inlineStr">
        <is>
          <t>.</t>
        </is>
      </c>
      <c r="Z257" s="184">
        <f>SUM(AA257:AL257)</f>
        <v/>
      </c>
      <c r="AA257" s="185" t="n">
        <v>0</v>
      </c>
      <c r="AB257" s="185" t="n">
        <v>0</v>
      </c>
      <c r="AC257" s="185" t="n">
        <v>0</v>
      </c>
      <c r="AD257" s="185" t="n">
        <v>0</v>
      </c>
      <c r="AE257" s="185" t="n">
        <v>0</v>
      </c>
      <c r="AF257" s="185" t="n">
        <v>0</v>
      </c>
      <c r="AG257" s="185" t="n">
        <v>2235.1</v>
      </c>
      <c r="AH257" s="185" t="n">
        <v>0</v>
      </c>
      <c r="AI257" s="185" t="n">
        <v>0</v>
      </c>
      <c r="AJ257" s="185" t="n">
        <v>0</v>
      </c>
      <c r="AK257" s="185" t="n">
        <v>0</v>
      </c>
      <c r="AL257" s="186" t="n">
        <v>0</v>
      </c>
      <c r="AM257" s="30" t="inlineStr">
        <is>
          <t>.</t>
        </is>
      </c>
      <c r="AN257" s="187">
        <f>IF(L257=0,0,Z257/L257)</f>
        <v/>
      </c>
      <c r="AO257" s="57">
        <f>IF(AN257&gt;=1,"🟢",IF(AN257&gt;=0.7,"🟡",IF(AN257&gt;=0.4,"🟠","🔴")))</f>
        <v/>
      </c>
      <c r="AP257" s="185">
        <f>L257-Z257</f>
        <v/>
      </c>
      <c r="AQ257" s="55">
        <f>RANK(Z257,$Z$4:$Z$503,0)</f>
        <v/>
      </c>
      <c r="AR257" s="39" t="inlineStr">
        <is>
          <t>.</t>
        </is>
      </c>
      <c r="AS257" s="27" t="n"/>
      <c r="AT257" s="27" t="n"/>
      <c r="AU257" s="27" t="n"/>
      <c r="AV257" s="27" t="n"/>
      <c r="AW257" s="27" t="n"/>
      <c r="AX257" s="27" t="n"/>
      <c r="AY257" s="204" t="n"/>
      <c r="AZ257" s="204" t="n"/>
      <c r="BA257" s="38" t="inlineStr">
        <is>
          <t>.</t>
        </is>
      </c>
      <c r="BB257" s="190">
        <f>SUM(BC257:BN257)</f>
        <v/>
      </c>
      <c r="BC257" s="191">
        <f>L257*0.0702730030</f>
        <v/>
      </c>
      <c r="BD257" s="191">
        <f>L257*0.0734327604</f>
        <v/>
      </c>
      <c r="BE257" s="191">
        <f>L257*0.0752022245</f>
        <v/>
      </c>
      <c r="BF257" s="191">
        <f>L257*0.0771612740</f>
        <v/>
      </c>
      <c r="BG257" s="191">
        <f>L257*0.0796890799</f>
        <v/>
      </c>
      <c r="BH257" s="191">
        <f>L257*0.0817745197</f>
        <v/>
      </c>
      <c r="BI257" s="191">
        <f>L257*0.0849342770</f>
        <v/>
      </c>
      <c r="BJ257" s="191">
        <f>L257*0.0870197169</f>
        <v/>
      </c>
      <c r="BK257" s="191">
        <f>L257*0.0889787664</f>
        <v/>
      </c>
      <c r="BL257" s="191">
        <f>L257*0.0911905966</f>
        <v/>
      </c>
      <c r="BM257" s="191">
        <f>L257*0.0935920121</f>
        <v/>
      </c>
      <c r="BN257" s="192">
        <f>L257*0.0967517695</f>
        <v/>
      </c>
      <c r="BO257" s="36" t="inlineStr">
        <is>
          <t>.</t>
        </is>
      </c>
      <c r="BP257" s="193">
        <f>SUM(BQ257:CB257)</f>
        <v/>
      </c>
      <c r="BQ257" s="191">
        <f>MAX(0,BC257-AA257)</f>
        <v/>
      </c>
      <c r="BR257" s="191">
        <f>MAX(0,BD257-AB257)</f>
        <v/>
      </c>
      <c r="BS257" s="191">
        <f>MAX(0,BE257-AC257)</f>
        <v/>
      </c>
      <c r="BT257" s="191">
        <f>MAX(0,BF257-AD257)</f>
        <v/>
      </c>
      <c r="BU257" s="191">
        <f>MAX(0,BG257-AE257)</f>
        <v/>
      </c>
      <c r="BV257" s="191">
        <f>MAX(0,BH257-AF257)</f>
        <v/>
      </c>
      <c r="BW257" s="191">
        <f>MAX(0,BI257-AG257)</f>
        <v/>
      </c>
      <c r="BX257" s="191">
        <f>MAX(0,BJ257-AH257)</f>
        <v/>
      </c>
      <c r="BY257" s="191">
        <f>MAX(0,BK257-AI257)</f>
        <v/>
      </c>
      <c r="BZ257" s="191">
        <f>MAX(0,BL257-AJ257)</f>
        <v/>
      </c>
      <c r="CA257" s="191">
        <f>MAX(0,BM257-AK257)</f>
        <v/>
      </c>
      <c r="CB257" s="192">
        <f>MAX(0,BN257-AL257)</f>
        <v/>
      </c>
    </row>
    <row r="258">
      <c r="A258" s="64" t="inlineStr">
        <is>
          <t>58104865000188</t>
        </is>
      </c>
      <c r="B258" s="57" t="inlineStr">
        <is>
          <t>AMME FIT NUTRICAO LTDA - ME</t>
        </is>
      </c>
      <c r="C258" s="57" t="inlineStr">
        <is>
          <t>FITLAND</t>
        </is>
      </c>
      <c r="D258" s="61" t="inlineStr">
        <is>
          <t>JULIO GADRET</t>
        </is>
      </c>
      <c r="E258" s="30" t="inlineStr">
        <is>
          <t>.</t>
        </is>
      </c>
      <c r="F258" s="63" t="n">
        <v>89</v>
      </c>
      <c r="G258" s="179" t="n">
        <v>0.298</v>
      </c>
      <c r="H258" s="57" t="inlineStr">
        <is>
          <t>🔴 VERMELHO</t>
        </is>
      </c>
      <c r="I258" s="57" t="inlineStr">
        <is>
          <t>POSITIVAÇÃO</t>
        </is>
      </c>
      <c r="J258" s="61" t="inlineStr">
        <is>
          <t>Aumentar frequência + Expandir base</t>
        </is>
      </c>
      <c r="K258" s="30" t="inlineStr">
        <is>
          <t>.</t>
        </is>
      </c>
      <c r="L258" s="180" t="n">
        <v>4403.08</v>
      </c>
      <c r="M258" s="181" t="n">
        <v>309.42</v>
      </c>
      <c r="N258" s="181" t="n">
        <v>323.33</v>
      </c>
      <c r="O258" s="181" t="n">
        <v>331.12</v>
      </c>
      <c r="P258" s="181" t="n">
        <v>339.75</v>
      </c>
      <c r="Q258" s="181" t="n">
        <v>350.88</v>
      </c>
      <c r="R258" s="181" t="n">
        <v>360.06</v>
      </c>
      <c r="S258" s="181" t="n">
        <v>373.97</v>
      </c>
      <c r="T258" s="181" t="n">
        <v>383.15</v>
      </c>
      <c r="U258" s="181" t="n">
        <v>391.78</v>
      </c>
      <c r="V258" s="181" t="n">
        <v>401.52</v>
      </c>
      <c r="W258" s="181" t="n">
        <v>412.09</v>
      </c>
      <c r="X258" s="182" t="n">
        <v>426.01</v>
      </c>
      <c r="Y258" s="183" t="inlineStr">
        <is>
          <t>.</t>
        </is>
      </c>
      <c r="Z258" s="184">
        <f>SUM(AA258:AL258)</f>
        <v/>
      </c>
      <c r="AA258" s="185" t="n">
        <v>0</v>
      </c>
      <c r="AB258" s="185" t="n">
        <v>0</v>
      </c>
      <c r="AC258" s="185" t="n">
        <v>0</v>
      </c>
      <c r="AD258" s="185" t="n">
        <v>481.77</v>
      </c>
      <c r="AE258" s="185" t="n">
        <v>0</v>
      </c>
      <c r="AF258" s="185" t="n">
        <v>1222.53</v>
      </c>
      <c r="AG258" s="185" t="n">
        <v>0</v>
      </c>
      <c r="AH258" s="185" t="n">
        <v>0</v>
      </c>
      <c r="AI258" s="185" t="n">
        <v>0</v>
      </c>
      <c r="AJ258" s="185" t="n">
        <v>0</v>
      </c>
      <c r="AK258" s="185" t="n">
        <v>0</v>
      </c>
      <c r="AL258" s="186" t="n">
        <v>0</v>
      </c>
      <c r="AM258" s="30" t="inlineStr">
        <is>
          <t>.</t>
        </is>
      </c>
      <c r="AN258" s="187">
        <f>IF(L258=0,0,Z258/L258)</f>
        <v/>
      </c>
      <c r="AO258" s="57">
        <f>IF(AN258&gt;=1,"🟢",IF(AN258&gt;=0.7,"🟡",IF(AN258&gt;=0.4,"🟠","🔴")))</f>
        <v/>
      </c>
      <c r="AP258" s="185">
        <f>L258-Z258</f>
        <v/>
      </c>
      <c r="AQ258" s="55">
        <f>RANK(Z258,$Z$4:$Z$503,0)</f>
        <v/>
      </c>
      <c r="AR258" s="39" t="inlineStr">
        <is>
          <t>.</t>
        </is>
      </c>
      <c r="AS258" s="27" t="n"/>
      <c r="AT258" s="27" t="n"/>
      <c r="AU258" s="27" t="n"/>
      <c r="AV258" s="27" t="n"/>
      <c r="AW258" s="27" t="n"/>
      <c r="AX258" s="27" t="n"/>
      <c r="AY258" s="204" t="n"/>
      <c r="AZ258" s="204" t="n"/>
      <c r="BA258" s="38" t="inlineStr">
        <is>
          <t>.</t>
        </is>
      </c>
      <c r="BB258" s="190">
        <f>SUM(BC258:BN258)</f>
        <v/>
      </c>
      <c r="BC258" s="191">
        <f>L258*0.0702730030</f>
        <v/>
      </c>
      <c r="BD258" s="191">
        <f>L258*0.0734327604</f>
        <v/>
      </c>
      <c r="BE258" s="191">
        <f>L258*0.0752022245</f>
        <v/>
      </c>
      <c r="BF258" s="191">
        <f>L258*0.0771612740</f>
        <v/>
      </c>
      <c r="BG258" s="191">
        <f>L258*0.0796890799</f>
        <v/>
      </c>
      <c r="BH258" s="191">
        <f>L258*0.0817745197</f>
        <v/>
      </c>
      <c r="BI258" s="191">
        <f>L258*0.0849342770</f>
        <v/>
      </c>
      <c r="BJ258" s="191">
        <f>L258*0.0870197169</f>
        <v/>
      </c>
      <c r="BK258" s="191">
        <f>L258*0.0889787664</f>
        <v/>
      </c>
      <c r="BL258" s="191">
        <f>L258*0.0911905966</f>
        <v/>
      </c>
      <c r="BM258" s="191">
        <f>L258*0.0935920121</f>
        <v/>
      </c>
      <c r="BN258" s="192">
        <f>L258*0.0967517695</f>
        <v/>
      </c>
      <c r="BO258" s="36" t="inlineStr">
        <is>
          <t>.</t>
        </is>
      </c>
      <c r="BP258" s="193">
        <f>SUM(BQ258:CB258)</f>
        <v/>
      </c>
      <c r="BQ258" s="191">
        <f>MAX(0,BC258-AA258)</f>
        <v/>
      </c>
      <c r="BR258" s="191">
        <f>MAX(0,BD258-AB258)</f>
        <v/>
      </c>
      <c r="BS258" s="191">
        <f>MAX(0,BE258-AC258)</f>
        <v/>
      </c>
      <c r="BT258" s="191">
        <f>MAX(0,BF258-AD258)</f>
        <v/>
      </c>
      <c r="BU258" s="191">
        <f>MAX(0,BG258-AE258)</f>
        <v/>
      </c>
      <c r="BV258" s="191">
        <f>MAX(0,BH258-AF258)</f>
        <v/>
      </c>
      <c r="BW258" s="191">
        <f>MAX(0,BI258-AG258)</f>
        <v/>
      </c>
      <c r="BX258" s="191">
        <f>MAX(0,BJ258-AH258)</f>
        <v/>
      </c>
      <c r="BY258" s="191">
        <f>MAX(0,BK258-AI258)</f>
        <v/>
      </c>
      <c r="BZ258" s="191">
        <f>MAX(0,BL258-AJ258)</f>
        <v/>
      </c>
      <c r="CA258" s="191">
        <f>MAX(0,BM258-AK258)</f>
        <v/>
      </c>
      <c r="CB258" s="192">
        <f>MAX(0,BN258-AL258)</f>
        <v/>
      </c>
    </row>
    <row r="259">
      <c r="A259" s="64" t="inlineStr">
        <is>
          <t>24544945000132</t>
        </is>
      </c>
      <c r="B259" s="57" t="inlineStr">
        <is>
          <t>A 28 COMERCIO &amp; EMPACOTADORA LTDA - ME</t>
        </is>
      </c>
      <c r="C259" s="57" t="inlineStr">
        <is>
          <t>SEM GRUPO</t>
        </is>
      </c>
      <c r="D259" s="61" t="inlineStr">
        <is>
          <t>LARISSA PADILHA</t>
        </is>
      </c>
      <c r="E259" s="30" t="inlineStr">
        <is>
          <t>.</t>
        </is>
      </c>
      <c r="F259" s="63" t="inlineStr"/>
      <c r="G259" s="179" t="inlineStr"/>
      <c r="H259" s="57" t="inlineStr"/>
      <c r="I259" s="57" t="inlineStr"/>
      <c r="J259" s="61" t="inlineStr"/>
      <c r="K259" s="30" t="inlineStr">
        <is>
          <t>.</t>
        </is>
      </c>
      <c r="L259" s="180" t="n">
        <v>4382.809999999999</v>
      </c>
      <c r="M259" s="181" t="n">
        <v>307.99</v>
      </c>
      <c r="N259" s="181" t="n">
        <v>321.84</v>
      </c>
      <c r="O259" s="181" t="n">
        <v>329.6</v>
      </c>
      <c r="P259" s="181" t="n">
        <v>338.18</v>
      </c>
      <c r="Q259" s="181" t="n">
        <v>349.26</v>
      </c>
      <c r="R259" s="181" t="n">
        <v>358.4</v>
      </c>
      <c r="S259" s="181" t="n">
        <v>372.25</v>
      </c>
      <c r="T259" s="181" t="n">
        <v>381.39</v>
      </c>
      <c r="U259" s="181" t="n">
        <v>389.98</v>
      </c>
      <c r="V259" s="181" t="n">
        <v>399.67</v>
      </c>
      <c r="W259" s="181" t="n">
        <v>410.2</v>
      </c>
      <c r="X259" s="182" t="n">
        <v>424.05</v>
      </c>
      <c r="Y259" s="183" t="inlineStr">
        <is>
          <t>.</t>
        </is>
      </c>
      <c r="Z259" s="184">
        <f>SUM(AA259:AL259)</f>
        <v/>
      </c>
      <c r="AA259" s="185" t="n">
        <v>0</v>
      </c>
      <c r="AB259" s="185" t="n">
        <v>0</v>
      </c>
      <c r="AC259" s="185" t="n">
        <v>0</v>
      </c>
      <c r="AD259" s="185" t="n">
        <v>0</v>
      </c>
      <c r="AE259" s="185" t="n">
        <v>0</v>
      </c>
      <c r="AF259" s="185" t="n">
        <v>0</v>
      </c>
      <c r="AG259" s="185" t="n">
        <v>0</v>
      </c>
      <c r="AH259" s="185" t="n">
        <v>0</v>
      </c>
      <c r="AI259" s="185" t="n">
        <v>0</v>
      </c>
      <c r="AJ259" s="185" t="n">
        <v>2493.22</v>
      </c>
      <c r="AK259" s="185" t="n">
        <v>0</v>
      </c>
      <c r="AL259" s="186" t="n">
        <v>0</v>
      </c>
      <c r="AM259" s="30" t="inlineStr">
        <is>
          <t>.</t>
        </is>
      </c>
      <c r="AN259" s="187">
        <f>IF(L259=0,0,Z259/L259)</f>
        <v/>
      </c>
      <c r="AO259" s="57">
        <f>IF(AN259&gt;=1,"🟢",IF(AN259&gt;=0.7,"🟡",IF(AN259&gt;=0.4,"🟠","🔴")))</f>
        <v/>
      </c>
      <c r="AP259" s="185">
        <f>L259-Z259</f>
        <v/>
      </c>
      <c r="AQ259" s="55">
        <f>RANK(Z259,$Z$4:$Z$503,0)</f>
        <v/>
      </c>
      <c r="AR259" s="39" t="inlineStr">
        <is>
          <t>.</t>
        </is>
      </c>
      <c r="AS259" s="27" t="n"/>
      <c r="AT259" s="27" t="n"/>
      <c r="AU259" s="27" t="n"/>
      <c r="AV259" s="27" t="n"/>
      <c r="AW259" s="27" t="n"/>
      <c r="AX259" s="27" t="n"/>
      <c r="AY259" s="204" t="n"/>
      <c r="AZ259" s="204" t="n"/>
      <c r="BA259" s="38" t="inlineStr">
        <is>
          <t>.</t>
        </is>
      </c>
      <c r="BB259" s="190">
        <f>SUM(BC259:BN259)</f>
        <v/>
      </c>
      <c r="BC259" s="191">
        <f>L259*0.0702730030</f>
        <v/>
      </c>
      <c r="BD259" s="191">
        <f>L259*0.0734327604</f>
        <v/>
      </c>
      <c r="BE259" s="191">
        <f>L259*0.0752022245</f>
        <v/>
      </c>
      <c r="BF259" s="191">
        <f>L259*0.0771612740</f>
        <v/>
      </c>
      <c r="BG259" s="191">
        <f>L259*0.0796890799</f>
        <v/>
      </c>
      <c r="BH259" s="191">
        <f>L259*0.0817745197</f>
        <v/>
      </c>
      <c r="BI259" s="191">
        <f>L259*0.0849342770</f>
        <v/>
      </c>
      <c r="BJ259" s="191">
        <f>L259*0.0870197169</f>
        <v/>
      </c>
      <c r="BK259" s="191">
        <f>L259*0.0889787664</f>
        <v/>
      </c>
      <c r="BL259" s="191">
        <f>L259*0.0911905966</f>
        <v/>
      </c>
      <c r="BM259" s="191">
        <f>L259*0.0935920121</f>
        <v/>
      </c>
      <c r="BN259" s="192">
        <f>L259*0.0967517695</f>
        <v/>
      </c>
      <c r="BO259" s="36" t="inlineStr">
        <is>
          <t>.</t>
        </is>
      </c>
      <c r="BP259" s="193">
        <f>SUM(BQ259:CB259)</f>
        <v/>
      </c>
      <c r="BQ259" s="191">
        <f>MAX(0,BC259-AA259)</f>
        <v/>
      </c>
      <c r="BR259" s="191">
        <f>MAX(0,BD259-AB259)</f>
        <v/>
      </c>
      <c r="BS259" s="191">
        <f>MAX(0,BE259-AC259)</f>
        <v/>
      </c>
      <c r="BT259" s="191">
        <f>MAX(0,BF259-AD259)</f>
        <v/>
      </c>
      <c r="BU259" s="191">
        <f>MAX(0,BG259-AE259)</f>
        <v/>
      </c>
      <c r="BV259" s="191">
        <f>MAX(0,BH259-AF259)</f>
        <v/>
      </c>
      <c r="BW259" s="191">
        <f>MAX(0,BI259-AG259)</f>
        <v/>
      </c>
      <c r="BX259" s="191">
        <f>MAX(0,BJ259-AH259)</f>
        <v/>
      </c>
      <c r="BY259" s="191">
        <f>MAX(0,BK259-AI259)</f>
        <v/>
      </c>
      <c r="BZ259" s="191">
        <f>MAX(0,BL259-AJ259)</f>
        <v/>
      </c>
      <c r="CA259" s="191">
        <f>MAX(0,BM259-AK259)</f>
        <v/>
      </c>
      <c r="CB259" s="192">
        <f>MAX(0,BN259-AL259)</f>
        <v/>
      </c>
    </row>
    <row r="260">
      <c r="A260" s="64" t="inlineStr">
        <is>
          <t>07327319000175</t>
        </is>
      </c>
      <c r="B260" s="57" t="inlineStr">
        <is>
          <t>GIRASSOL SUPERMERCADO LTDA</t>
        </is>
      </c>
      <c r="C260" s="57" t="inlineStr">
        <is>
          <t>SEM GRUPO</t>
        </is>
      </c>
      <c r="D260" s="61" t="inlineStr">
        <is>
          <t>LARISSA PADILHA</t>
        </is>
      </c>
      <c r="E260" s="30" t="inlineStr">
        <is>
          <t>.</t>
        </is>
      </c>
      <c r="F260" s="63" t="inlineStr"/>
      <c r="G260" s="179" t="inlineStr"/>
      <c r="H260" s="57" t="inlineStr"/>
      <c r="I260" s="57" t="inlineStr"/>
      <c r="J260" s="61" t="inlineStr"/>
      <c r="K260" s="30" t="inlineStr">
        <is>
          <t>.</t>
        </is>
      </c>
      <c r="L260" s="180" t="n">
        <v>4379.01</v>
      </c>
      <c r="M260" s="181" t="n">
        <v>307.73</v>
      </c>
      <c r="N260" s="181" t="n">
        <v>321.56</v>
      </c>
      <c r="O260" s="181" t="n">
        <v>329.31</v>
      </c>
      <c r="P260" s="181" t="n">
        <v>337.89</v>
      </c>
      <c r="Q260" s="181" t="n">
        <v>348.96</v>
      </c>
      <c r="R260" s="181" t="n">
        <v>358.09</v>
      </c>
      <c r="S260" s="181" t="n">
        <v>371.93</v>
      </c>
      <c r="T260" s="181" t="n">
        <v>381.06</v>
      </c>
      <c r="U260" s="181" t="n">
        <v>389.64</v>
      </c>
      <c r="V260" s="181" t="n">
        <v>399.32</v>
      </c>
      <c r="W260" s="181" t="n">
        <v>409.84</v>
      </c>
      <c r="X260" s="182" t="n">
        <v>423.68</v>
      </c>
      <c r="Y260" s="183" t="inlineStr">
        <is>
          <t>.</t>
        </is>
      </c>
      <c r="Z260" s="184">
        <f>SUM(AA260:AL260)</f>
        <v/>
      </c>
      <c r="AA260" s="185" t="n">
        <v>0</v>
      </c>
      <c r="AB260" s="185" t="n">
        <v>0</v>
      </c>
      <c r="AC260" s="185" t="n">
        <v>0</v>
      </c>
      <c r="AD260" s="185" t="n">
        <v>0</v>
      </c>
      <c r="AE260" s="185" t="n">
        <v>0</v>
      </c>
      <c r="AF260" s="185" t="n">
        <v>1900.28</v>
      </c>
      <c r="AG260" s="185" t="n">
        <v>0</v>
      </c>
      <c r="AH260" s="185" t="n">
        <v>0</v>
      </c>
      <c r="AI260" s="185" t="n">
        <v>0</v>
      </c>
      <c r="AJ260" s="185" t="n">
        <v>0</v>
      </c>
      <c r="AK260" s="185" t="n">
        <v>0</v>
      </c>
      <c r="AL260" s="186" t="n">
        <v>0</v>
      </c>
      <c r="AM260" s="30" t="inlineStr">
        <is>
          <t>.</t>
        </is>
      </c>
      <c r="AN260" s="187">
        <f>IF(L260=0,0,Z260/L260)</f>
        <v/>
      </c>
      <c r="AO260" s="57">
        <f>IF(AN260&gt;=1,"🟢",IF(AN260&gt;=0.7,"🟡",IF(AN260&gt;=0.4,"🟠","🔴")))</f>
        <v/>
      </c>
      <c r="AP260" s="185">
        <f>L260-Z260</f>
        <v/>
      </c>
      <c r="AQ260" s="55">
        <f>RANK(Z260,$Z$4:$Z$503,0)</f>
        <v/>
      </c>
      <c r="AR260" s="39" t="inlineStr">
        <is>
          <t>.</t>
        </is>
      </c>
      <c r="AS260" s="27" t="n"/>
      <c r="AT260" s="27" t="n"/>
      <c r="AU260" s="27" t="n"/>
      <c r="AV260" s="27" t="n"/>
      <c r="AW260" s="27" t="n"/>
      <c r="AX260" s="27" t="n"/>
      <c r="AY260" s="204" t="n"/>
      <c r="AZ260" s="204" t="n"/>
      <c r="BA260" s="38" t="inlineStr">
        <is>
          <t>.</t>
        </is>
      </c>
      <c r="BB260" s="190">
        <f>SUM(BC260:BN260)</f>
        <v/>
      </c>
      <c r="BC260" s="191">
        <f>L260*0.0702730030</f>
        <v/>
      </c>
      <c r="BD260" s="191">
        <f>L260*0.0734327604</f>
        <v/>
      </c>
      <c r="BE260" s="191">
        <f>L260*0.0752022245</f>
        <v/>
      </c>
      <c r="BF260" s="191">
        <f>L260*0.0771612740</f>
        <v/>
      </c>
      <c r="BG260" s="191">
        <f>L260*0.0796890799</f>
        <v/>
      </c>
      <c r="BH260" s="191">
        <f>L260*0.0817745197</f>
        <v/>
      </c>
      <c r="BI260" s="191">
        <f>L260*0.0849342770</f>
        <v/>
      </c>
      <c r="BJ260" s="191">
        <f>L260*0.0870197169</f>
        <v/>
      </c>
      <c r="BK260" s="191">
        <f>L260*0.0889787664</f>
        <v/>
      </c>
      <c r="BL260" s="191">
        <f>L260*0.0911905966</f>
        <v/>
      </c>
      <c r="BM260" s="191">
        <f>L260*0.0935920121</f>
        <v/>
      </c>
      <c r="BN260" s="192">
        <f>L260*0.0967517695</f>
        <v/>
      </c>
      <c r="BO260" s="36" t="inlineStr">
        <is>
          <t>.</t>
        </is>
      </c>
      <c r="BP260" s="193">
        <f>SUM(BQ260:CB260)</f>
        <v/>
      </c>
      <c r="BQ260" s="191">
        <f>MAX(0,BC260-AA260)</f>
        <v/>
      </c>
      <c r="BR260" s="191">
        <f>MAX(0,BD260-AB260)</f>
        <v/>
      </c>
      <c r="BS260" s="191">
        <f>MAX(0,BE260-AC260)</f>
        <v/>
      </c>
      <c r="BT260" s="191">
        <f>MAX(0,BF260-AD260)</f>
        <v/>
      </c>
      <c r="BU260" s="191">
        <f>MAX(0,BG260-AE260)</f>
        <v/>
      </c>
      <c r="BV260" s="191">
        <f>MAX(0,BH260-AF260)</f>
        <v/>
      </c>
      <c r="BW260" s="191">
        <f>MAX(0,BI260-AG260)</f>
        <v/>
      </c>
      <c r="BX260" s="191">
        <f>MAX(0,BJ260-AH260)</f>
        <v/>
      </c>
      <c r="BY260" s="191">
        <f>MAX(0,BK260-AI260)</f>
        <v/>
      </c>
      <c r="BZ260" s="191">
        <f>MAX(0,BL260-AJ260)</f>
        <v/>
      </c>
      <c r="CA260" s="191">
        <f>MAX(0,BM260-AK260)</f>
        <v/>
      </c>
      <c r="CB260" s="192">
        <f>MAX(0,BN260-AL260)</f>
        <v/>
      </c>
    </row>
    <row r="261">
      <c r="A261" s="64" t="inlineStr">
        <is>
          <t>03207136000165</t>
        </is>
      </c>
      <c r="B261" s="57" t="inlineStr">
        <is>
          <t>POSTOS LP LTDA</t>
        </is>
      </c>
      <c r="C261" s="57" t="inlineStr">
        <is>
          <t>SEM GRUPO</t>
        </is>
      </c>
      <c r="D261" s="61" t="inlineStr">
        <is>
          <t>HEMANUELE DITZEL (MANU)</t>
        </is>
      </c>
      <c r="E261" s="30" t="inlineStr">
        <is>
          <t>.</t>
        </is>
      </c>
      <c r="F261" s="63" t="inlineStr"/>
      <c r="G261" s="179" t="inlineStr"/>
      <c r="H261" s="57" t="inlineStr"/>
      <c r="I261" s="57" t="inlineStr"/>
      <c r="J261" s="61" t="inlineStr"/>
      <c r="K261" s="30" t="inlineStr">
        <is>
          <t>.</t>
        </is>
      </c>
      <c r="L261" s="180" t="n">
        <v>4376.09</v>
      </c>
      <c r="M261" s="181" t="n">
        <v>307.52</v>
      </c>
      <c r="N261" s="181" t="n">
        <v>321.35</v>
      </c>
      <c r="O261" s="181" t="n">
        <v>329.09</v>
      </c>
      <c r="P261" s="181" t="n">
        <v>337.66</v>
      </c>
      <c r="Q261" s="181" t="n">
        <v>348.73</v>
      </c>
      <c r="R261" s="181" t="n">
        <v>357.85</v>
      </c>
      <c r="S261" s="181" t="n">
        <v>371.68</v>
      </c>
      <c r="T261" s="181" t="n">
        <v>380.81</v>
      </c>
      <c r="U261" s="181" t="n">
        <v>389.38</v>
      </c>
      <c r="V261" s="181" t="n">
        <v>399.06</v>
      </c>
      <c r="W261" s="181" t="n">
        <v>409.57</v>
      </c>
      <c r="X261" s="182" t="n">
        <v>423.39</v>
      </c>
      <c r="Y261" s="183" t="inlineStr">
        <is>
          <t>.</t>
        </is>
      </c>
      <c r="Z261" s="184">
        <f>SUM(AA261:AL261)</f>
        <v/>
      </c>
      <c r="AA261" s="185" t="n">
        <v>0</v>
      </c>
      <c r="AB261" s="185" t="n">
        <v>0</v>
      </c>
      <c r="AC261" s="185" t="n">
        <v>0</v>
      </c>
      <c r="AD261" s="185" t="n">
        <v>0</v>
      </c>
      <c r="AE261" s="185" t="n">
        <v>0</v>
      </c>
      <c r="AF261" s="185" t="n">
        <v>0</v>
      </c>
      <c r="AG261" s="185" t="n">
        <v>834.76</v>
      </c>
      <c r="AH261" s="185" t="n">
        <v>0</v>
      </c>
      <c r="AI261" s="185" t="n">
        <v>779.49</v>
      </c>
      <c r="AJ261" s="185" t="n">
        <v>0</v>
      </c>
      <c r="AK261" s="185" t="n">
        <v>0</v>
      </c>
      <c r="AL261" s="186" t="n">
        <v>0</v>
      </c>
      <c r="AM261" s="30" t="inlineStr">
        <is>
          <t>.</t>
        </is>
      </c>
      <c r="AN261" s="187">
        <f>IF(L261=0,0,Z261/L261)</f>
        <v/>
      </c>
      <c r="AO261" s="57">
        <f>IF(AN261&gt;=1,"🟢",IF(AN261&gt;=0.7,"🟡",IF(AN261&gt;=0.4,"🟠","🔴")))</f>
        <v/>
      </c>
      <c r="AP261" s="185">
        <f>L261-Z261</f>
        <v/>
      </c>
      <c r="AQ261" s="55">
        <f>RANK(Z261,$Z$4:$Z$503,0)</f>
        <v/>
      </c>
      <c r="AR261" s="39" t="inlineStr">
        <is>
          <t>.</t>
        </is>
      </c>
      <c r="AS261" s="27" t="n"/>
      <c r="AT261" s="27" t="n"/>
      <c r="AU261" s="27" t="n"/>
      <c r="AV261" s="27" t="n"/>
      <c r="AW261" s="27" t="n"/>
      <c r="AX261" s="27" t="n"/>
      <c r="AY261" s="204" t="n"/>
      <c r="AZ261" s="204" t="n"/>
      <c r="BA261" s="38" t="inlineStr">
        <is>
          <t>.</t>
        </is>
      </c>
      <c r="BB261" s="190">
        <f>SUM(BC261:BN261)</f>
        <v/>
      </c>
      <c r="BC261" s="191">
        <f>L261*0.0702730030</f>
        <v/>
      </c>
      <c r="BD261" s="191">
        <f>L261*0.0734327604</f>
        <v/>
      </c>
      <c r="BE261" s="191">
        <f>L261*0.0752022245</f>
        <v/>
      </c>
      <c r="BF261" s="191">
        <f>L261*0.0771612740</f>
        <v/>
      </c>
      <c r="BG261" s="191">
        <f>L261*0.0796890799</f>
        <v/>
      </c>
      <c r="BH261" s="191">
        <f>L261*0.0817745197</f>
        <v/>
      </c>
      <c r="BI261" s="191">
        <f>L261*0.0849342770</f>
        <v/>
      </c>
      <c r="BJ261" s="191">
        <f>L261*0.0870197169</f>
        <v/>
      </c>
      <c r="BK261" s="191">
        <f>L261*0.0889787664</f>
        <v/>
      </c>
      <c r="BL261" s="191">
        <f>L261*0.0911905966</f>
        <v/>
      </c>
      <c r="BM261" s="191">
        <f>L261*0.0935920121</f>
        <v/>
      </c>
      <c r="BN261" s="192">
        <f>L261*0.0967517695</f>
        <v/>
      </c>
      <c r="BO261" s="36" t="inlineStr">
        <is>
          <t>.</t>
        </is>
      </c>
      <c r="BP261" s="193">
        <f>SUM(BQ261:CB261)</f>
        <v/>
      </c>
      <c r="BQ261" s="191">
        <f>MAX(0,BC261-AA261)</f>
        <v/>
      </c>
      <c r="BR261" s="191">
        <f>MAX(0,BD261-AB261)</f>
        <v/>
      </c>
      <c r="BS261" s="191">
        <f>MAX(0,BE261-AC261)</f>
        <v/>
      </c>
      <c r="BT261" s="191">
        <f>MAX(0,BF261-AD261)</f>
        <v/>
      </c>
      <c r="BU261" s="191">
        <f>MAX(0,BG261-AE261)</f>
        <v/>
      </c>
      <c r="BV261" s="191">
        <f>MAX(0,BH261-AF261)</f>
        <v/>
      </c>
      <c r="BW261" s="191">
        <f>MAX(0,BI261-AG261)</f>
        <v/>
      </c>
      <c r="BX261" s="191">
        <f>MAX(0,BJ261-AH261)</f>
        <v/>
      </c>
      <c r="BY261" s="191">
        <f>MAX(0,BK261-AI261)</f>
        <v/>
      </c>
      <c r="BZ261" s="191">
        <f>MAX(0,BL261-AJ261)</f>
        <v/>
      </c>
      <c r="CA261" s="191">
        <f>MAX(0,BM261-AK261)</f>
        <v/>
      </c>
      <c r="CB261" s="192">
        <f>MAX(0,BN261-AL261)</f>
        <v/>
      </c>
    </row>
    <row r="262">
      <c r="A262" s="64" t="inlineStr">
        <is>
          <t>54325795000137</t>
        </is>
      </c>
      <c r="B262" s="57" t="inlineStr">
        <is>
          <t>MINA PRECIOSA COMERCIO DE ALIMENTOS LTDA</t>
        </is>
      </c>
      <c r="C262" s="57" t="inlineStr">
        <is>
          <t>SEM GRUPO</t>
        </is>
      </c>
      <c r="D262" s="61" t="inlineStr">
        <is>
          <t>LARISSA PADILHA</t>
        </is>
      </c>
      <c r="E262" s="30" t="inlineStr">
        <is>
          <t>.</t>
        </is>
      </c>
      <c r="F262" s="63" t="inlineStr"/>
      <c r="G262" s="179" t="inlineStr"/>
      <c r="H262" s="57" t="inlineStr"/>
      <c r="I262" s="57" t="inlineStr"/>
      <c r="J262" s="61" t="inlineStr"/>
      <c r="K262" s="30" t="inlineStr">
        <is>
          <t>.</t>
        </is>
      </c>
      <c r="L262" s="180" t="n">
        <v>4346.280000000001</v>
      </c>
      <c r="M262" s="181" t="n">
        <v>305.43</v>
      </c>
      <c r="N262" s="181" t="n">
        <v>319.16</v>
      </c>
      <c r="O262" s="181" t="n">
        <v>326.85</v>
      </c>
      <c r="P262" s="181" t="n">
        <v>335.36</v>
      </c>
      <c r="Q262" s="181" t="n">
        <v>346.35</v>
      </c>
      <c r="R262" s="181" t="n">
        <v>355.41</v>
      </c>
      <c r="S262" s="181" t="n">
        <v>369.15</v>
      </c>
      <c r="T262" s="181" t="n">
        <v>378.21</v>
      </c>
      <c r="U262" s="181" t="n">
        <v>386.73</v>
      </c>
      <c r="V262" s="181" t="n">
        <v>396.34</v>
      </c>
      <c r="W262" s="181" t="n">
        <v>406.78</v>
      </c>
      <c r="X262" s="182" t="n">
        <v>420.51</v>
      </c>
      <c r="Y262" s="183" t="inlineStr">
        <is>
          <t>.</t>
        </is>
      </c>
      <c r="Z262" s="184">
        <f>SUM(AA262:AL262)</f>
        <v/>
      </c>
      <c r="AA262" s="185" t="n">
        <v>0</v>
      </c>
      <c r="AB262" s="185" t="n">
        <v>4369.13</v>
      </c>
      <c r="AC262" s="185" t="n">
        <v>0</v>
      </c>
      <c r="AD262" s="185" t="n">
        <v>0</v>
      </c>
      <c r="AE262" s="185" t="n">
        <v>0</v>
      </c>
      <c r="AF262" s="185" t="n">
        <v>0</v>
      </c>
      <c r="AG262" s="185" t="n">
        <v>0</v>
      </c>
      <c r="AH262" s="185" t="n">
        <v>0</v>
      </c>
      <c r="AI262" s="185" t="n">
        <v>0</v>
      </c>
      <c r="AJ262" s="185" t="n">
        <v>0</v>
      </c>
      <c r="AK262" s="185" t="n">
        <v>0</v>
      </c>
      <c r="AL262" s="186" t="n">
        <v>0</v>
      </c>
      <c r="AM262" s="30" t="inlineStr">
        <is>
          <t>.</t>
        </is>
      </c>
      <c r="AN262" s="187">
        <f>IF(L262=0,0,Z262/L262)</f>
        <v/>
      </c>
      <c r="AO262" s="57">
        <f>IF(AN262&gt;=1,"🟢",IF(AN262&gt;=0.7,"🟡",IF(AN262&gt;=0.4,"🟠","🔴")))</f>
        <v/>
      </c>
      <c r="AP262" s="185">
        <f>L262-Z262</f>
        <v/>
      </c>
      <c r="AQ262" s="55">
        <f>RANK(Z262,$Z$4:$Z$503,0)</f>
        <v/>
      </c>
      <c r="AR262" s="39" t="inlineStr">
        <is>
          <t>.</t>
        </is>
      </c>
      <c r="AS262" s="27" t="n"/>
      <c r="AT262" s="27" t="n"/>
      <c r="AU262" s="27" t="n"/>
      <c r="AV262" s="27" t="n"/>
      <c r="AW262" s="27" t="n"/>
      <c r="AX262" s="27" t="n"/>
      <c r="AY262" s="204" t="n"/>
      <c r="AZ262" s="204" t="n"/>
      <c r="BA262" s="38" t="inlineStr">
        <is>
          <t>.</t>
        </is>
      </c>
      <c r="BB262" s="190">
        <f>SUM(BC262:BN262)</f>
        <v/>
      </c>
      <c r="BC262" s="191">
        <f>L262*0.0702730030</f>
        <v/>
      </c>
      <c r="BD262" s="191">
        <f>L262*0.0734327604</f>
        <v/>
      </c>
      <c r="BE262" s="191">
        <f>L262*0.0752022245</f>
        <v/>
      </c>
      <c r="BF262" s="191">
        <f>L262*0.0771612740</f>
        <v/>
      </c>
      <c r="BG262" s="191">
        <f>L262*0.0796890799</f>
        <v/>
      </c>
      <c r="BH262" s="191">
        <f>L262*0.0817745197</f>
        <v/>
      </c>
      <c r="BI262" s="191">
        <f>L262*0.0849342770</f>
        <v/>
      </c>
      <c r="BJ262" s="191">
        <f>L262*0.0870197169</f>
        <v/>
      </c>
      <c r="BK262" s="191">
        <f>L262*0.0889787664</f>
        <v/>
      </c>
      <c r="BL262" s="191">
        <f>L262*0.0911905966</f>
        <v/>
      </c>
      <c r="BM262" s="191">
        <f>L262*0.0935920121</f>
        <v/>
      </c>
      <c r="BN262" s="192">
        <f>L262*0.0967517695</f>
        <v/>
      </c>
      <c r="BO262" s="36" t="inlineStr">
        <is>
          <t>.</t>
        </is>
      </c>
      <c r="BP262" s="193">
        <f>SUM(BQ262:CB262)</f>
        <v/>
      </c>
      <c r="BQ262" s="191">
        <f>MAX(0,BC262-AA262)</f>
        <v/>
      </c>
      <c r="BR262" s="191">
        <f>MAX(0,BD262-AB262)</f>
        <v/>
      </c>
      <c r="BS262" s="191">
        <f>MAX(0,BE262-AC262)</f>
        <v/>
      </c>
      <c r="BT262" s="191">
        <f>MAX(0,BF262-AD262)</f>
        <v/>
      </c>
      <c r="BU262" s="191">
        <f>MAX(0,BG262-AE262)</f>
        <v/>
      </c>
      <c r="BV262" s="191">
        <f>MAX(0,BH262-AF262)</f>
        <v/>
      </c>
      <c r="BW262" s="191">
        <f>MAX(0,BI262-AG262)</f>
        <v/>
      </c>
      <c r="BX262" s="191">
        <f>MAX(0,BJ262-AH262)</f>
        <v/>
      </c>
      <c r="BY262" s="191">
        <f>MAX(0,BK262-AI262)</f>
        <v/>
      </c>
      <c r="BZ262" s="191">
        <f>MAX(0,BL262-AJ262)</f>
        <v/>
      </c>
      <c r="CA262" s="191">
        <f>MAX(0,BM262-AK262)</f>
        <v/>
      </c>
      <c r="CB262" s="192">
        <f>MAX(0,BN262-AL262)</f>
        <v/>
      </c>
    </row>
    <row r="263">
      <c r="A263" s="64" t="inlineStr">
        <is>
          <t>36611091000149</t>
        </is>
      </c>
      <c r="B263" s="57" t="inlineStr">
        <is>
          <t>LEVE SABOR ALIMENTACAO SAUDAVEL LTDA - M</t>
        </is>
      </c>
      <c r="C263" s="57" t="inlineStr">
        <is>
          <t>SEM GRUPO</t>
        </is>
      </c>
      <c r="D263" s="61" t="inlineStr">
        <is>
          <t>HEMANUELE DITZEL (MANU)</t>
        </is>
      </c>
      <c r="E263" s="30" t="inlineStr">
        <is>
          <t>.</t>
        </is>
      </c>
      <c r="F263" s="63" t="inlineStr"/>
      <c r="G263" s="179" t="inlineStr"/>
      <c r="H263" s="57" t="inlineStr"/>
      <c r="I263" s="57" t="inlineStr"/>
      <c r="J263" s="61" t="inlineStr"/>
      <c r="K263" s="30" t="inlineStr">
        <is>
          <t>.</t>
        </is>
      </c>
      <c r="L263" s="180" t="n">
        <v>4338.66</v>
      </c>
      <c r="M263" s="181" t="n">
        <v>304.89</v>
      </c>
      <c r="N263" s="181" t="n">
        <v>318.6</v>
      </c>
      <c r="O263" s="181" t="n">
        <v>326.28</v>
      </c>
      <c r="P263" s="181" t="n">
        <v>334.78</v>
      </c>
      <c r="Q263" s="181" t="n">
        <v>345.74</v>
      </c>
      <c r="R263" s="181" t="n">
        <v>354.79</v>
      </c>
      <c r="S263" s="181" t="n">
        <v>368.5</v>
      </c>
      <c r="T263" s="181" t="n">
        <v>377.55</v>
      </c>
      <c r="U263" s="181" t="n">
        <v>386.05</v>
      </c>
      <c r="V263" s="181" t="n">
        <v>395.65</v>
      </c>
      <c r="W263" s="181" t="n">
        <v>406.06</v>
      </c>
      <c r="X263" s="182" t="n">
        <v>419.77</v>
      </c>
      <c r="Y263" s="183" t="inlineStr">
        <is>
          <t>.</t>
        </is>
      </c>
      <c r="Z263" s="184">
        <f>SUM(AA263:AL263)</f>
        <v/>
      </c>
      <c r="AA263" s="185" t="n">
        <v>0</v>
      </c>
      <c r="AB263" s="185" t="n">
        <v>0</v>
      </c>
      <c r="AC263" s="185" t="n">
        <v>0</v>
      </c>
      <c r="AD263" s="185" t="n">
        <v>0</v>
      </c>
      <c r="AE263" s="185" t="n">
        <v>0</v>
      </c>
      <c r="AF263" s="185" t="n">
        <v>0</v>
      </c>
      <c r="AG263" s="185" t="n">
        <v>0</v>
      </c>
      <c r="AH263" s="185" t="n">
        <v>0</v>
      </c>
      <c r="AI263" s="185" t="n">
        <v>0</v>
      </c>
      <c r="AJ263" s="185" t="n">
        <v>0</v>
      </c>
      <c r="AK263" s="185" t="n">
        <v>0</v>
      </c>
      <c r="AL263" s="186" t="n">
        <v>0</v>
      </c>
      <c r="AM263" s="222" t="n">
        <v>1002.92</v>
      </c>
      <c r="AN263" s="187">
        <f>IF(L263=0,0,Z263/L263)</f>
        <v/>
      </c>
      <c r="AO263" s="57">
        <f>IF(AN263&gt;=1,"🟢",IF(AN263&gt;=0.7,"🟡",IF(AN263&gt;=0.4,"🟠","🔴")))</f>
        <v/>
      </c>
      <c r="AP263" s="185">
        <f>L263-Z263</f>
        <v/>
      </c>
      <c r="AQ263" s="55">
        <f>RANK(Z263,$Z$4:$Z$503,0)</f>
        <v/>
      </c>
      <c r="AR263" s="39" t="inlineStr">
        <is>
          <t>.</t>
        </is>
      </c>
      <c r="AS263" s="27" t="n"/>
      <c r="AT263" s="27" t="n"/>
      <c r="AU263" s="27" t="n"/>
      <c r="AV263" s="27" t="n"/>
      <c r="AW263" s="27" t="n"/>
      <c r="AX263" s="27" t="n"/>
      <c r="AY263" s="204" t="n"/>
      <c r="AZ263" s="204" t="n"/>
      <c r="BA263" s="38" t="inlineStr">
        <is>
          <t>.</t>
        </is>
      </c>
      <c r="BB263" s="190">
        <f>SUM(BC263:BN263)</f>
        <v/>
      </c>
      <c r="BC263" s="191">
        <f>L263*0.0702730030</f>
        <v/>
      </c>
      <c r="BD263" s="191">
        <f>L263*0.0734327604</f>
        <v/>
      </c>
      <c r="BE263" s="191">
        <f>L263*0.0752022245</f>
        <v/>
      </c>
      <c r="BF263" s="191">
        <f>L263*0.0771612740</f>
        <v/>
      </c>
      <c r="BG263" s="191">
        <f>L263*0.0796890799</f>
        <v/>
      </c>
      <c r="BH263" s="191">
        <f>L263*0.0817745197</f>
        <v/>
      </c>
      <c r="BI263" s="191">
        <f>L263*0.0849342770</f>
        <v/>
      </c>
      <c r="BJ263" s="191">
        <f>L263*0.0870197169</f>
        <v/>
      </c>
      <c r="BK263" s="191">
        <f>L263*0.0889787664</f>
        <v/>
      </c>
      <c r="BL263" s="191">
        <f>L263*0.0911905966</f>
        <v/>
      </c>
      <c r="BM263" s="191">
        <f>L263*0.0935920121</f>
        <v/>
      </c>
      <c r="BN263" s="192">
        <f>L263*0.0967517695</f>
        <v/>
      </c>
      <c r="BO263" s="36" t="inlineStr">
        <is>
          <t>.</t>
        </is>
      </c>
      <c r="BP263" s="193">
        <f>SUM(BQ263:CB263)</f>
        <v/>
      </c>
      <c r="BQ263" s="191">
        <f>MAX(0,BC263-AA263)</f>
        <v/>
      </c>
      <c r="BR263" s="191">
        <f>MAX(0,BD263-AB263)</f>
        <v/>
      </c>
      <c r="BS263" s="191">
        <f>MAX(0,BE263-AC263)</f>
        <v/>
      </c>
      <c r="BT263" s="191">
        <f>MAX(0,BF263-AD263)</f>
        <v/>
      </c>
      <c r="BU263" s="191">
        <f>MAX(0,BG263-AE263)</f>
        <v/>
      </c>
      <c r="BV263" s="191">
        <f>MAX(0,BH263-AF263)</f>
        <v/>
      </c>
      <c r="BW263" s="191">
        <f>MAX(0,BI263-AG263)</f>
        <v/>
      </c>
      <c r="BX263" s="191">
        <f>MAX(0,BJ263-AH263)</f>
        <v/>
      </c>
      <c r="BY263" s="191">
        <f>MAX(0,BK263-AI263)</f>
        <v/>
      </c>
      <c r="BZ263" s="191">
        <f>MAX(0,BL263-AJ263)</f>
        <v/>
      </c>
      <c r="CA263" s="191">
        <f>MAX(0,BM263-AK263)</f>
        <v/>
      </c>
      <c r="CB263" s="192">
        <f>MAX(0,BN263-AL263)</f>
        <v/>
      </c>
    </row>
    <row r="264">
      <c r="A264" s="64" t="inlineStr">
        <is>
          <t>42627934000106</t>
        </is>
      </c>
      <c r="B264" s="57" t="inlineStr">
        <is>
          <t>LOJA DE CONVENIENCIA D-PORT LTDA - ME</t>
        </is>
      </c>
      <c r="C264" s="57" t="inlineStr">
        <is>
          <t>SEM GRUPO</t>
        </is>
      </c>
      <c r="D264" s="61" t="inlineStr">
        <is>
          <t>LARISSA PADILHA</t>
        </is>
      </c>
      <c r="E264" s="30" t="inlineStr">
        <is>
          <t>.</t>
        </is>
      </c>
      <c r="F264" s="63" t="inlineStr"/>
      <c r="G264" s="179" t="inlineStr"/>
      <c r="H264" s="57" t="inlineStr"/>
      <c r="I264" s="57" t="inlineStr"/>
      <c r="J264" s="61" t="inlineStr"/>
      <c r="K264" s="30" t="inlineStr">
        <is>
          <t>.</t>
        </is>
      </c>
      <c r="L264" s="180" t="n">
        <v>4337.92</v>
      </c>
      <c r="M264" s="181" t="n">
        <v>304.84</v>
      </c>
      <c r="N264" s="181" t="n">
        <v>318.55</v>
      </c>
      <c r="O264" s="181" t="n">
        <v>326.22</v>
      </c>
      <c r="P264" s="181" t="n">
        <v>334.72</v>
      </c>
      <c r="Q264" s="181" t="n">
        <v>345.69</v>
      </c>
      <c r="R264" s="181" t="n">
        <v>354.73</v>
      </c>
      <c r="S264" s="181" t="n">
        <v>368.44</v>
      </c>
      <c r="T264" s="181" t="n">
        <v>377.48</v>
      </c>
      <c r="U264" s="181" t="n">
        <v>385.98</v>
      </c>
      <c r="V264" s="181" t="n">
        <v>395.58</v>
      </c>
      <c r="W264" s="181" t="n">
        <v>405.99</v>
      </c>
      <c r="X264" s="182" t="n">
        <v>419.7</v>
      </c>
      <c r="Y264" s="183" t="inlineStr">
        <is>
          <t>.</t>
        </is>
      </c>
      <c r="Z264" s="184">
        <f>SUM(AA264:AL264)</f>
        <v/>
      </c>
      <c r="AA264" s="185" t="n">
        <v>0</v>
      </c>
      <c r="AB264" s="185" t="n">
        <v>0</v>
      </c>
      <c r="AC264" s="185" t="n">
        <v>0</v>
      </c>
      <c r="AD264" s="185" t="n">
        <v>0</v>
      </c>
      <c r="AE264" s="185" t="n">
        <v>0</v>
      </c>
      <c r="AF264" s="185" t="n">
        <v>0</v>
      </c>
      <c r="AG264" s="185" t="n">
        <v>0</v>
      </c>
      <c r="AH264" s="185" t="n">
        <v>0</v>
      </c>
      <c r="AI264" s="185" t="n">
        <v>1964.94</v>
      </c>
      <c r="AJ264" s="185" t="n">
        <v>0</v>
      </c>
      <c r="AK264" s="185" t="n">
        <v>0</v>
      </c>
      <c r="AL264" s="186" t="n">
        <v>0</v>
      </c>
      <c r="AM264" s="30" t="inlineStr">
        <is>
          <t>.</t>
        </is>
      </c>
      <c r="AN264" s="187">
        <f>IF(L264=0,0,Z264/L264)</f>
        <v/>
      </c>
      <c r="AO264" s="57">
        <f>IF(AN264&gt;=1,"🟢",IF(AN264&gt;=0.7,"🟡",IF(AN264&gt;=0.4,"🟠","🔴")))</f>
        <v/>
      </c>
      <c r="AP264" s="185">
        <f>L264-Z264</f>
        <v/>
      </c>
      <c r="AQ264" s="55">
        <f>RANK(Z264,$Z$4:$Z$503,0)</f>
        <v/>
      </c>
      <c r="AR264" s="39" t="inlineStr">
        <is>
          <t>.</t>
        </is>
      </c>
      <c r="AS264" s="27" t="n"/>
      <c r="AT264" s="27" t="n"/>
      <c r="AU264" s="27" t="n"/>
      <c r="AV264" s="27" t="n"/>
      <c r="AW264" s="27" t="n"/>
      <c r="AX264" s="27" t="n"/>
      <c r="AY264" s="204" t="n"/>
      <c r="AZ264" s="204" t="n"/>
      <c r="BA264" s="38" t="inlineStr">
        <is>
          <t>.</t>
        </is>
      </c>
      <c r="BB264" s="190">
        <f>SUM(BC264:BN264)</f>
        <v/>
      </c>
      <c r="BC264" s="191">
        <f>L264*0.0702730030</f>
        <v/>
      </c>
      <c r="BD264" s="191">
        <f>L264*0.0734327604</f>
        <v/>
      </c>
      <c r="BE264" s="191">
        <f>L264*0.0752022245</f>
        <v/>
      </c>
      <c r="BF264" s="191">
        <f>L264*0.0771612740</f>
        <v/>
      </c>
      <c r="BG264" s="191">
        <f>L264*0.0796890799</f>
        <v/>
      </c>
      <c r="BH264" s="191">
        <f>L264*0.0817745197</f>
        <v/>
      </c>
      <c r="BI264" s="191">
        <f>L264*0.0849342770</f>
        <v/>
      </c>
      <c r="BJ264" s="191">
        <f>L264*0.0870197169</f>
        <v/>
      </c>
      <c r="BK264" s="191">
        <f>L264*0.0889787664</f>
        <v/>
      </c>
      <c r="BL264" s="191">
        <f>L264*0.0911905966</f>
        <v/>
      </c>
      <c r="BM264" s="191">
        <f>L264*0.0935920121</f>
        <v/>
      </c>
      <c r="BN264" s="192">
        <f>L264*0.0967517695</f>
        <v/>
      </c>
      <c r="BO264" s="36" t="inlineStr">
        <is>
          <t>.</t>
        </is>
      </c>
      <c r="BP264" s="193">
        <f>SUM(BQ264:CB264)</f>
        <v/>
      </c>
      <c r="BQ264" s="191">
        <f>MAX(0,BC264-AA264)</f>
        <v/>
      </c>
      <c r="BR264" s="191">
        <f>MAX(0,BD264-AB264)</f>
        <v/>
      </c>
      <c r="BS264" s="191">
        <f>MAX(0,BE264-AC264)</f>
        <v/>
      </c>
      <c r="BT264" s="191">
        <f>MAX(0,BF264-AD264)</f>
        <v/>
      </c>
      <c r="BU264" s="191">
        <f>MAX(0,BG264-AE264)</f>
        <v/>
      </c>
      <c r="BV264" s="191">
        <f>MAX(0,BH264-AF264)</f>
        <v/>
      </c>
      <c r="BW264" s="191">
        <f>MAX(0,BI264-AG264)</f>
        <v/>
      </c>
      <c r="BX264" s="191">
        <f>MAX(0,BJ264-AH264)</f>
        <v/>
      </c>
      <c r="BY264" s="191">
        <f>MAX(0,BK264-AI264)</f>
        <v/>
      </c>
      <c r="BZ264" s="191">
        <f>MAX(0,BL264-AJ264)</f>
        <v/>
      </c>
      <c r="CA264" s="191">
        <f>MAX(0,BM264-AK264)</f>
        <v/>
      </c>
      <c r="CB264" s="192">
        <f>MAX(0,BN264-AL264)</f>
        <v/>
      </c>
    </row>
    <row r="265">
      <c r="A265" s="64" t="inlineStr">
        <is>
          <t>14147398000106</t>
        </is>
      </c>
      <c r="B265" s="57" t="inlineStr">
        <is>
          <t>VILLA CERRONI ALIMENTOS LTDA</t>
        </is>
      </c>
      <c r="C265" s="57" t="inlineStr">
        <is>
          <t>SEM GRUPO</t>
        </is>
      </c>
      <c r="D265" s="61" t="inlineStr">
        <is>
          <t>LARISSA PADILHA</t>
        </is>
      </c>
      <c r="E265" s="30" t="inlineStr">
        <is>
          <t>.</t>
        </is>
      </c>
      <c r="F265" s="63" t="inlineStr"/>
      <c r="G265" s="179" t="inlineStr"/>
      <c r="H265" s="57" t="inlineStr"/>
      <c r="I265" s="57" t="inlineStr"/>
      <c r="J265" s="61" t="inlineStr"/>
      <c r="K265" s="30" t="inlineStr">
        <is>
          <t>.</t>
        </is>
      </c>
      <c r="L265" s="180" t="n">
        <v>4326.74</v>
      </c>
      <c r="M265" s="181" t="n">
        <v>304.05</v>
      </c>
      <c r="N265" s="181" t="n">
        <v>317.72</v>
      </c>
      <c r="O265" s="181" t="n">
        <v>325.38</v>
      </c>
      <c r="P265" s="181" t="n">
        <v>333.86</v>
      </c>
      <c r="Q265" s="181" t="n">
        <v>344.79</v>
      </c>
      <c r="R265" s="181" t="n">
        <v>353.82</v>
      </c>
      <c r="S265" s="181" t="n">
        <v>367.49</v>
      </c>
      <c r="T265" s="181" t="n">
        <v>376.51</v>
      </c>
      <c r="U265" s="181" t="n">
        <v>384.99</v>
      </c>
      <c r="V265" s="181" t="n">
        <v>394.56</v>
      </c>
      <c r="W265" s="181" t="n">
        <v>404.95</v>
      </c>
      <c r="X265" s="182" t="n">
        <v>418.62</v>
      </c>
      <c r="Y265" s="183" t="inlineStr">
        <is>
          <t>.</t>
        </is>
      </c>
      <c r="Z265" s="184">
        <f>SUM(AA265:AL265)</f>
        <v/>
      </c>
      <c r="AA265" s="185" t="n">
        <v>0</v>
      </c>
      <c r="AB265" s="185" t="n">
        <v>0</v>
      </c>
      <c r="AC265" s="185" t="n">
        <v>0</v>
      </c>
      <c r="AD265" s="185" t="n">
        <v>0</v>
      </c>
      <c r="AE265" s="185" t="n">
        <v>0</v>
      </c>
      <c r="AF265" s="185" t="n">
        <v>0</v>
      </c>
      <c r="AG265" s="185" t="n">
        <v>0</v>
      </c>
      <c r="AH265" s="185" t="n">
        <v>0</v>
      </c>
      <c r="AI265" s="185" t="n">
        <v>0</v>
      </c>
      <c r="AJ265" s="185" t="n">
        <v>0</v>
      </c>
      <c r="AK265" s="185" t="n">
        <v>0</v>
      </c>
      <c r="AL265" s="186" t="n">
        <v>1906.92</v>
      </c>
      <c r="AM265" s="30" t="inlineStr">
        <is>
          <t>.</t>
        </is>
      </c>
      <c r="AN265" s="187">
        <f>IF(L265=0,0,Z265/L265)</f>
        <v/>
      </c>
      <c r="AO265" s="57">
        <f>IF(AN265&gt;=1,"🟢",IF(AN265&gt;=0.7,"🟡",IF(AN265&gt;=0.4,"🟠","🔴")))</f>
        <v/>
      </c>
      <c r="AP265" s="185">
        <f>L265-Z265</f>
        <v/>
      </c>
      <c r="AQ265" s="55">
        <f>RANK(Z265,$Z$4:$Z$503,0)</f>
        <v/>
      </c>
      <c r="AR265" s="39" t="inlineStr">
        <is>
          <t>.</t>
        </is>
      </c>
      <c r="AS265" s="27" t="n"/>
      <c r="AT265" s="27" t="n"/>
      <c r="AU265" s="27" t="n"/>
      <c r="AV265" s="27" t="n"/>
      <c r="AW265" s="27" t="n"/>
      <c r="AX265" s="27" t="n"/>
      <c r="AY265" s="204" t="n"/>
      <c r="AZ265" s="204" t="n"/>
      <c r="BA265" s="38" t="inlineStr">
        <is>
          <t>.</t>
        </is>
      </c>
      <c r="BB265" s="190">
        <f>SUM(BC265:BN265)</f>
        <v/>
      </c>
      <c r="BC265" s="191">
        <f>L265*0.0702730030</f>
        <v/>
      </c>
      <c r="BD265" s="191">
        <f>L265*0.0734327604</f>
        <v/>
      </c>
      <c r="BE265" s="191">
        <f>L265*0.0752022245</f>
        <v/>
      </c>
      <c r="BF265" s="191">
        <f>L265*0.0771612740</f>
        <v/>
      </c>
      <c r="BG265" s="191">
        <f>L265*0.0796890799</f>
        <v/>
      </c>
      <c r="BH265" s="191">
        <f>L265*0.0817745197</f>
        <v/>
      </c>
      <c r="BI265" s="191">
        <f>L265*0.0849342770</f>
        <v/>
      </c>
      <c r="BJ265" s="191">
        <f>L265*0.0870197169</f>
        <v/>
      </c>
      <c r="BK265" s="191">
        <f>L265*0.0889787664</f>
        <v/>
      </c>
      <c r="BL265" s="191">
        <f>L265*0.0911905966</f>
        <v/>
      </c>
      <c r="BM265" s="191">
        <f>L265*0.0935920121</f>
        <v/>
      </c>
      <c r="BN265" s="192">
        <f>L265*0.0967517695</f>
        <v/>
      </c>
      <c r="BO265" s="36" t="inlineStr">
        <is>
          <t>.</t>
        </is>
      </c>
      <c r="BP265" s="193">
        <f>SUM(BQ265:CB265)</f>
        <v/>
      </c>
      <c r="BQ265" s="191">
        <f>MAX(0,BC265-AA265)</f>
        <v/>
      </c>
      <c r="BR265" s="191">
        <f>MAX(0,BD265-AB265)</f>
        <v/>
      </c>
      <c r="BS265" s="191">
        <f>MAX(0,BE265-AC265)</f>
        <v/>
      </c>
      <c r="BT265" s="191">
        <f>MAX(0,BF265-AD265)</f>
        <v/>
      </c>
      <c r="BU265" s="191">
        <f>MAX(0,BG265-AE265)</f>
        <v/>
      </c>
      <c r="BV265" s="191">
        <f>MAX(0,BH265-AF265)</f>
        <v/>
      </c>
      <c r="BW265" s="191">
        <f>MAX(0,BI265-AG265)</f>
        <v/>
      </c>
      <c r="BX265" s="191">
        <f>MAX(0,BJ265-AH265)</f>
        <v/>
      </c>
      <c r="BY265" s="191">
        <f>MAX(0,BK265-AI265)</f>
        <v/>
      </c>
      <c r="BZ265" s="191">
        <f>MAX(0,BL265-AJ265)</f>
        <v/>
      </c>
      <c r="CA265" s="191">
        <f>MAX(0,BM265-AK265)</f>
        <v/>
      </c>
      <c r="CB265" s="192">
        <f>MAX(0,BN265-AL265)</f>
        <v/>
      </c>
    </row>
    <row r="266">
      <c r="A266" s="64" t="inlineStr">
        <is>
          <t>31574092000147</t>
        </is>
      </c>
      <c r="B266" s="57" t="inlineStr">
        <is>
          <t>L O PASTRO - ME</t>
        </is>
      </c>
      <c r="C266" s="57" t="inlineStr">
        <is>
          <t>SEM GRUPO</t>
        </is>
      </c>
      <c r="D266" s="61" t="inlineStr">
        <is>
          <t>LARISSA PADILHA</t>
        </is>
      </c>
      <c r="E266" s="30" t="inlineStr">
        <is>
          <t>.</t>
        </is>
      </c>
      <c r="F266" s="63" t="inlineStr"/>
      <c r="G266" s="179" t="inlineStr"/>
      <c r="H266" s="57" t="inlineStr"/>
      <c r="I266" s="57" t="inlineStr"/>
      <c r="J266" s="61" t="inlineStr"/>
      <c r="K266" s="30" t="inlineStr">
        <is>
          <t>.</t>
        </is>
      </c>
      <c r="L266" s="180" t="n">
        <v>4311.76</v>
      </c>
      <c r="M266" s="181" t="n">
        <v>303</v>
      </c>
      <c r="N266" s="181" t="n">
        <v>316.62</v>
      </c>
      <c r="O266" s="181" t="n">
        <v>324.25</v>
      </c>
      <c r="P266" s="181" t="n">
        <v>332.7</v>
      </c>
      <c r="Q266" s="181" t="n">
        <v>343.6</v>
      </c>
      <c r="R266" s="181" t="n">
        <v>352.59</v>
      </c>
      <c r="S266" s="181" t="n">
        <v>366.22</v>
      </c>
      <c r="T266" s="181" t="n">
        <v>375.21</v>
      </c>
      <c r="U266" s="181" t="n">
        <v>383.66</v>
      </c>
      <c r="V266" s="181" t="n">
        <v>393.19</v>
      </c>
      <c r="W266" s="181" t="n">
        <v>403.55</v>
      </c>
      <c r="X266" s="182" t="n">
        <v>417.17</v>
      </c>
      <c r="Y266" s="183" t="inlineStr">
        <is>
          <t>.</t>
        </is>
      </c>
      <c r="Z266" s="184">
        <f>SUM(AA266:AL266)</f>
        <v/>
      </c>
      <c r="AA266" s="185" t="n">
        <v>0</v>
      </c>
      <c r="AB266" s="185" t="n">
        <v>0</v>
      </c>
      <c r="AC266" s="185" t="n">
        <v>1171.37</v>
      </c>
      <c r="AD266" s="185" t="n">
        <v>0</v>
      </c>
      <c r="AE266" s="185" t="n">
        <v>0</v>
      </c>
      <c r="AF266" s="185" t="n">
        <v>0</v>
      </c>
      <c r="AG266" s="185" t="n">
        <v>0</v>
      </c>
      <c r="AH266" s="185" t="n">
        <v>0</v>
      </c>
      <c r="AI266" s="185" t="n">
        <v>0</v>
      </c>
      <c r="AJ266" s="185" t="n">
        <v>0</v>
      </c>
      <c r="AK266" s="185" t="n">
        <v>0</v>
      </c>
      <c r="AL266" s="186" t="n">
        <v>587.97</v>
      </c>
      <c r="AM266" s="30" t="inlineStr">
        <is>
          <t>.</t>
        </is>
      </c>
      <c r="AN266" s="187">
        <f>IF(L266=0,0,Z266/L266)</f>
        <v/>
      </c>
      <c r="AO266" s="57">
        <f>IF(AN266&gt;=1,"🟢",IF(AN266&gt;=0.7,"🟡",IF(AN266&gt;=0.4,"🟠","🔴")))</f>
        <v/>
      </c>
      <c r="AP266" s="185">
        <f>L266-Z266</f>
        <v/>
      </c>
      <c r="AQ266" s="55">
        <f>RANK(Z266,$Z$4:$Z$503,0)</f>
        <v/>
      </c>
      <c r="AR266" s="39" t="inlineStr">
        <is>
          <t>.</t>
        </is>
      </c>
      <c r="AS266" s="27" t="n"/>
      <c r="AT266" s="27" t="n"/>
      <c r="AU266" s="27" t="n"/>
      <c r="AV266" s="27" t="n"/>
      <c r="AW266" s="27" t="n"/>
      <c r="AX266" s="27" t="n"/>
      <c r="AY266" s="204" t="n"/>
      <c r="AZ266" s="204" t="n"/>
      <c r="BA266" s="38" t="inlineStr">
        <is>
          <t>.</t>
        </is>
      </c>
      <c r="BB266" s="190">
        <f>SUM(BC266:BN266)</f>
        <v/>
      </c>
      <c r="BC266" s="191">
        <f>L266*0.0702730030</f>
        <v/>
      </c>
      <c r="BD266" s="191">
        <f>L266*0.0734327604</f>
        <v/>
      </c>
      <c r="BE266" s="191">
        <f>L266*0.0752022245</f>
        <v/>
      </c>
      <c r="BF266" s="191">
        <f>L266*0.0771612740</f>
        <v/>
      </c>
      <c r="BG266" s="191">
        <f>L266*0.0796890799</f>
        <v/>
      </c>
      <c r="BH266" s="191">
        <f>L266*0.0817745197</f>
        <v/>
      </c>
      <c r="BI266" s="191">
        <f>L266*0.0849342770</f>
        <v/>
      </c>
      <c r="BJ266" s="191">
        <f>L266*0.0870197169</f>
        <v/>
      </c>
      <c r="BK266" s="191">
        <f>L266*0.0889787664</f>
        <v/>
      </c>
      <c r="BL266" s="191">
        <f>L266*0.0911905966</f>
        <v/>
      </c>
      <c r="BM266" s="191">
        <f>L266*0.0935920121</f>
        <v/>
      </c>
      <c r="BN266" s="192">
        <f>L266*0.0967517695</f>
        <v/>
      </c>
      <c r="BO266" s="36" t="inlineStr">
        <is>
          <t>.</t>
        </is>
      </c>
      <c r="BP266" s="193">
        <f>SUM(BQ266:CB266)</f>
        <v/>
      </c>
      <c r="BQ266" s="191">
        <f>MAX(0,BC266-AA266)</f>
        <v/>
      </c>
      <c r="BR266" s="191">
        <f>MAX(0,BD266-AB266)</f>
        <v/>
      </c>
      <c r="BS266" s="191">
        <f>MAX(0,BE266-AC266)</f>
        <v/>
      </c>
      <c r="BT266" s="191">
        <f>MAX(0,BF266-AD266)</f>
        <v/>
      </c>
      <c r="BU266" s="191">
        <f>MAX(0,BG266-AE266)</f>
        <v/>
      </c>
      <c r="BV266" s="191">
        <f>MAX(0,BH266-AF266)</f>
        <v/>
      </c>
      <c r="BW266" s="191">
        <f>MAX(0,BI266-AG266)</f>
        <v/>
      </c>
      <c r="BX266" s="191">
        <f>MAX(0,BJ266-AH266)</f>
        <v/>
      </c>
      <c r="BY266" s="191">
        <f>MAX(0,BK266-AI266)</f>
        <v/>
      </c>
      <c r="BZ266" s="191">
        <f>MAX(0,BL266-AJ266)</f>
        <v/>
      </c>
      <c r="CA266" s="191">
        <f>MAX(0,BM266-AK266)</f>
        <v/>
      </c>
      <c r="CB266" s="192">
        <f>MAX(0,BN266-AL266)</f>
        <v/>
      </c>
    </row>
    <row r="267">
      <c r="A267" s="64" t="inlineStr">
        <is>
          <t>26963659000218</t>
        </is>
      </c>
      <c r="B267" s="57" t="inlineStr">
        <is>
          <t>SUPLEMENT WORLD SHOP LTDA - ME</t>
        </is>
      </c>
      <c r="C267" s="57" t="inlineStr">
        <is>
          <t>SEM GRUPO</t>
        </is>
      </c>
      <c r="D267" s="61" t="inlineStr">
        <is>
          <t>HEMANUELE DITZEL (MANU)</t>
        </is>
      </c>
      <c r="E267" s="30" t="inlineStr">
        <is>
          <t>.</t>
        </is>
      </c>
      <c r="F267" s="63" t="inlineStr"/>
      <c r="G267" s="179" t="inlineStr"/>
      <c r="H267" s="57" t="inlineStr"/>
      <c r="I267" s="57" t="inlineStr"/>
      <c r="J267" s="61" t="inlineStr"/>
      <c r="K267" s="30" t="inlineStr">
        <is>
          <t>.</t>
        </is>
      </c>
      <c r="L267" s="180" t="n">
        <v>4275.36</v>
      </c>
      <c r="M267" s="181" t="n">
        <v>300.44</v>
      </c>
      <c r="N267" s="181" t="n">
        <v>313.95</v>
      </c>
      <c r="O267" s="181" t="n">
        <v>321.52</v>
      </c>
      <c r="P267" s="181" t="n">
        <v>329.89</v>
      </c>
      <c r="Q267" s="181" t="n">
        <v>340.7</v>
      </c>
      <c r="R267" s="181" t="n">
        <v>349.62</v>
      </c>
      <c r="S267" s="181" t="n">
        <v>363.12</v>
      </c>
      <c r="T267" s="181" t="n">
        <v>372.04</v>
      </c>
      <c r="U267" s="181" t="n">
        <v>380.42</v>
      </c>
      <c r="V267" s="181" t="n">
        <v>389.87</v>
      </c>
      <c r="W267" s="181" t="n">
        <v>400.14</v>
      </c>
      <c r="X267" s="182" t="n">
        <v>413.65</v>
      </c>
      <c r="Y267" s="183" t="inlineStr">
        <is>
          <t>.</t>
        </is>
      </c>
      <c r="Z267" s="184">
        <f>SUM(AA267:AL267)</f>
        <v/>
      </c>
      <c r="AA267" s="185" t="n">
        <v>852.04</v>
      </c>
      <c r="AB267" s="185" t="n">
        <v>0</v>
      </c>
      <c r="AC267" s="185" t="n">
        <v>0</v>
      </c>
      <c r="AD267" s="185" t="n">
        <v>1109.64</v>
      </c>
      <c r="AE267" s="185" t="n">
        <v>0</v>
      </c>
      <c r="AF267" s="185" t="n">
        <v>0</v>
      </c>
      <c r="AG267" s="185" t="n">
        <v>0</v>
      </c>
      <c r="AH267" s="185" t="n">
        <v>0</v>
      </c>
      <c r="AI267" s="185" t="n">
        <v>0</v>
      </c>
      <c r="AJ267" s="185" t="n">
        <v>0</v>
      </c>
      <c r="AK267" s="185" t="n">
        <v>0</v>
      </c>
      <c r="AL267" s="186" t="n">
        <v>0</v>
      </c>
      <c r="AM267" s="30" t="inlineStr">
        <is>
          <t>.</t>
        </is>
      </c>
      <c r="AN267" s="187">
        <f>IF(L267=0,0,Z267/L267)</f>
        <v/>
      </c>
      <c r="AO267" s="57">
        <f>IF(AN267&gt;=1,"🟢",IF(AN267&gt;=0.7,"🟡",IF(AN267&gt;=0.4,"🟠","🔴")))</f>
        <v/>
      </c>
      <c r="AP267" s="185">
        <f>L267-Z267</f>
        <v/>
      </c>
      <c r="AQ267" s="55">
        <f>RANK(Z267,$Z$4:$Z$503,0)</f>
        <v/>
      </c>
      <c r="AR267" s="39" t="inlineStr">
        <is>
          <t>.</t>
        </is>
      </c>
      <c r="AS267" s="27" t="n"/>
      <c r="AT267" s="27" t="n"/>
      <c r="AU267" s="27" t="n"/>
      <c r="AV267" s="27" t="n"/>
      <c r="AW267" s="27" t="n"/>
      <c r="AX267" s="27" t="n"/>
      <c r="AY267" s="204" t="n"/>
      <c r="AZ267" s="204" t="n"/>
      <c r="BA267" s="38" t="inlineStr">
        <is>
          <t>.</t>
        </is>
      </c>
      <c r="BB267" s="190">
        <f>SUM(BC267:BN267)</f>
        <v/>
      </c>
      <c r="BC267" s="191">
        <f>L267*0.0702730030</f>
        <v/>
      </c>
      <c r="BD267" s="191">
        <f>L267*0.0734327604</f>
        <v/>
      </c>
      <c r="BE267" s="191">
        <f>L267*0.0752022245</f>
        <v/>
      </c>
      <c r="BF267" s="191">
        <f>L267*0.0771612740</f>
        <v/>
      </c>
      <c r="BG267" s="191">
        <f>L267*0.0796890799</f>
        <v/>
      </c>
      <c r="BH267" s="191">
        <f>L267*0.0817745197</f>
        <v/>
      </c>
      <c r="BI267" s="191">
        <f>L267*0.0849342770</f>
        <v/>
      </c>
      <c r="BJ267" s="191">
        <f>L267*0.0870197169</f>
        <v/>
      </c>
      <c r="BK267" s="191">
        <f>L267*0.0889787664</f>
        <v/>
      </c>
      <c r="BL267" s="191">
        <f>L267*0.0911905966</f>
        <v/>
      </c>
      <c r="BM267" s="191">
        <f>L267*0.0935920121</f>
        <v/>
      </c>
      <c r="BN267" s="192">
        <f>L267*0.0967517695</f>
        <v/>
      </c>
      <c r="BO267" s="36" t="inlineStr">
        <is>
          <t>.</t>
        </is>
      </c>
      <c r="BP267" s="193">
        <f>SUM(BQ267:CB267)</f>
        <v/>
      </c>
      <c r="BQ267" s="191">
        <f>MAX(0,BC267-AA267)</f>
        <v/>
      </c>
      <c r="BR267" s="191">
        <f>MAX(0,BD267-AB267)</f>
        <v/>
      </c>
      <c r="BS267" s="191">
        <f>MAX(0,BE267-AC267)</f>
        <v/>
      </c>
      <c r="BT267" s="191">
        <f>MAX(0,BF267-AD267)</f>
        <v/>
      </c>
      <c r="BU267" s="191">
        <f>MAX(0,BG267-AE267)</f>
        <v/>
      </c>
      <c r="BV267" s="191">
        <f>MAX(0,BH267-AF267)</f>
        <v/>
      </c>
      <c r="BW267" s="191">
        <f>MAX(0,BI267-AG267)</f>
        <v/>
      </c>
      <c r="BX267" s="191">
        <f>MAX(0,BJ267-AH267)</f>
        <v/>
      </c>
      <c r="BY267" s="191">
        <f>MAX(0,BK267-AI267)</f>
        <v/>
      </c>
      <c r="BZ267" s="191">
        <f>MAX(0,BL267-AJ267)</f>
        <v/>
      </c>
      <c r="CA267" s="191">
        <f>MAX(0,BM267-AK267)</f>
        <v/>
      </c>
      <c r="CB267" s="192">
        <f>MAX(0,BN267-AL267)</f>
        <v/>
      </c>
    </row>
    <row r="268">
      <c r="A268" s="64" t="inlineStr">
        <is>
          <t>03877787000162</t>
        </is>
      </c>
      <c r="B268" s="57" t="inlineStr">
        <is>
          <t>DML INDUSTRIA E COMERCIO DE DOCES LTDA -</t>
        </is>
      </c>
      <c r="C268" s="57" t="inlineStr">
        <is>
          <t>SEM GRUPO</t>
        </is>
      </c>
      <c r="D268" s="61" t="inlineStr">
        <is>
          <t>HEMANUELE DITZEL (MANU)</t>
        </is>
      </c>
      <c r="E268" s="30" t="inlineStr">
        <is>
          <t>.</t>
        </is>
      </c>
      <c r="F268" s="63" t="inlineStr"/>
      <c r="G268" s="179" t="inlineStr"/>
      <c r="H268" s="57" t="inlineStr"/>
      <c r="I268" s="57" t="inlineStr"/>
      <c r="J268" s="61" t="inlineStr"/>
      <c r="K268" s="30" t="inlineStr">
        <is>
          <t>.</t>
        </is>
      </c>
      <c r="L268" s="180" t="n">
        <v>4253.68</v>
      </c>
      <c r="M268" s="181" t="n">
        <v>298.92</v>
      </c>
      <c r="N268" s="181" t="n">
        <v>312.36</v>
      </c>
      <c r="O268" s="181" t="n">
        <v>319.89</v>
      </c>
      <c r="P268" s="181" t="n">
        <v>328.22</v>
      </c>
      <c r="Q268" s="181" t="n">
        <v>338.97</v>
      </c>
      <c r="R268" s="181" t="n">
        <v>347.84</v>
      </c>
      <c r="S268" s="181" t="n">
        <v>361.28</v>
      </c>
      <c r="T268" s="181" t="n">
        <v>370.15</v>
      </c>
      <c r="U268" s="181" t="n">
        <v>378.49</v>
      </c>
      <c r="V268" s="181" t="n">
        <v>387.9</v>
      </c>
      <c r="W268" s="181" t="n">
        <v>398.11</v>
      </c>
      <c r="X268" s="182" t="n">
        <v>411.55</v>
      </c>
      <c r="Y268" s="183" t="inlineStr">
        <is>
          <t>.</t>
        </is>
      </c>
      <c r="Z268" s="184">
        <f>SUM(AA268:AL268)</f>
        <v/>
      </c>
      <c r="AA268" s="185" t="n">
        <v>0</v>
      </c>
      <c r="AB268" s="185" t="n">
        <v>0</v>
      </c>
      <c r="AC268" s="185" t="n">
        <v>0</v>
      </c>
      <c r="AD268" s="185" t="n">
        <v>0</v>
      </c>
      <c r="AE268" s="185" t="n">
        <v>0</v>
      </c>
      <c r="AF268" s="185" t="n">
        <v>0</v>
      </c>
      <c r="AG268" s="185" t="n">
        <v>0</v>
      </c>
      <c r="AH268" s="185" t="n">
        <v>0</v>
      </c>
      <c r="AI268" s="185" t="n">
        <v>0</v>
      </c>
      <c r="AJ268" s="185" t="n">
        <v>0</v>
      </c>
      <c r="AK268" s="185" t="n">
        <v>2727.94</v>
      </c>
      <c r="AL268" s="186" t="n">
        <v>0</v>
      </c>
      <c r="AM268" s="30" t="inlineStr">
        <is>
          <t>.</t>
        </is>
      </c>
      <c r="AN268" s="187">
        <f>IF(L268=0,0,Z268/L268)</f>
        <v/>
      </c>
      <c r="AO268" s="57">
        <f>IF(AN268&gt;=1,"🟢",IF(AN268&gt;=0.7,"🟡",IF(AN268&gt;=0.4,"🟠","🔴")))</f>
        <v/>
      </c>
      <c r="AP268" s="185">
        <f>L268-Z268</f>
        <v/>
      </c>
      <c r="AQ268" s="55">
        <f>RANK(Z268,$Z$4:$Z$503,0)</f>
        <v/>
      </c>
      <c r="AR268" s="39" t="inlineStr">
        <is>
          <t>.</t>
        </is>
      </c>
      <c r="AS268" s="27" t="n"/>
      <c r="AT268" s="27" t="n"/>
      <c r="AU268" s="27" t="n"/>
      <c r="AV268" s="27" t="n"/>
      <c r="AW268" s="27" t="n"/>
      <c r="AX268" s="27" t="n"/>
      <c r="AY268" s="204" t="n"/>
      <c r="AZ268" s="204" t="n"/>
      <c r="BA268" s="38" t="inlineStr">
        <is>
          <t>.</t>
        </is>
      </c>
      <c r="BB268" s="190">
        <f>SUM(BC268:BN268)</f>
        <v/>
      </c>
      <c r="BC268" s="191">
        <f>L268*0.0702730030</f>
        <v/>
      </c>
      <c r="BD268" s="191">
        <f>L268*0.0734327604</f>
        <v/>
      </c>
      <c r="BE268" s="191">
        <f>L268*0.0752022245</f>
        <v/>
      </c>
      <c r="BF268" s="191">
        <f>L268*0.0771612740</f>
        <v/>
      </c>
      <c r="BG268" s="191">
        <f>L268*0.0796890799</f>
        <v/>
      </c>
      <c r="BH268" s="191">
        <f>L268*0.0817745197</f>
        <v/>
      </c>
      <c r="BI268" s="191">
        <f>L268*0.0849342770</f>
        <v/>
      </c>
      <c r="BJ268" s="191">
        <f>L268*0.0870197169</f>
        <v/>
      </c>
      <c r="BK268" s="191">
        <f>L268*0.0889787664</f>
        <v/>
      </c>
      <c r="BL268" s="191">
        <f>L268*0.0911905966</f>
        <v/>
      </c>
      <c r="BM268" s="191">
        <f>L268*0.0935920121</f>
        <v/>
      </c>
      <c r="BN268" s="192">
        <f>L268*0.0967517695</f>
        <v/>
      </c>
      <c r="BO268" s="36" t="inlineStr">
        <is>
          <t>.</t>
        </is>
      </c>
      <c r="BP268" s="193">
        <f>SUM(BQ268:CB268)</f>
        <v/>
      </c>
      <c r="BQ268" s="191">
        <f>MAX(0,BC268-AA268)</f>
        <v/>
      </c>
      <c r="BR268" s="191">
        <f>MAX(0,BD268-AB268)</f>
        <v/>
      </c>
      <c r="BS268" s="191">
        <f>MAX(0,BE268-AC268)</f>
        <v/>
      </c>
      <c r="BT268" s="191">
        <f>MAX(0,BF268-AD268)</f>
        <v/>
      </c>
      <c r="BU268" s="191">
        <f>MAX(0,BG268-AE268)</f>
        <v/>
      </c>
      <c r="BV268" s="191">
        <f>MAX(0,BH268-AF268)</f>
        <v/>
      </c>
      <c r="BW268" s="191">
        <f>MAX(0,BI268-AG268)</f>
        <v/>
      </c>
      <c r="BX268" s="191">
        <f>MAX(0,BJ268-AH268)</f>
        <v/>
      </c>
      <c r="BY268" s="191">
        <f>MAX(0,BK268-AI268)</f>
        <v/>
      </c>
      <c r="BZ268" s="191">
        <f>MAX(0,BL268-AJ268)</f>
        <v/>
      </c>
      <c r="CA268" s="191">
        <f>MAX(0,BM268-AK268)</f>
        <v/>
      </c>
      <c r="CB268" s="192">
        <f>MAX(0,BN268-AL268)</f>
        <v/>
      </c>
    </row>
    <row r="269">
      <c r="A269" s="64" t="inlineStr">
        <is>
          <t>31833282000131</t>
        </is>
      </c>
      <c r="B269" s="57" t="inlineStr">
        <is>
          <t>PANIFICADORA E CONFEITARIA ATLANTA LTDA</t>
        </is>
      </c>
      <c r="C269" s="57" t="inlineStr">
        <is>
          <t>SEM GRUPO</t>
        </is>
      </c>
      <c r="D269" s="61" t="inlineStr">
        <is>
          <t>HEMANUELE DITZEL (MANU)</t>
        </is>
      </c>
      <c r="E269" s="30" t="inlineStr">
        <is>
          <t>.</t>
        </is>
      </c>
      <c r="F269" s="63" t="inlineStr"/>
      <c r="G269" s="179" t="inlineStr"/>
      <c r="H269" s="57" t="inlineStr"/>
      <c r="I269" s="57" t="inlineStr"/>
      <c r="J269" s="61" t="inlineStr"/>
      <c r="K269" s="30" t="inlineStr">
        <is>
          <t>.</t>
        </is>
      </c>
      <c r="L269" s="180" t="n">
        <v>4238.27</v>
      </c>
      <c r="M269" s="181" t="n">
        <v>297.84</v>
      </c>
      <c r="N269" s="181" t="n">
        <v>311.23</v>
      </c>
      <c r="O269" s="181" t="n">
        <v>318.73</v>
      </c>
      <c r="P269" s="181" t="n">
        <v>327.03</v>
      </c>
      <c r="Q269" s="181" t="n">
        <v>337.74</v>
      </c>
      <c r="R269" s="181" t="n">
        <v>346.58</v>
      </c>
      <c r="S269" s="181" t="n">
        <v>359.97</v>
      </c>
      <c r="T269" s="181" t="n">
        <v>368.81</v>
      </c>
      <c r="U269" s="181" t="n">
        <v>377.12</v>
      </c>
      <c r="V269" s="181" t="n">
        <v>386.49</v>
      </c>
      <c r="W269" s="181" t="n">
        <v>396.67</v>
      </c>
      <c r="X269" s="182" t="n">
        <v>410.06</v>
      </c>
      <c r="Y269" s="183" t="inlineStr">
        <is>
          <t>.</t>
        </is>
      </c>
      <c r="Z269" s="184">
        <f>SUM(AA269:AL269)</f>
        <v/>
      </c>
      <c r="AA269" s="185" t="n">
        <v>0</v>
      </c>
      <c r="AB269" s="185" t="n">
        <v>0</v>
      </c>
      <c r="AC269" s="185" t="n">
        <v>0</v>
      </c>
      <c r="AD269" s="185" t="n">
        <v>0</v>
      </c>
      <c r="AE269" s="185" t="n">
        <v>1986.99</v>
      </c>
      <c r="AF269" s="185" t="n">
        <v>0</v>
      </c>
      <c r="AG269" s="185" t="n">
        <v>0</v>
      </c>
      <c r="AH269" s="185" t="n">
        <v>0</v>
      </c>
      <c r="AI269" s="185" t="n">
        <v>0</v>
      </c>
      <c r="AJ269" s="185" t="n">
        <v>0</v>
      </c>
      <c r="AK269" s="185" t="n">
        <v>0</v>
      </c>
      <c r="AL269" s="186" t="n">
        <v>0</v>
      </c>
      <c r="AM269" s="30" t="inlineStr">
        <is>
          <t>.</t>
        </is>
      </c>
      <c r="AN269" s="187">
        <f>IF(L269=0,0,Z269/L269)</f>
        <v/>
      </c>
      <c r="AO269" s="57">
        <f>IF(AN269&gt;=1,"🟢",IF(AN269&gt;=0.7,"🟡",IF(AN269&gt;=0.4,"🟠","🔴")))</f>
        <v/>
      </c>
      <c r="AP269" s="185">
        <f>L269-Z269</f>
        <v/>
      </c>
      <c r="AQ269" s="55">
        <f>RANK(Z269,$Z$4:$Z$503,0)</f>
        <v/>
      </c>
      <c r="AR269" s="39" t="inlineStr">
        <is>
          <t>.</t>
        </is>
      </c>
      <c r="AS269" s="27" t="n"/>
      <c r="AT269" s="27" t="n"/>
      <c r="AU269" s="27" t="n"/>
      <c r="AV269" s="27" t="n"/>
      <c r="AW269" s="27" t="n"/>
      <c r="AX269" s="27" t="n"/>
      <c r="AY269" s="204" t="n"/>
      <c r="AZ269" s="204" t="n"/>
      <c r="BA269" s="38" t="inlineStr">
        <is>
          <t>.</t>
        </is>
      </c>
      <c r="BB269" s="190">
        <f>SUM(BC269:BN269)</f>
        <v/>
      </c>
      <c r="BC269" s="191">
        <f>L269*0.0702730030</f>
        <v/>
      </c>
      <c r="BD269" s="191">
        <f>L269*0.0734327604</f>
        <v/>
      </c>
      <c r="BE269" s="191">
        <f>L269*0.0752022245</f>
        <v/>
      </c>
      <c r="BF269" s="191">
        <f>L269*0.0771612740</f>
        <v/>
      </c>
      <c r="BG269" s="191">
        <f>L269*0.0796890799</f>
        <v/>
      </c>
      <c r="BH269" s="191">
        <f>L269*0.0817745197</f>
        <v/>
      </c>
      <c r="BI269" s="191">
        <f>L269*0.0849342770</f>
        <v/>
      </c>
      <c r="BJ269" s="191">
        <f>L269*0.0870197169</f>
        <v/>
      </c>
      <c r="BK269" s="191">
        <f>L269*0.0889787664</f>
        <v/>
      </c>
      <c r="BL269" s="191">
        <f>L269*0.0911905966</f>
        <v/>
      </c>
      <c r="BM269" s="191">
        <f>L269*0.0935920121</f>
        <v/>
      </c>
      <c r="BN269" s="192">
        <f>L269*0.0967517695</f>
        <v/>
      </c>
      <c r="BO269" s="36" t="inlineStr">
        <is>
          <t>.</t>
        </is>
      </c>
      <c r="BP269" s="193">
        <f>SUM(BQ269:CB269)</f>
        <v/>
      </c>
      <c r="BQ269" s="191">
        <f>MAX(0,BC269-AA269)</f>
        <v/>
      </c>
      <c r="BR269" s="191">
        <f>MAX(0,BD269-AB269)</f>
        <v/>
      </c>
      <c r="BS269" s="191">
        <f>MAX(0,BE269-AC269)</f>
        <v/>
      </c>
      <c r="BT269" s="191">
        <f>MAX(0,BF269-AD269)</f>
        <v/>
      </c>
      <c r="BU269" s="191">
        <f>MAX(0,BG269-AE269)</f>
        <v/>
      </c>
      <c r="BV269" s="191">
        <f>MAX(0,BH269-AF269)</f>
        <v/>
      </c>
      <c r="BW269" s="191">
        <f>MAX(0,BI269-AG269)</f>
        <v/>
      </c>
      <c r="BX269" s="191">
        <f>MAX(0,BJ269-AH269)</f>
        <v/>
      </c>
      <c r="BY269" s="191">
        <f>MAX(0,BK269-AI269)</f>
        <v/>
      </c>
      <c r="BZ269" s="191">
        <f>MAX(0,BL269-AJ269)</f>
        <v/>
      </c>
      <c r="CA269" s="191">
        <f>MAX(0,BM269-AK269)</f>
        <v/>
      </c>
      <c r="CB269" s="192">
        <f>MAX(0,BN269-AL269)</f>
        <v/>
      </c>
    </row>
    <row r="270">
      <c r="A270" s="64" t="inlineStr">
        <is>
          <t>36455705000140</t>
        </is>
      </c>
      <c r="B270" s="57" t="inlineStr">
        <is>
          <t>36.455.705 LAURA SARA IRENE MULAS VERONE</t>
        </is>
      </c>
      <c r="C270" s="57" t="inlineStr">
        <is>
          <t>SEM GRUPO</t>
        </is>
      </c>
      <c r="D270" s="61" t="inlineStr">
        <is>
          <t>HEMANUELE DITZEL (MANU)</t>
        </is>
      </c>
      <c r="E270" s="30" t="inlineStr">
        <is>
          <t>.</t>
        </is>
      </c>
      <c r="F270" s="63" t="inlineStr"/>
      <c r="G270" s="179" t="inlineStr"/>
      <c r="H270" s="57" t="inlineStr"/>
      <c r="I270" s="57" t="inlineStr"/>
      <c r="J270" s="61" t="inlineStr"/>
      <c r="K270" s="30" t="inlineStr">
        <is>
          <t>.</t>
        </is>
      </c>
      <c r="L270" s="180" t="n">
        <v>4205.6</v>
      </c>
      <c r="M270" s="181" t="n">
        <v>295.54</v>
      </c>
      <c r="N270" s="181" t="n">
        <v>308.83</v>
      </c>
      <c r="O270" s="181" t="n">
        <v>316.27</v>
      </c>
      <c r="P270" s="181" t="n">
        <v>324.51</v>
      </c>
      <c r="Q270" s="181" t="n">
        <v>335.14</v>
      </c>
      <c r="R270" s="181" t="n">
        <v>343.91</v>
      </c>
      <c r="S270" s="181" t="n">
        <v>357.2</v>
      </c>
      <c r="T270" s="181" t="n">
        <v>365.97</v>
      </c>
      <c r="U270" s="181" t="n">
        <v>374.21</v>
      </c>
      <c r="V270" s="181" t="n">
        <v>383.51</v>
      </c>
      <c r="W270" s="181" t="n">
        <v>393.61</v>
      </c>
      <c r="X270" s="182" t="n">
        <v>406.9</v>
      </c>
      <c r="Y270" s="183" t="inlineStr">
        <is>
          <t>.</t>
        </is>
      </c>
      <c r="Z270" s="184">
        <f>SUM(AA270:AL270)</f>
        <v/>
      </c>
      <c r="AA270" s="185" t="n">
        <v>0</v>
      </c>
      <c r="AB270" s="185" t="n">
        <v>0</v>
      </c>
      <c r="AC270" s="185" t="n">
        <v>0</v>
      </c>
      <c r="AD270" s="185" t="n">
        <v>0</v>
      </c>
      <c r="AE270" s="185" t="n">
        <v>0</v>
      </c>
      <c r="AF270" s="185" t="n">
        <v>0</v>
      </c>
      <c r="AG270" s="185" t="n">
        <v>0</v>
      </c>
      <c r="AH270" s="185" t="n">
        <v>0</v>
      </c>
      <c r="AI270" s="185" t="n">
        <v>0</v>
      </c>
      <c r="AJ270" s="185" t="n">
        <v>0</v>
      </c>
      <c r="AK270" s="185" t="n">
        <v>0</v>
      </c>
      <c r="AL270" s="186" t="n">
        <v>363.85</v>
      </c>
      <c r="AM270" s="30" t="inlineStr">
        <is>
          <t>.</t>
        </is>
      </c>
      <c r="AN270" s="187">
        <f>IF(L270=0,0,Z270/L270)</f>
        <v/>
      </c>
      <c r="AO270" s="57">
        <f>IF(AN270&gt;=1,"🟢",IF(AN270&gt;=0.7,"🟡",IF(AN270&gt;=0.4,"🟠","🔴")))</f>
        <v/>
      </c>
      <c r="AP270" s="185">
        <f>L270-Z270</f>
        <v/>
      </c>
      <c r="AQ270" s="55">
        <f>RANK(Z270,$Z$4:$Z$503,0)</f>
        <v/>
      </c>
      <c r="AR270" s="39" t="inlineStr">
        <is>
          <t>.</t>
        </is>
      </c>
      <c r="AS270" s="27" t="n"/>
      <c r="AT270" s="27" t="n"/>
      <c r="AU270" s="27" t="n"/>
      <c r="AV270" s="27" t="n"/>
      <c r="AW270" s="27" t="n"/>
      <c r="AX270" s="27" t="n"/>
      <c r="AY270" s="204" t="n"/>
      <c r="AZ270" s="204" t="n"/>
      <c r="BA270" s="38" t="inlineStr">
        <is>
          <t>.</t>
        </is>
      </c>
      <c r="BB270" s="190">
        <f>SUM(BC270:BN270)</f>
        <v/>
      </c>
      <c r="BC270" s="191">
        <f>L270*0.0702730030</f>
        <v/>
      </c>
      <c r="BD270" s="191">
        <f>L270*0.0734327604</f>
        <v/>
      </c>
      <c r="BE270" s="191">
        <f>L270*0.0752022245</f>
        <v/>
      </c>
      <c r="BF270" s="191">
        <f>L270*0.0771612740</f>
        <v/>
      </c>
      <c r="BG270" s="191">
        <f>L270*0.0796890799</f>
        <v/>
      </c>
      <c r="BH270" s="191">
        <f>L270*0.0817745197</f>
        <v/>
      </c>
      <c r="BI270" s="191">
        <f>L270*0.0849342770</f>
        <v/>
      </c>
      <c r="BJ270" s="191">
        <f>L270*0.0870197169</f>
        <v/>
      </c>
      <c r="BK270" s="191">
        <f>L270*0.0889787664</f>
        <v/>
      </c>
      <c r="BL270" s="191">
        <f>L270*0.0911905966</f>
        <v/>
      </c>
      <c r="BM270" s="191">
        <f>L270*0.0935920121</f>
        <v/>
      </c>
      <c r="BN270" s="192">
        <f>L270*0.0967517695</f>
        <v/>
      </c>
      <c r="BO270" s="36" t="inlineStr">
        <is>
          <t>.</t>
        </is>
      </c>
      <c r="BP270" s="193">
        <f>SUM(BQ270:CB270)</f>
        <v/>
      </c>
      <c r="BQ270" s="191">
        <f>MAX(0,BC270-AA270)</f>
        <v/>
      </c>
      <c r="BR270" s="191">
        <f>MAX(0,BD270-AB270)</f>
        <v/>
      </c>
      <c r="BS270" s="191">
        <f>MAX(0,BE270-AC270)</f>
        <v/>
      </c>
      <c r="BT270" s="191">
        <f>MAX(0,BF270-AD270)</f>
        <v/>
      </c>
      <c r="BU270" s="191">
        <f>MAX(0,BG270-AE270)</f>
        <v/>
      </c>
      <c r="BV270" s="191">
        <f>MAX(0,BH270-AF270)</f>
        <v/>
      </c>
      <c r="BW270" s="191">
        <f>MAX(0,BI270-AG270)</f>
        <v/>
      </c>
      <c r="BX270" s="191">
        <f>MAX(0,BJ270-AH270)</f>
        <v/>
      </c>
      <c r="BY270" s="191">
        <f>MAX(0,BK270-AI270)</f>
        <v/>
      </c>
      <c r="BZ270" s="191">
        <f>MAX(0,BL270-AJ270)</f>
        <v/>
      </c>
      <c r="CA270" s="191">
        <f>MAX(0,BM270-AK270)</f>
        <v/>
      </c>
      <c r="CB270" s="192">
        <f>MAX(0,BN270-AL270)</f>
        <v/>
      </c>
    </row>
    <row r="271">
      <c r="A271" s="64" t="inlineStr">
        <is>
          <t>08626347000156</t>
        </is>
      </c>
      <c r="B271" s="57" t="inlineStr">
        <is>
          <t>NATURHAUS LOJA DE PRODUTOS ALIMENTICIOS</t>
        </is>
      </c>
      <c r="C271" s="57" t="inlineStr">
        <is>
          <t>SEM GRUPO</t>
        </is>
      </c>
      <c r="D271" s="61" t="inlineStr">
        <is>
          <t>HEMANUELE DITZEL (MANU)</t>
        </is>
      </c>
      <c r="E271" s="30" t="inlineStr">
        <is>
          <t>.</t>
        </is>
      </c>
      <c r="F271" s="63" t="inlineStr"/>
      <c r="G271" s="179" t="inlineStr"/>
      <c r="H271" s="57" t="inlineStr"/>
      <c r="I271" s="57" t="inlineStr"/>
      <c r="J271" s="61" t="inlineStr"/>
      <c r="K271" s="30" t="inlineStr">
        <is>
          <t>.</t>
        </is>
      </c>
      <c r="L271" s="180" t="n">
        <v>4177.67</v>
      </c>
      <c r="M271" s="181" t="n">
        <v>293.58</v>
      </c>
      <c r="N271" s="181" t="n">
        <v>306.78</v>
      </c>
      <c r="O271" s="181" t="n">
        <v>314.17</v>
      </c>
      <c r="P271" s="181" t="n">
        <v>322.35</v>
      </c>
      <c r="Q271" s="181" t="n">
        <v>332.91</v>
      </c>
      <c r="R271" s="181" t="n">
        <v>341.63</v>
      </c>
      <c r="S271" s="181" t="n">
        <v>354.83</v>
      </c>
      <c r="T271" s="181" t="n">
        <v>363.54</v>
      </c>
      <c r="U271" s="181" t="n">
        <v>371.72</v>
      </c>
      <c r="V271" s="181" t="n">
        <v>380.96</v>
      </c>
      <c r="W271" s="181" t="n">
        <v>391</v>
      </c>
      <c r="X271" s="182" t="n">
        <v>404.2</v>
      </c>
      <c r="Y271" s="183" t="inlineStr">
        <is>
          <t>.</t>
        </is>
      </c>
      <c r="Z271" s="184">
        <f>SUM(AA271:AL271)</f>
        <v/>
      </c>
      <c r="AA271" s="185" t="n">
        <v>0</v>
      </c>
      <c r="AB271" s="185" t="n">
        <v>0</v>
      </c>
      <c r="AC271" s="185" t="n">
        <v>0</v>
      </c>
      <c r="AD271" s="185" t="n">
        <v>0</v>
      </c>
      <c r="AE271" s="185" t="n">
        <v>0</v>
      </c>
      <c r="AF271" s="185" t="n">
        <v>683.0700000000001</v>
      </c>
      <c r="AG271" s="185" t="n">
        <v>0</v>
      </c>
      <c r="AH271" s="185" t="n">
        <v>0</v>
      </c>
      <c r="AI271" s="185" t="n">
        <v>1121.86</v>
      </c>
      <c r="AJ271" s="185" t="n">
        <v>0</v>
      </c>
      <c r="AK271" s="185" t="n">
        <v>0</v>
      </c>
      <c r="AL271" s="186" t="n">
        <v>0</v>
      </c>
      <c r="AM271" s="30" t="inlineStr">
        <is>
          <t>.</t>
        </is>
      </c>
      <c r="AN271" s="187">
        <f>IF(L271=0,0,Z271/L271)</f>
        <v/>
      </c>
      <c r="AO271" s="57">
        <f>IF(AN271&gt;=1,"🟢",IF(AN271&gt;=0.7,"🟡",IF(AN271&gt;=0.4,"🟠","🔴")))</f>
        <v/>
      </c>
      <c r="AP271" s="185">
        <f>L271-Z271</f>
        <v/>
      </c>
      <c r="AQ271" s="55">
        <f>RANK(Z271,$Z$4:$Z$503,0)</f>
        <v/>
      </c>
      <c r="AR271" s="39" t="inlineStr">
        <is>
          <t>.</t>
        </is>
      </c>
      <c r="AS271" s="27" t="n"/>
      <c r="AT271" s="27" t="n"/>
      <c r="AU271" s="27" t="n"/>
      <c r="AV271" s="27" t="n"/>
      <c r="AW271" s="27" t="n"/>
      <c r="AX271" s="27" t="n"/>
      <c r="AY271" s="204" t="n"/>
      <c r="AZ271" s="204" t="n"/>
      <c r="BA271" s="38" t="inlineStr">
        <is>
          <t>.</t>
        </is>
      </c>
      <c r="BB271" s="190">
        <f>SUM(BC271:BN271)</f>
        <v/>
      </c>
      <c r="BC271" s="191">
        <f>L271*0.0702730030</f>
        <v/>
      </c>
      <c r="BD271" s="191">
        <f>L271*0.0734327604</f>
        <v/>
      </c>
      <c r="BE271" s="191">
        <f>L271*0.0752022245</f>
        <v/>
      </c>
      <c r="BF271" s="191">
        <f>L271*0.0771612740</f>
        <v/>
      </c>
      <c r="BG271" s="191">
        <f>L271*0.0796890799</f>
        <v/>
      </c>
      <c r="BH271" s="191">
        <f>L271*0.0817745197</f>
        <v/>
      </c>
      <c r="BI271" s="191">
        <f>L271*0.0849342770</f>
        <v/>
      </c>
      <c r="BJ271" s="191">
        <f>L271*0.0870197169</f>
        <v/>
      </c>
      <c r="BK271" s="191">
        <f>L271*0.0889787664</f>
        <v/>
      </c>
      <c r="BL271" s="191">
        <f>L271*0.0911905966</f>
        <v/>
      </c>
      <c r="BM271" s="191">
        <f>L271*0.0935920121</f>
        <v/>
      </c>
      <c r="BN271" s="192">
        <f>L271*0.0967517695</f>
        <v/>
      </c>
      <c r="BO271" s="36" t="inlineStr">
        <is>
          <t>.</t>
        </is>
      </c>
      <c r="BP271" s="193">
        <f>SUM(BQ271:CB271)</f>
        <v/>
      </c>
      <c r="BQ271" s="191">
        <f>MAX(0,BC271-AA271)</f>
        <v/>
      </c>
      <c r="BR271" s="191">
        <f>MAX(0,BD271-AB271)</f>
        <v/>
      </c>
      <c r="BS271" s="191">
        <f>MAX(0,BE271-AC271)</f>
        <v/>
      </c>
      <c r="BT271" s="191">
        <f>MAX(0,BF271-AD271)</f>
        <v/>
      </c>
      <c r="BU271" s="191">
        <f>MAX(0,BG271-AE271)</f>
        <v/>
      </c>
      <c r="BV271" s="191">
        <f>MAX(0,BH271-AF271)</f>
        <v/>
      </c>
      <c r="BW271" s="191">
        <f>MAX(0,BI271-AG271)</f>
        <v/>
      </c>
      <c r="BX271" s="191">
        <f>MAX(0,BJ271-AH271)</f>
        <v/>
      </c>
      <c r="BY271" s="191">
        <f>MAX(0,BK271-AI271)</f>
        <v/>
      </c>
      <c r="BZ271" s="191">
        <f>MAX(0,BL271-AJ271)</f>
        <v/>
      </c>
      <c r="CA271" s="191">
        <f>MAX(0,BM271-AK271)</f>
        <v/>
      </c>
      <c r="CB271" s="192">
        <f>MAX(0,BN271-AL271)</f>
        <v/>
      </c>
    </row>
    <row r="272">
      <c r="A272" s="64" t="inlineStr">
        <is>
          <t>49742025000150</t>
        </is>
      </c>
      <c r="B272" s="57" t="inlineStr">
        <is>
          <t>MINIMERCADO NOVO HORIZONTE LTDA - ME</t>
        </is>
      </c>
      <c r="C272" s="57" t="inlineStr">
        <is>
          <t>SEM GRUPO</t>
        </is>
      </c>
      <c r="D272" s="61" t="inlineStr">
        <is>
          <t>LARISSA PADILHA</t>
        </is>
      </c>
      <c r="E272" s="30" t="inlineStr">
        <is>
          <t>.</t>
        </is>
      </c>
      <c r="F272" s="63" t="inlineStr"/>
      <c r="G272" s="179" t="inlineStr"/>
      <c r="H272" s="57" t="inlineStr"/>
      <c r="I272" s="57" t="inlineStr"/>
      <c r="J272" s="61" t="inlineStr"/>
      <c r="K272" s="30" t="inlineStr">
        <is>
          <t>.</t>
        </is>
      </c>
      <c r="L272" s="180" t="n">
        <v>3991.33</v>
      </c>
      <c r="M272" s="181" t="n">
        <v>280.48</v>
      </c>
      <c r="N272" s="181" t="n">
        <v>293.09</v>
      </c>
      <c r="O272" s="181" t="n">
        <v>300.16</v>
      </c>
      <c r="P272" s="181" t="n">
        <v>307.98</v>
      </c>
      <c r="Q272" s="181" t="n">
        <v>318.07</v>
      </c>
      <c r="R272" s="181" t="n">
        <v>326.39</v>
      </c>
      <c r="S272" s="181" t="n">
        <v>339</v>
      </c>
      <c r="T272" s="181" t="n">
        <v>347.32</v>
      </c>
      <c r="U272" s="181" t="n">
        <v>355.14</v>
      </c>
      <c r="V272" s="181" t="n">
        <v>363.97</v>
      </c>
      <c r="W272" s="181" t="n">
        <v>373.56</v>
      </c>
      <c r="X272" s="182" t="n">
        <v>386.17</v>
      </c>
      <c r="Y272" s="183" t="inlineStr">
        <is>
          <t>.</t>
        </is>
      </c>
      <c r="Z272" s="184">
        <f>SUM(AA272:AL272)</f>
        <v/>
      </c>
      <c r="AA272" s="185" t="n">
        <v>0</v>
      </c>
      <c r="AB272" s="185" t="n">
        <v>0</v>
      </c>
      <c r="AC272" s="185" t="n">
        <v>1570.12</v>
      </c>
      <c r="AD272" s="185" t="n">
        <v>0</v>
      </c>
      <c r="AE272" s="185" t="n">
        <v>0</v>
      </c>
      <c r="AF272" s="185" t="n">
        <v>0</v>
      </c>
      <c r="AG272" s="185" t="n">
        <v>0</v>
      </c>
      <c r="AH272" s="185" t="n">
        <v>0</v>
      </c>
      <c r="AI272" s="185" t="n">
        <v>0</v>
      </c>
      <c r="AJ272" s="185" t="n">
        <v>0</v>
      </c>
      <c r="AK272" s="185" t="n">
        <v>0</v>
      </c>
      <c r="AL272" s="186" t="n">
        <v>0</v>
      </c>
      <c r="AM272" s="30" t="inlineStr">
        <is>
          <t>.</t>
        </is>
      </c>
      <c r="AN272" s="187">
        <f>IF(L272=0,0,Z272/L272)</f>
        <v/>
      </c>
      <c r="AO272" s="57">
        <f>IF(AN272&gt;=1,"🟢",IF(AN272&gt;=0.7,"🟡",IF(AN272&gt;=0.4,"🟠","🔴")))</f>
        <v/>
      </c>
      <c r="AP272" s="185">
        <f>L272-Z272</f>
        <v/>
      </c>
      <c r="AQ272" s="55">
        <f>RANK(Z272,$Z$4:$Z$503,0)</f>
        <v/>
      </c>
      <c r="AR272" s="39" t="inlineStr">
        <is>
          <t>.</t>
        </is>
      </c>
      <c r="AS272" s="27" t="n"/>
      <c r="AT272" s="27" t="n"/>
      <c r="AU272" s="27" t="n"/>
      <c r="AV272" s="27" t="n"/>
      <c r="AW272" s="27" t="n"/>
      <c r="AX272" s="27" t="n"/>
      <c r="AY272" s="204" t="n"/>
      <c r="AZ272" s="204" t="n"/>
      <c r="BA272" s="38" t="inlineStr">
        <is>
          <t>.</t>
        </is>
      </c>
      <c r="BB272" s="190">
        <f>SUM(BC272:BN272)</f>
        <v/>
      </c>
      <c r="BC272" s="191">
        <f>L272*0.0702730030</f>
        <v/>
      </c>
      <c r="BD272" s="191">
        <f>L272*0.0734327604</f>
        <v/>
      </c>
      <c r="BE272" s="191">
        <f>L272*0.0752022245</f>
        <v/>
      </c>
      <c r="BF272" s="191">
        <f>L272*0.0771612740</f>
        <v/>
      </c>
      <c r="BG272" s="191">
        <f>L272*0.0796890799</f>
        <v/>
      </c>
      <c r="BH272" s="191">
        <f>L272*0.0817745197</f>
        <v/>
      </c>
      <c r="BI272" s="191">
        <f>L272*0.0849342770</f>
        <v/>
      </c>
      <c r="BJ272" s="191">
        <f>L272*0.0870197169</f>
        <v/>
      </c>
      <c r="BK272" s="191">
        <f>L272*0.0889787664</f>
        <v/>
      </c>
      <c r="BL272" s="191">
        <f>L272*0.0911905966</f>
        <v/>
      </c>
      <c r="BM272" s="191">
        <f>L272*0.0935920121</f>
        <v/>
      </c>
      <c r="BN272" s="192">
        <f>L272*0.0967517695</f>
        <v/>
      </c>
      <c r="BO272" s="36" t="inlineStr">
        <is>
          <t>.</t>
        </is>
      </c>
      <c r="BP272" s="193">
        <f>SUM(BQ272:CB272)</f>
        <v/>
      </c>
      <c r="BQ272" s="191">
        <f>MAX(0,BC272-AA272)</f>
        <v/>
      </c>
      <c r="BR272" s="191">
        <f>MAX(0,BD272-AB272)</f>
        <v/>
      </c>
      <c r="BS272" s="191">
        <f>MAX(0,BE272-AC272)</f>
        <v/>
      </c>
      <c r="BT272" s="191">
        <f>MAX(0,BF272-AD272)</f>
        <v/>
      </c>
      <c r="BU272" s="191">
        <f>MAX(0,BG272-AE272)</f>
        <v/>
      </c>
      <c r="BV272" s="191">
        <f>MAX(0,BH272-AF272)</f>
        <v/>
      </c>
      <c r="BW272" s="191">
        <f>MAX(0,BI272-AG272)</f>
        <v/>
      </c>
      <c r="BX272" s="191">
        <f>MAX(0,BJ272-AH272)</f>
        <v/>
      </c>
      <c r="BY272" s="191">
        <f>MAX(0,BK272-AI272)</f>
        <v/>
      </c>
      <c r="BZ272" s="191">
        <f>MAX(0,BL272-AJ272)</f>
        <v/>
      </c>
      <c r="CA272" s="191">
        <f>MAX(0,BM272-AK272)</f>
        <v/>
      </c>
      <c r="CB272" s="192">
        <f>MAX(0,BN272-AL272)</f>
        <v/>
      </c>
    </row>
    <row r="273">
      <c r="A273" s="64" t="inlineStr">
        <is>
          <t>35883775000137</t>
        </is>
      </c>
      <c r="B273" s="57" t="inlineStr">
        <is>
          <t>35.883.775 MARISA GARLINI MAGENIS - ME</t>
        </is>
      </c>
      <c r="C273" s="57" t="inlineStr">
        <is>
          <t>SEM GRUPO</t>
        </is>
      </c>
      <c r="D273" s="61" t="inlineStr">
        <is>
          <t>HEMANUELE DITZEL (MANU)</t>
        </is>
      </c>
      <c r="E273" s="30" t="inlineStr">
        <is>
          <t>.</t>
        </is>
      </c>
      <c r="F273" s="63" t="inlineStr"/>
      <c r="G273" s="179" t="inlineStr"/>
      <c r="H273" s="57" t="inlineStr"/>
      <c r="I273" s="57" t="inlineStr"/>
      <c r="J273" s="61" t="inlineStr"/>
      <c r="K273" s="30" t="inlineStr">
        <is>
          <t>.</t>
        </is>
      </c>
      <c r="L273" s="180" t="n">
        <v>3957.73</v>
      </c>
      <c r="M273" s="181" t="n">
        <v>278.12</v>
      </c>
      <c r="N273" s="181" t="n">
        <v>290.63</v>
      </c>
      <c r="O273" s="181" t="n">
        <v>297.63</v>
      </c>
      <c r="P273" s="181" t="n">
        <v>305.38</v>
      </c>
      <c r="Q273" s="181" t="n">
        <v>315.39</v>
      </c>
      <c r="R273" s="181" t="n">
        <v>323.64</v>
      </c>
      <c r="S273" s="181" t="n">
        <v>336.15</v>
      </c>
      <c r="T273" s="181" t="n">
        <v>344.4</v>
      </c>
      <c r="U273" s="181" t="n">
        <v>352.15</v>
      </c>
      <c r="V273" s="181" t="n">
        <v>360.91</v>
      </c>
      <c r="W273" s="181" t="n">
        <v>370.41</v>
      </c>
      <c r="X273" s="182" t="n">
        <v>382.92</v>
      </c>
      <c r="Y273" s="183" t="inlineStr">
        <is>
          <t>.</t>
        </is>
      </c>
      <c r="Z273" s="184">
        <f>SUM(AA273:AL273)</f>
        <v/>
      </c>
      <c r="AA273" s="185" t="n">
        <v>0</v>
      </c>
      <c r="AB273" s="185" t="n">
        <v>0</v>
      </c>
      <c r="AC273" s="185" t="n">
        <v>0</v>
      </c>
      <c r="AD273" s="185" t="n">
        <v>0</v>
      </c>
      <c r="AE273" s="185" t="n">
        <v>0</v>
      </c>
      <c r="AF273" s="185" t="n">
        <v>0</v>
      </c>
      <c r="AG273" s="185" t="n">
        <v>0</v>
      </c>
      <c r="AH273" s="185" t="n">
        <v>0</v>
      </c>
      <c r="AI273" s="185" t="n">
        <v>0</v>
      </c>
      <c r="AJ273" s="185" t="n">
        <v>880.98</v>
      </c>
      <c r="AK273" s="185" t="n">
        <v>0</v>
      </c>
      <c r="AL273" s="186" t="n">
        <v>1061.74</v>
      </c>
      <c r="AM273" s="222" t="n">
        <v>996.3</v>
      </c>
      <c r="AN273" s="187">
        <f>IF(L273=0,0,Z273/L273)</f>
        <v/>
      </c>
      <c r="AO273" s="57">
        <f>IF(AN273&gt;=1,"🟢",IF(AN273&gt;=0.7,"🟡",IF(AN273&gt;=0.4,"🟠","🔴")))</f>
        <v/>
      </c>
      <c r="AP273" s="185">
        <f>L273-Z273</f>
        <v/>
      </c>
      <c r="AQ273" s="55">
        <f>RANK(Z273,$Z$4:$Z$503,0)</f>
        <v/>
      </c>
      <c r="AR273" s="39" t="inlineStr">
        <is>
          <t>.</t>
        </is>
      </c>
      <c r="AS273" s="27" t="n"/>
      <c r="AT273" s="27" t="n"/>
      <c r="AU273" s="27" t="n"/>
      <c r="AV273" s="27" t="n"/>
      <c r="AW273" s="27" t="n"/>
      <c r="AX273" s="27" t="n"/>
      <c r="AY273" s="204" t="n"/>
      <c r="AZ273" s="204" t="n"/>
      <c r="BA273" s="38" t="inlineStr">
        <is>
          <t>.</t>
        </is>
      </c>
      <c r="BB273" s="190">
        <f>SUM(BC273:BN273)</f>
        <v/>
      </c>
      <c r="BC273" s="191">
        <f>L273*0.0702730030</f>
        <v/>
      </c>
      <c r="BD273" s="191">
        <f>L273*0.0734327604</f>
        <v/>
      </c>
      <c r="BE273" s="191">
        <f>L273*0.0752022245</f>
        <v/>
      </c>
      <c r="BF273" s="191">
        <f>L273*0.0771612740</f>
        <v/>
      </c>
      <c r="BG273" s="191">
        <f>L273*0.0796890799</f>
        <v/>
      </c>
      <c r="BH273" s="191">
        <f>L273*0.0817745197</f>
        <v/>
      </c>
      <c r="BI273" s="191">
        <f>L273*0.0849342770</f>
        <v/>
      </c>
      <c r="BJ273" s="191">
        <f>L273*0.0870197169</f>
        <v/>
      </c>
      <c r="BK273" s="191">
        <f>L273*0.0889787664</f>
        <v/>
      </c>
      <c r="BL273" s="191">
        <f>L273*0.0911905966</f>
        <v/>
      </c>
      <c r="BM273" s="191">
        <f>L273*0.0935920121</f>
        <v/>
      </c>
      <c r="BN273" s="192">
        <f>L273*0.0967517695</f>
        <v/>
      </c>
      <c r="BO273" s="36" t="inlineStr">
        <is>
          <t>.</t>
        </is>
      </c>
      <c r="BP273" s="193">
        <f>SUM(BQ273:CB273)</f>
        <v/>
      </c>
      <c r="BQ273" s="191">
        <f>MAX(0,BC273-AA273)</f>
        <v/>
      </c>
      <c r="BR273" s="191">
        <f>MAX(0,BD273-AB273)</f>
        <v/>
      </c>
      <c r="BS273" s="191">
        <f>MAX(0,BE273-AC273)</f>
        <v/>
      </c>
      <c r="BT273" s="191">
        <f>MAX(0,BF273-AD273)</f>
        <v/>
      </c>
      <c r="BU273" s="191">
        <f>MAX(0,BG273-AE273)</f>
        <v/>
      </c>
      <c r="BV273" s="191">
        <f>MAX(0,BH273-AF273)</f>
        <v/>
      </c>
      <c r="BW273" s="191">
        <f>MAX(0,BI273-AG273)</f>
        <v/>
      </c>
      <c r="BX273" s="191">
        <f>MAX(0,BJ273-AH273)</f>
        <v/>
      </c>
      <c r="BY273" s="191">
        <f>MAX(0,BK273-AI273)</f>
        <v/>
      </c>
      <c r="BZ273" s="191">
        <f>MAX(0,BL273-AJ273)</f>
        <v/>
      </c>
      <c r="CA273" s="191">
        <f>MAX(0,BM273-AK273)</f>
        <v/>
      </c>
      <c r="CB273" s="192">
        <f>MAX(0,BN273-AL273)</f>
        <v/>
      </c>
    </row>
    <row r="274">
      <c r="A274" s="64" t="inlineStr">
        <is>
          <t>10610044000197</t>
        </is>
      </c>
      <c r="B274" s="57" t="inlineStr">
        <is>
          <t>JORDANIA EMBU MERCADO E PADARIA LTDA - M</t>
        </is>
      </c>
      <c r="C274" s="57" t="inlineStr">
        <is>
          <t>SEM GRUPO</t>
        </is>
      </c>
      <c r="D274" s="61" t="inlineStr">
        <is>
          <t>LARISSA PADILHA</t>
        </is>
      </c>
      <c r="E274" s="30" t="inlineStr">
        <is>
          <t>.</t>
        </is>
      </c>
      <c r="F274" s="63" t="inlineStr"/>
      <c r="G274" s="179" t="inlineStr"/>
      <c r="H274" s="57" t="inlineStr"/>
      <c r="I274" s="57" t="inlineStr"/>
      <c r="J274" s="61" t="inlineStr"/>
      <c r="K274" s="30" t="inlineStr">
        <is>
          <t>.</t>
        </is>
      </c>
      <c r="L274" s="180" t="n">
        <v>3943.909999999999</v>
      </c>
      <c r="M274" s="181" t="n">
        <v>277.15</v>
      </c>
      <c r="N274" s="181" t="n">
        <v>289.61</v>
      </c>
      <c r="O274" s="181" t="n">
        <v>296.59</v>
      </c>
      <c r="P274" s="181" t="n">
        <v>304.32</v>
      </c>
      <c r="Q274" s="181" t="n">
        <v>314.29</v>
      </c>
      <c r="R274" s="181" t="n">
        <v>322.51</v>
      </c>
      <c r="S274" s="181" t="n">
        <v>334.97</v>
      </c>
      <c r="T274" s="181" t="n">
        <v>343.2</v>
      </c>
      <c r="U274" s="181" t="n">
        <v>350.92</v>
      </c>
      <c r="V274" s="181" t="n">
        <v>359.65</v>
      </c>
      <c r="W274" s="181" t="n">
        <v>369.12</v>
      </c>
      <c r="X274" s="182" t="n">
        <v>381.58</v>
      </c>
      <c r="Y274" s="183" t="inlineStr">
        <is>
          <t>.</t>
        </is>
      </c>
      <c r="Z274" s="184">
        <f>SUM(AA274:AL274)</f>
        <v/>
      </c>
      <c r="AA274" s="185" t="n">
        <v>0</v>
      </c>
      <c r="AB274" s="185" t="n">
        <v>0</v>
      </c>
      <c r="AC274" s="185" t="n">
        <v>0</v>
      </c>
      <c r="AD274" s="185" t="n">
        <v>0</v>
      </c>
      <c r="AE274" s="185" t="n">
        <v>0</v>
      </c>
      <c r="AF274" s="185" t="n">
        <v>0</v>
      </c>
      <c r="AG274" s="185" t="n">
        <v>0</v>
      </c>
      <c r="AH274" s="185" t="n">
        <v>0</v>
      </c>
      <c r="AI274" s="185" t="n">
        <v>0</v>
      </c>
      <c r="AJ274" s="185" t="n">
        <v>0</v>
      </c>
      <c r="AK274" s="185" t="n">
        <v>2103.77</v>
      </c>
      <c r="AL274" s="186" t="n">
        <v>0</v>
      </c>
      <c r="AM274" s="30" t="inlineStr">
        <is>
          <t>.</t>
        </is>
      </c>
      <c r="AN274" s="187">
        <f>IF(L274=0,0,Z274/L274)</f>
        <v/>
      </c>
      <c r="AO274" s="57">
        <f>IF(AN274&gt;=1,"🟢",IF(AN274&gt;=0.7,"🟡",IF(AN274&gt;=0.4,"🟠","🔴")))</f>
        <v/>
      </c>
      <c r="AP274" s="185">
        <f>L274-Z274</f>
        <v/>
      </c>
      <c r="AQ274" s="55">
        <f>RANK(Z274,$Z$4:$Z$503,0)</f>
        <v/>
      </c>
      <c r="AR274" s="39" t="inlineStr">
        <is>
          <t>.</t>
        </is>
      </c>
      <c r="AS274" s="27" t="n"/>
      <c r="AT274" s="27" t="n"/>
      <c r="AU274" s="27" t="n"/>
      <c r="AV274" s="27" t="n"/>
      <c r="AW274" s="27" t="n"/>
      <c r="AX274" s="27" t="n"/>
      <c r="AY274" s="204" t="n"/>
      <c r="AZ274" s="204" t="n"/>
      <c r="BA274" s="38" t="inlineStr">
        <is>
          <t>.</t>
        </is>
      </c>
      <c r="BB274" s="190">
        <f>SUM(BC274:BN274)</f>
        <v/>
      </c>
      <c r="BC274" s="191">
        <f>L274*0.0702730030</f>
        <v/>
      </c>
      <c r="BD274" s="191">
        <f>L274*0.0734327604</f>
        <v/>
      </c>
      <c r="BE274" s="191">
        <f>L274*0.0752022245</f>
        <v/>
      </c>
      <c r="BF274" s="191">
        <f>L274*0.0771612740</f>
        <v/>
      </c>
      <c r="BG274" s="191">
        <f>L274*0.0796890799</f>
        <v/>
      </c>
      <c r="BH274" s="191">
        <f>L274*0.0817745197</f>
        <v/>
      </c>
      <c r="BI274" s="191">
        <f>L274*0.0849342770</f>
        <v/>
      </c>
      <c r="BJ274" s="191">
        <f>L274*0.0870197169</f>
        <v/>
      </c>
      <c r="BK274" s="191">
        <f>L274*0.0889787664</f>
        <v/>
      </c>
      <c r="BL274" s="191">
        <f>L274*0.0911905966</f>
        <v/>
      </c>
      <c r="BM274" s="191">
        <f>L274*0.0935920121</f>
        <v/>
      </c>
      <c r="BN274" s="192">
        <f>L274*0.0967517695</f>
        <v/>
      </c>
      <c r="BO274" s="36" t="inlineStr">
        <is>
          <t>.</t>
        </is>
      </c>
      <c r="BP274" s="193">
        <f>SUM(BQ274:CB274)</f>
        <v/>
      </c>
      <c r="BQ274" s="191">
        <f>MAX(0,BC274-AA274)</f>
        <v/>
      </c>
      <c r="BR274" s="191">
        <f>MAX(0,BD274-AB274)</f>
        <v/>
      </c>
      <c r="BS274" s="191">
        <f>MAX(0,BE274-AC274)</f>
        <v/>
      </c>
      <c r="BT274" s="191">
        <f>MAX(0,BF274-AD274)</f>
        <v/>
      </c>
      <c r="BU274" s="191">
        <f>MAX(0,BG274-AE274)</f>
        <v/>
      </c>
      <c r="BV274" s="191">
        <f>MAX(0,BH274-AF274)</f>
        <v/>
      </c>
      <c r="BW274" s="191">
        <f>MAX(0,BI274-AG274)</f>
        <v/>
      </c>
      <c r="BX274" s="191">
        <f>MAX(0,BJ274-AH274)</f>
        <v/>
      </c>
      <c r="BY274" s="191">
        <f>MAX(0,BK274-AI274)</f>
        <v/>
      </c>
      <c r="BZ274" s="191">
        <f>MAX(0,BL274-AJ274)</f>
        <v/>
      </c>
      <c r="CA274" s="191">
        <f>MAX(0,BM274-AK274)</f>
        <v/>
      </c>
      <c r="CB274" s="192">
        <f>MAX(0,BN274-AL274)</f>
        <v/>
      </c>
    </row>
    <row r="275">
      <c r="A275" s="64" t="inlineStr">
        <is>
          <t>36213071000110</t>
        </is>
      </c>
      <c r="B275" s="57" t="inlineStr">
        <is>
          <t>LIDIANA APARECIDA DE ASSIS LUQUE - ME</t>
        </is>
      </c>
      <c r="C275" s="57" t="inlineStr">
        <is>
          <t>SEM GRUPO</t>
        </is>
      </c>
      <c r="D275" s="61" t="inlineStr">
        <is>
          <t>LARISSA PADILHA</t>
        </is>
      </c>
      <c r="E275" s="30" t="inlineStr">
        <is>
          <t>.</t>
        </is>
      </c>
      <c r="F275" s="63" t="inlineStr"/>
      <c r="G275" s="179" t="inlineStr"/>
      <c r="H275" s="57" t="inlineStr"/>
      <c r="I275" s="57" t="inlineStr"/>
      <c r="J275" s="61" t="inlineStr"/>
      <c r="K275" s="30" t="inlineStr">
        <is>
          <t>.</t>
        </is>
      </c>
      <c r="L275" s="180" t="n">
        <v>3941.87</v>
      </c>
      <c r="M275" s="181" t="n">
        <v>277.01</v>
      </c>
      <c r="N275" s="181" t="n">
        <v>289.46</v>
      </c>
      <c r="O275" s="181" t="n">
        <v>296.44</v>
      </c>
      <c r="P275" s="181" t="n">
        <v>304.16</v>
      </c>
      <c r="Q275" s="181" t="n">
        <v>314.12</v>
      </c>
      <c r="R275" s="181" t="n">
        <v>322.35</v>
      </c>
      <c r="S275" s="181" t="n">
        <v>334.8</v>
      </c>
      <c r="T275" s="181" t="n">
        <v>343.02</v>
      </c>
      <c r="U275" s="181" t="n">
        <v>350.74</v>
      </c>
      <c r="V275" s="181" t="n">
        <v>359.46</v>
      </c>
      <c r="W275" s="181" t="n">
        <v>368.93</v>
      </c>
      <c r="X275" s="182" t="n">
        <v>381.38</v>
      </c>
      <c r="Y275" s="183" t="inlineStr">
        <is>
          <t>.</t>
        </is>
      </c>
      <c r="Z275" s="184">
        <f>SUM(AA275:AL275)</f>
        <v/>
      </c>
      <c r="AA275" s="185" t="n">
        <v>0</v>
      </c>
      <c r="AB275" s="185" t="n">
        <v>0</v>
      </c>
      <c r="AC275" s="185" t="n">
        <v>0</v>
      </c>
      <c r="AD275" s="185" t="n">
        <v>1397.68</v>
      </c>
      <c r="AE275" s="185" t="n">
        <v>0</v>
      </c>
      <c r="AF275" s="185" t="n">
        <v>0</v>
      </c>
      <c r="AG275" s="185" t="n">
        <v>0</v>
      </c>
      <c r="AH275" s="185" t="n">
        <v>0</v>
      </c>
      <c r="AI275" s="185" t="n">
        <v>0</v>
      </c>
      <c r="AJ275" s="185" t="n">
        <v>0</v>
      </c>
      <c r="AK275" s="185" t="n">
        <v>0</v>
      </c>
      <c r="AL275" s="186" t="n">
        <v>0</v>
      </c>
      <c r="AM275" s="30" t="inlineStr">
        <is>
          <t>.</t>
        </is>
      </c>
      <c r="AN275" s="187">
        <f>IF(L275=0,0,Z275/L275)</f>
        <v/>
      </c>
      <c r="AO275" s="57">
        <f>IF(AN275&gt;=1,"🟢",IF(AN275&gt;=0.7,"🟡",IF(AN275&gt;=0.4,"🟠","🔴")))</f>
        <v/>
      </c>
      <c r="AP275" s="185">
        <f>L275-Z275</f>
        <v/>
      </c>
      <c r="AQ275" s="55">
        <f>RANK(Z275,$Z$4:$Z$503,0)</f>
        <v/>
      </c>
      <c r="AR275" s="39" t="inlineStr">
        <is>
          <t>.</t>
        </is>
      </c>
      <c r="AS275" s="27" t="n"/>
      <c r="AT275" s="27" t="n"/>
      <c r="AU275" s="27" t="n"/>
      <c r="AV275" s="27" t="n"/>
      <c r="AW275" s="27" t="n"/>
      <c r="AX275" s="27" t="n"/>
      <c r="AY275" s="204" t="n"/>
      <c r="AZ275" s="204" t="n"/>
      <c r="BA275" s="38" t="inlineStr">
        <is>
          <t>.</t>
        </is>
      </c>
      <c r="BB275" s="190">
        <f>SUM(BC275:BN275)</f>
        <v/>
      </c>
      <c r="BC275" s="191">
        <f>L275*0.0702730030</f>
        <v/>
      </c>
      <c r="BD275" s="191">
        <f>L275*0.0734327604</f>
        <v/>
      </c>
      <c r="BE275" s="191">
        <f>L275*0.0752022245</f>
        <v/>
      </c>
      <c r="BF275" s="191">
        <f>L275*0.0771612740</f>
        <v/>
      </c>
      <c r="BG275" s="191">
        <f>L275*0.0796890799</f>
        <v/>
      </c>
      <c r="BH275" s="191">
        <f>L275*0.0817745197</f>
        <v/>
      </c>
      <c r="BI275" s="191">
        <f>L275*0.0849342770</f>
        <v/>
      </c>
      <c r="BJ275" s="191">
        <f>L275*0.0870197169</f>
        <v/>
      </c>
      <c r="BK275" s="191">
        <f>L275*0.0889787664</f>
        <v/>
      </c>
      <c r="BL275" s="191">
        <f>L275*0.0911905966</f>
        <v/>
      </c>
      <c r="BM275" s="191">
        <f>L275*0.0935920121</f>
        <v/>
      </c>
      <c r="BN275" s="192">
        <f>L275*0.0967517695</f>
        <v/>
      </c>
      <c r="BO275" s="36" t="inlineStr">
        <is>
          <t>.</t>
        </is>
      </c>
      <c r="BP275" s="193">
        <f>SUM(BQ275:CB275)</f>
        <v/>
      </c>
      <c r="BQ275" s="191">
        <f>MAX(0,BC275-AA275)</f>
        <v/>
      </c>
      <c r="BR275" s="191">
        <f>MAX(0,BD275-AB275)</f>
        <v/>
      </c>
      <c r="BS275" s="191">
        <f>MAX(0,BE275-AC275)</f>
        <v/>
      </c>
      <c r="BT275" s="191">
        <f>MAX(0,BF275-AD275)</f>
        <v/>
      </c>
      <c r="BU275" s="191">
        <f>MAX(0,BG275-AE275)</f>
        <v/>
      </c>
      <c r="BV275" s="191">
        <f>MAX(0,BH275-AF275)</f>
        <v/>
      </c>
      <c r="BW275" s="191">
        <f>MAX(0,BI275-AG275)</f>
        <v/>
      </c>
      <c r="BX275" s="191">
        <f>MAX(0,BJ275-AH275)</f>
        <v/>
      </c>
      <c r="BY275" s="191">
        <f>MAX(0,BK275-AI275)</f>
        <v/>
      </c>
      <c r="BZ275" s="191">
        <f>MAX(0,BL275-AJ275)</f>
        <v/>
      </c>
      <c r="CA275" s="191">
        <f>MAX(0,BM275-AK275)</f>
        <v/>
      </c>
      <c r="CB275" s="192">
        <f>MAX(0,BN275-AL275)</f>
        <v/>
      </c>
    </row>
    <row r="276">
      <c r="A276" s="64" t="inlineStr">
        <is>
          <t>29619670000172</t>
        </is>
      </c>
      <c r="B276" s="57" t="inlineStr">
        <is>
          <t>DOCE PUDIM ALIMENTOS LTDA - EPP</t>
        </is>
      </c>
      <c r="C276" s="57" t="inlineStr">
        <is>
          <t>SEM GRUPO</t>
        </is>
      </c>
      <c r="D276" s="61" t="inlineStr">
        <is>
          <t>LARISSA PADILHA</t>
        </is>
      </c>
      <c r="E276" s="30" t="inlineStr">
        <is>
          <t>.</t>
        </is>
      </c>
      <c r="F276" s="63" t="inlineStr"/>
      <c r="G276" s="179" t="inlineStr"/>
      <c r="H276" s="57" t="inlineStr"/>
      <c r="I276" s="57" t="inlineStr"/>
      <c r="J276" s="61" t="inlineStr"/>
      <c r="K276" s="30" t="inlineStr">
        <is>
          <t>.</t>
        </is>
      </c>
      <c r="L276" s="180" t="n">
        <v>3904.01</v>
      </c>
      <c r="M276" s="181" t="n">
        <v>274.35</v>
      </c>
      <c r="N276" s="181" t="n">
        <v>286.68</v>
      </c>
      <c r="O276" s="181" t="n">
        <v>293.59</v>
      </c>
      <c r="P276" s="181" t="n">
        <v>301.24</v>
      </c>
      <c r="Q276" s="181" t="n">
        <v>311.11</v>
      </c>
      <c r="R276" s="181" t="n">
        <v>319.25</v>
      </c>
      <c r="S276" s="181" t="n">
        <v>331.58</v>
      </c>
      <c r="T276" s="181" t="n">
        <v>339.73</v>
      </c>
      <c r="U276" s="181" t="n">
        <v>347.37</v>
      </c>
      <c r="V276" s="181" t="n">
        <v>356.01</v>
      </c>
      <c r="W276" s="181" t="n">
        <v>365.38</v>
      </c>
      <c r="X276" s="182" t="n">
        <v>377.72</v>
      </c>
      <c r="Y276" s="183" t="inlineStr">
        <is>
          <t>.</t>
        </is>
      </c>
      <c r="Z276" s="184">
        <f>SUM(AA276:AL276)</f>
        <v/>
      </c>
      <c r="AA276" s="185" t="n">
        <v>0</v>
      </c>
      <c r="AB276" s="185" t="n">
        <v>0</v>
      </c>
      <c r="AC276" s="185" t="n">
        <v>0</v>
      </c>
      <c r="AD276" s="185" t="n">
        <v>0</v>
      </c>
      <c r="AE276" s="185" t="n">
        <v>0</v>
      </c>
      <c r="AF276" s="185" t="n">
        <v>0</v>
      </c>
      <c r="AG276" s="185" t="n">
        <v>0</v>
      </c>
      <c r="AH276" s="185" t="n">
        <v>0</v>
      </c>
      <c r="AI276" s="185" t="n">
        <v>1768.39</v>
      </c>
      <c r="AJ276" s="185" t="n">
        <v>0</v>
      </c>
      <c r="AK276" s="185" t="n">
        <v>0</v>
      </c>
      <c r="AL276" s="186" t="n">
        <v>0</v>
      </c>
      <c r="AM276" s="30" t="inlineStr">
        <is>
          <t>.</t>
        </is>
      </c>
      <c r="AN276" s="187">
        <f>IF(L276=0,0,Z276/L276)</f>
        <v/>
      </c>
      <c r="AO276" s="57">
        <f>IF(AN276&gt;=1,"🟢",IF(AN276&gt;=0.7,"🟡",IF(AN276&gt;=0.4,"🟠","🔴")))</f>
        <v/>
      </c>
      <c r="AP276" s="185">
        <f>L276-Z276</f>
        <v/>
      </c>
      <c r="AQ276" s="55">
        <f>RANK(Z276,$Z$4:$Z$503,0)</f>
        <v/>
      </c>
      <c r="AR276" s="39" t="inlineStr">
        <is>
          <t>.</t>
        </is>
      </c>
      <c r="AS276" s="27" t="n"/>
      <c r="AT276" s="27" t="n"/>
      <c r="AU276" s="27" t="n"/>
      <c r="AV276" s="27" t="n"/>
      <c r="AW276" s="27" t="n"/>
      <c r="AX276" s="27" t="n"/>
      <c r="AY276" s="204" t="n"/>
      <c r="AZ276" s="204" t="n"/>
      <c r="BA276" s="38" t="inlineStr">
        <is>
          <t>.</t>
        </is>
      </c>
      <c r="BB276" s="190">
        <f>SUM(BC276:BN276)</f>
        <v/>
      </c>
      <c r="BC276" s="191">
        <f>L276*0.0702730030</f>
        <v/>
      </c>
      <c r="BD276" s="191">
        <f>L276*0.0734327604</f>
        <v/>
      </c>
      <c r="BE276" s="191">
        <f>L276*0.0752022245</f>
        <v/>
      </c>
      <c r="BF276" s="191">
        <f>L276*0.0771612740</f>
        <v/>
      </c>
      <c r="BG276" s="191">
        <f>L276*0.0796890799</f>
        <v/>
      </c>
      <c r="BH276" s="191">
        <f>L276*0.0817745197</f>
        <v/>
      </c>
      <c r="BI276" s="191">
        <f>L276*0.0849342770</f>
        <v/>
      </c>
      <c r="BJ276" s="191">
        <f>L276*0.0870197169</f>
        <v/>
      </c>
      <c r="BK276" s="191">
        <f>L276*0.0889787664</f>
        <v/>
      </c>
      <c r="BL276" s="191">
        <f>L276*0.0911905966</f>
        <v/>
      </c>
      <c r="BM276" s="191">
        <f>L276*0.0935920121</f>
        <v/>
      </c>
      <c r="BN276" s="192">
        <f>L276*0.0967517695</f>
        <v/>
      </c>
      <c r="BO276" s="36" t="inlineStr">
        <is>
          <t>.</t>
        </is>
      </c>
      <c r="BP276" s="193">
        <f>SUM(BQ276:CB276)</f>
        <v/>
      </c>
      <c r="BQ276" s="191">
        <f>MAX(0,BC276-AA276)</f>
        <v/>
      </c>
      <c r="BR276" s="191">
        <f>MAX(0,BD276-AB276)</f>
        <v/>
      </c>
      <c r="BS276" s="191">
        <f>MAX(0,BE276-AC276)</f>
        <v/>
      </c>
      <c r="BT276" s="191">
        <f>MAX(0,BF276-AD276)</f>
        <v/>
      </c>
      <c r="BU276" s="191">
        <f>MAX(0,BG276-AE276)</f>
        <v/>
      </c>
      <c r="BV276" s="191">
        <f>MAX(0,BH276-AF276)</f>
        <v/>
      </c>
      <c r="BW276" s="191">
        <f>MAX(0,BI276-AG276)</f>
        <v/>
      </c>
      <c r="BX276" s="191">
        <f>MAX(0,BJ276-AH276)</f>
        <v/>
      </c>
      <c r="BY276" s="191">
        <f>MAX(0,BK276-AI276)</f>
        <v/>
      </c>
      <c r="BZ276" s="191">
        <f>MAX(0,BL276-AJ276)</f>
        <v/>
      </c>
      <c r="CA276" s="191">
        <f>MAX(0,BM276-AK276)</f>
        <v/>
      </c>
      <c r="CB276" s="192">
        <f>MAX(0,BN276-AL276)</f>
        <v/>
      </c>
    </row>
    <row r="277">
      <c r="A277" s="64" t="inlineStr">
        <is>
          <t>52169809000145</t>
        </is>
      </c>
      <c r="B277" s="57" t="inlineStr">
        <is>
          <t>IS COMERCIO DE PRODUTOS NATURAIS LTDA -E</t>
        </is>
      </c>
      <c r="C277" s="57" t="inlineStr">
        <is>
          <t>VIDA LEVE</t>
        </is>
      </c>
      <c r="D277" s="61" t="inlineStr">
        <is>
          <t>DAIANE STAVICKI</t>
        </is>
      </c>
      <c r="E277" s="30" t="inlineStr">
        <is>
          <t>.</t>
        </is>
      </c>
      <c r="F277" s="63" t="n">
        <v>81</v>
      </c>
      <c r="G277" s="179" t="n">
        <v>0.08</v>
      </c>
      <c r="H277" s="57" t="inlineStr">
        <is>
          <t>🔴 VERMELHO</t>
        </is>
      </c>
      <c r="I277" s="57" t="inlineStr">
        <is>
          <t>ATIVAÇÃO</t>
        </is>
      </c>
      <c r="J277" s="61" t="inlineStr">
        <is>
          <t>Reativar inativos + Prospectar</t>
        </is>
      </c>
      <c r="K277" s="30" t="inlineStr">
        <is>
          <t>.</t>
        </is>
      </c>
      <c r="L277" s="180" t="n">
        <v>3849.31</v>
      </c>
      <c r="M277" s="181" t="n">
        <v>270.5</v>
      </c>
      <c r="N277" s="181" t="n">
        <v>282.66</v>
      </c>
      <c r="O277" s="181" t="n">
        <v>289.48</v>
      </c>
      <c r="P277" s="181" t="n">
        <v>297.02</v>
      </c>
      <c r="Q277" s="181" t="n">
        <v>306.75</v>
      </c>
      <c r="R277" s="181" t="n">
        <v>314.77</v>
      </c>
      <c r="S277" s="181" t="n">
        <v>326.94</v>
      </c>
      <c r="T277" s="181" t="n">
        <v>334.97</v>
      </c>
      <c r="U277" s="181" t="n">
        <v>342.51</v>
      </c>
      <c r="V277" s="181" t="n">
        <v>351.02</v>
      </c>
      <c r="W277" s="181" t="n">
        <v>360.26</v>
      </c>
      <c r="X277" s="182" t="n">
        <v>372.43</v>
      </c>
      <c r="Y277" s="183" t="inlineStr">
        <is>
          <t>.</t>
        </is>
      </c>
      <c r="Z277" s="184">
        <f>SUM(AA277:AL277)</f>
        <v/>
      </c>
      <c r="AA277" s="185" t="n">
        <v>0</v>
      </c>
      <c r="AB277" s="185" t="n">
        <v>0</v>
      </c>
      <c r="AC277" s="185" t="n">
        <v>0</v>
      </c>
      <c r="AD277" s="185" t="n">
        <v>0</v>
      </c>
      <c r="AE277" s="185" t="n">
        <v>0</v>
      </c>
      <c r="AF277" s="185" t="n">
        <v>0</v>
      </c>
      <c r="AG277" s="185" t="n">
        <v>0</v>
      </c>
      <c r="AH277" s="185" t="n">
        <v>0</v>
      </c>
      <c r="AI277" s="185" t="n">
        <v>1743.61</v>
      </c>
      <c r="AJ277" s="185" t="n">
        <v>0</v>
      </c>
      <c r="AK277" s="185" t="n">
        <v>0</v>
      </c>
      <c r="AL277" s="186" t="n">
        <v>0</v>
      </c>
      <c r="AM277" s="30" t="inlineStr">
        <is>
          <t>.</t>
        </is>
      </c>
      <c r="AN277" s="187">
        <f>IF(L277=0,0,Z277/L277)</f>
        <v/>
      </c>
      <c r="AO277" s="57">
        <f>IF(AN277&gt;=1,"🟢",IF(AN277&gt;=0.7,"🟡",IF(AN277&gt;=0.4,"🟠","🔴")))</f>
        <v/>
      </c>
      <c r="AP277" s="185">
        <f>L277-Z277</f>
        <v/>
      </c>
      <c r="AQ277" s="55">
        <f>RANK(Z277,$Z$4:$Z$503,0)</f>
        <v/>
      </c>
      <c r="AR277" s="39" t="inlineStr">
        <is>
          <t>.</t>
        </is>
      </c>
      <c r="AS277" s="27" t="n"/>
      <c r="AT277" s="27" t="n"/>
      <c r="AU277" s="27" t="n"/>
      <c r="AV277" s="27" t="n"/>
      <c r="AW277" s="27" t="n"/>
      <c r="AX277" s="27" t="n"/>
      <c r="AY277" s="204" t="n"/>
      <c r="AZ277" s="204" t="n"/>
      <c r="BA277" s="38" t="inlineStr">
        <is>
          <t>.</t>
        </is>
      </c>
      <c r="BB277" s="190">
        <f>SUM(BC277:BN277)</f>
        <v/>
      </c>
      <c r="BC277" s="191">
        <f>L277*0.0702730030</f>
        <v/>
      </c>
      <c r="BD277" s="191">
        <f>L277*0.0734327604</f>
        <v/>
      </c>
      <c r="BE277" s="191">
        <f>L277*0.0752022245</f>
        <v/>
      </c>
      <c r="BF277" s="191">
        <f>L277*0.0771612740</f>
        <v/>
      </c>
      <c r="BG277" s="191">
        <f>L277*0.0796890799</f>
        <v/>
      </c>
      <c r="BH277" s="191">
        <f>L277*0.0817745197</f>
        <v/>
      </c>
      <c r="BI277" s="191">
        <f>L277*0.0849342770</f>
        <v/>
      </c>
      <c r="BJ277" s="191">
        <f>L277*0.0870197169</f>
        <v/>
      </c>
      <c r="BK277" s="191">
        <f>L277*0.0889787664</f>
        <v/>
      </c>
      <c r="BL277" s="191">
        <f>L277*0.0911905966</f>
        <v/>
      </c>
      <c r="BM277" s="191">
        <f>L277*0.0935920121</f>
        <v/>
      </c>
      <c r="BN277" s="192">
        <f>L277*0.0967517695</f>
        <v/>
      </c>
      <c r="BO277" s="36" t="inlineStr">
        <is>
          <t>.</t>
        </is>
      </c>
      <c r="BP277" s="193">
        <f>SUM(BQ277:CB277)</f>
        <v/>
      </c>
      <c r="BQ277" s="191">
        <f>MAX(0,BC277-AA277)</f>
        <v/>
      </c>
      <c r="BR277" s="191">
        <f>MAX(0,BD277-AB277)</f>
        <v/>
      </c>
      <c r="BS277" s="191">
        <f>MAX(0,BE277-AC277)</f>
        <v/>
      </c>
      <c r="BT277" s="191">
        <f>MAX(0,BF277-AD277)</f>
        <v/>
      </c>
      <c r="BU277" s="191">
        <f>MAX(0,BG277-AE277)</f>
        <v/>
      </c>
      <c r="BV277" s="191">
        <f>MAX(0,BH277-AF277)</f>
        <v/>
      </c>
      <c r="BW277" s="191">
        <f>MAX(0,BI277-AG277)</f>
        <v/>
      </c>
      <c r="BX277" s="191">
        <f>MAX(0,BJ277-AH277)</f>
        <v/>
      </c>
      <c r="BY277" s="191">
        <f>MAX(0,BK277-AI277)</f>
        <v/>
      </c>
      <c r="BZ277" s="191">
        <f>MAX(0,BL277-AJ277)</f>
        <v/>
      </c>
      <c r="CA277" s="191">
        <f>MAX(0,BM277-AK277)</f>
        <v/>
      </c>
      <c r="CB277" s="192">
        <f>MAX(0,BN277-AL277)</f>
        <v/>
      </c>
    </row>
    <row r="278">
      <c r="A278" s="64" t="inlineStr">
        <is>
          <t>43497241000109</t>
        </is>
      </c>
      <c r="B278" s="57" t="inlineStr">
        <is>
          <t>43.497.241 BIANCA PAIVA SOARES - ME</t>
        </is>
      </c>
      <c r="C278" s="57" t="inlineStr">
        <is>
          <t>SEM GRUPO</t>
        </is>
      </c>
      <c r="D278" s="61" t="inlineStr">
        <is>
          <t>LARISSA PADILHA</t>
        </is>
      </c>
      <c r="E278" s="30" t="inlineStr">
        <is>
          <t>.</t>
        </is>
      </c>
      <c r="F278" s="63" t="inlineStr"/>
      <c r="G278" s="179" t="inlineStr"/>
      <c r="H278" s="57" t="inlineStr"/>
      <c r="I278" s="57" t="inlineStr"/>
      <c r="J278" s="61" t="inlineStr"/>
      <c r="K278" s="30" t="inlineStr">
        <is>
          <t>.</t>
        </is>
      </c>
      <c r="L278" s="180" t="n">
        <v>3794.74</v>
      </c>
      <c r="M278" s="181" t="n">
        <v>266.67</v>
      </c>
      <c r="N278" s="181" t="n">
        <v>278.66</v>
      </c>
      <c r="O278" s="181" t="n">
        <v>285.37</v>
      </c>
      <c r="P278" s="181" t="n">
        <v>292.81</v>
      </c>
      <c r="Q278" s="181" t="n">
        <v>302.4</v>
      </c>
      <c r="R278" s="181" t="n">
        <v>310.31</v>
      </c>
      <c r="S278" s="181" t="n">
        <v>322.3</v>
      </c>
      <c r="T278" s="181" t="n">
        <v>330.22</v>
      </c>
      <c r="U278" s="181" t="n">
        <v>337.65</v>
      </c>
      <c r="V278" s="181" t="n">
        <v>346.04</v>
      </c>
      <c r="W278" s="181" t="n">
        <v>355.16</v>
      </c>
      <c r="X278" s="182" t="n">
        <v>367.15</v>
      </c>
      <c r="Y278" s="183" t="inlineStr">
        <is>
          <t>.</t>
        </is>
      </c>
      <c r="Z278" s="184">
        <f>SUM(AA278:AL278)</f>
        <v/>
      </c>
      <c r="AA278" s="185" t="n">
        <v>0</v>
      </c>
      <c r="AB278" s="185" t="n">
        <v>0</v>
      </c>
      <c r="AC278" s="185" t="n">
        <v>1492.77</v>
      </c>
      <c r="AD278" s="185" t="n">
        <v>0</v>
      </c>
      <c r="AE278" s="185" t="n">
        <v>0</v>
      </c>
      <c r="AF278" s="185" t="n">
        <v>0</v>
      </c>
      <c r="AG278" s="185" t="n">
        <v>0</v>
      </c>
      <c r="AH278" s="185" t="n">
        <v>0</v>
      </c>
      <c r="AI278" s="185" t="n">
        <v>0</v>
      </c>
      <c r="AJ278" s="185" t="n">
        <v>0</v>
      </c>
      <c r="AK278" s="185" t="n">
        <v>0</v>
      </c>
      <c r="AL278" s="186" t="n">
        <v>0</v>
      </c>
      <c r="AM278" s="30" t="inlineStr">
        <is>
          <t>.</t>
        </is>
      </c>
      <c r="AN278" s="187">
        <f>IF(L278=0,0,Z278/L278)</f>
        <v/>
      </c>
      <c r="AO278" s="57">
        <f>IF(AN278&gt;=1,"🟢",IF(AN278&gt;=0.7,"🟡",IF(AN278&gt;=0.4,"🟠","🔴")))</f>
        <v/>
      </c>
      <c r="AP278" s="185">
        <f>L278-Z278</f>
        <v/>
      </c>
      <c r="AQ278" s="55">
        <f>RANK(Z278,$Z$4:$Z$503,0)</f>
        <v/>
      </c>
      <c r="AR278" s="39" t="inlineStr">
        <is>
          <t>.</t>
        </is>
      </c>
      <c r="AS278" s="27" t="n"/>
      <c r="AT278" s="27" t="n"/>
      <c r="AU278" s="27" t="n"/>
      <c r="AV278" s="27" t="n"/>
      <c r="AW278" s="27" t="n"/>
      <c r="AX278" s="27" t="n"/>
      <c r="AY278" s="204" t="n"/>
      <c r="AZ278" s="204" t="n"/>
      <c r="BA278" s="38" t="inlineStr">
        <is>
          <t>.</t>
        </is>
      </c>
      <c r="BB278" s="190">
        <f>SUM(BC278:BN278)</f>
        <v/>
      </c>
      <c r="BC278" s="191">
        <f>L278*0.0702730030</f>
        <v/>
      </c>
      <c r="BD278" s="191">
        <f>L278*0.0734327604</f>
        <v/>
      </c>
      <c r="BE278" s="191">
        <f>L278*0.0752022245</f>
        <v/>
      </c>
      <c r="BF278" s="191">
        <f>L278*0.0771612740</f>
        <v/>
      </c>
      <c r="BG278" s="191">
        <f>L278*0.0796890799</f>
        <v/>
      </c>
      <c r="BH278" s="191">
        <f>L278*0.0817745197</f>
        <v/>
      </c>
      <c r="BI278" s="191">
        <f>L278*0.0849342770</f>
        <v/>
      </c>
      <c r="BJ278" s="191">
        <f>L278*0.0870197169</f>
        <v/>
      </c>
      <c r="BK278" s="191">
        <f>L278*0.0889787664</f>
        <v/>
      </c>
      <c r="BL278" s="191">
        <f>L278*0.0911905966</f>
        <v/>
      </c>
      <c r="BM278" s="191">
        <f>L278*0.0935920121</f>
        <v/>
      </c>
      <c r="BN278" s="192">
        <f>L278*0.0967517695</f>
        <v/>
      </c>
      <c r="BO278" s="36" t="inlineStr">
        <is>
          <t>.</t>
        </is>
      </c>
      <c r="BP278" s="193">
        <f>SUM(BQ278:CB278)</f>
        <v/>
      </c>
      <c r="BQ278" s="191">
        <f>MAX(0,BC278-AA278)</f>
        <v/>
      </c>
      <c r="BR278" s="191">
        <f>MAX(0,BD278-AB278)</f>
        <v/>
      </c>
      <c r="BS278" s="191">
        <f>MAX(0,BE278-AC278)</f>
        <v/>
      </c>
      <c r="BT278" s="191">
        <f>MAX(0,BF278-AD278)</f>
        <v/>
      </c>
      <c r="BU278" s="191">
        <f>MAX(0,BG278-AE278)</f>
        <v/>
      </c>
      <c r="BV278" s="191">
        <f>MAX(0,BH278-AF278)</f>
        <v/>
      </c>
      <c r="BW278" s="191">
        <f>MAX(0,BI278-AG278)</f>
        <v/>
      </c>
      <c r="BX278" s="191">
        <f>MAX(0,BJ278-AH278)</f>
        <v/>
      </c>
      <c r="BY278" s="191">
        <f>MAX(0,BK278-AI278)</f>
        <v/>
      </c>
      <c r="BZ278" s="191">
        <f>MAX(0,BL278-AJ278)</f>
        <v/>
      </c>
      <c r="CA278" s="191">
        <f>MAX(0,BM278-AK278)</f>
        <v/>
      </c>
      <c r="CB278" s="192">
        <f>MAX(0,BN278-AL278)</f>
        <v/>
      </c>
    </row>
    <row r="279">
      <c r="A279" s="64" t="inlineStr">
        <is>
          <t>04908058013339</t>
        </is>
      </c>
      <c r="B279" s="57" t="inlineStr">
        <is>
          <t>RISOTOLANDIA SERVICOS DE ALIMENTACAO LTD</t>
        </is>
      </c>
      <c r="C279" s="57" t="inlineStr">
        <is>
          <t>SEM GRUPO</t>
        </is>
      </c>
      <c r="D279" s="61" t="inlineStr">
        <is>
          <t>HEMANUELE DITZEL (MANU)</t>
        </is>
      </c>
      <c r="E279" s="30" t="inlineStr">
        <is>
          <t>.</t>
        </is>
      </c>
      <c r="F279" s="63" t="inlineStr"/>
      <c r="G279" s="179" t="inlineStr"/>
      <c r="H279" s="57" t="inlineStr"/>
      <c r="I279" s="57" t="inlineStr"/>
      <c r="J279" s="61" t="inlineStr"/>
      <c r="K279" s="30" t="inlineStr">
        <is>
          <t>.</t>
        </is>
      </c>
      <c r="L279" s="180" t="n">
        <v>3762.76</v>
      </c>
      <c r="M279" s="181" t="n">
        <v>264.42</v>
      </c>
      <c r="N279" s="181" t="n">
        <v>276.31</v>
      </c>
      <c r="O279" s="181" t="n">
        <v>282.97</v>
      </c>
      <c r="P279" s="181" t="n">
        <v>290.34</v>
      </c>
      <c r="Q279" s="181" t="n">
        <v>299.85</v>
      </c>
      <c r="R279" s="181" t="n">
        <v>307.7</v>
      </c>
      <c r="S279" s="181" t="n">
        <v>319.59</v>
      </c>
      <c r="T279" s="181" t="n">
        <v>327.43</v>
      </c>
      <c r="U279" s="181" t="n">
        <v>334.81</v>
      </c>
      <c r="V279" s="181" t="n">
        <v>343.13</v>
      </c>
      <c r="W279" s="181" t="n">
        <v>352.16</v>
      </c>
      <c r="X279" s="182" t="n">
        <v>364.05</v>
      </c>
      <c r="Y279" s="183" t="inlineStr">
        <is>
          <t>.</t>
        </is>
      </c>
      <c r="Z279" s="184">
        <f>SUM(AA279:AL279)</f>
        <v/>
      </c>
      <c r="AA279" s="185" t="n">
        <v>0</v>
      </c>
      <c r="AB279" s="185" t="n">
        <v>1673.8</v>
      </c>
      <c r="AC279" s="185" t="n">
        <v>0</v>
      </c>
      <c r="AD279" s="185" t="n">
        <v>590.38</v>
      </c>
      <c r="AE279" s="185" t="n">
        <v>0</v>
      </c>
      <c r="AF279" s="185" t="n">
        <v>0</v>
      </c>
      <c r="AG279" s="185" t="n">
        <v>0</v>
      </c>
      <c r="AH279" s="185" t="n">
        <v>182.32</v>
      </c>
      <c r="AI279" s="185" t="n">
        <v>0</v>
      </c>
      <c r="AJ279" s="185" t="n">
        <v>0</v>
      </c>
      <c r="AK279" s="185" t="n">
        <v>0</v>
      </c>
      <c r="AL279" s="186" t="n">
        <v>0</v>
      </c>
      <c r="AM279" s="30" t="inlineStr">
        <is>
          <t>.</t>
        </is>
      </c>
      <c r="AN279" s="187">
        <f>IF(L279=0,0,Z279/L279)</f>
        <v/>
      </c>
      <c r="AO279" s="57">
        <f>IF(AN279&gt;=1,"🟢",IF(AN279&gt;=0.7,"🟡",IF(AN279&gt;=0.4,"🟠","🔴")))</f>
        <v/>
      </c>
      <c r="AP279" s="185">
        <f>L279-Z279</f>
        <v/>
      </c>
      <c r="AQ279" s="55">
        <f>RANK(Z279,$Z$4:$Z$503,0)</f>
        <v/>
      </c>
      <c r="AR279" s="39" t="inlineStr">
        <is>
          <t>.</t>
        </is>
      </c>
      <c r="AS279" s="27" t="n"/>
      <c r="AT279" s="27" t="n"/>
      <c r="AU279" s="27" t="n"/>
      <c r="AV279" s="27" t="n"/>
      <c r="AW279" s="27" t="n"/>
      <c r="AX279" s="27" t="n"/>
      <c r="AY279" s="204" t="n"/>
      <c r="AZ279" s="204" t="n"/>
      <c r="BA279" s="38" t="inlineStr">
        <is>
          <t>.</t>
        </is>
      </c>
      <c r="BB279" s="190">
        <f>SUM(BC279:BN279)</f>
        <v/>
      </c>
      <c r="BC279" s="191">
        <f>L279*0.0702730030</f>
        <v/>
      </c>
      <c r="BD279" s="191">
        <f>L279*0.0734327604</f>
        <v/>
      </c>
      <c r="BE279" s="191">
        <f>L279*0.0752022245</f>
        <v/>
      </c>
      <c r="BF279" s="191">
        <f>L279*0.0771612740</f>
        <v/>
      </c>
      <c r="BG279" s="191">
        <f>L279*0.0796890799</f>
        <v/>
      </c>
      <c r="BH279" s="191">
        <f>L279*0.0817745197</f>
        <v/>
      </c>
      <c r="BI279" s="191">
        <f>L279*0.0849342770</f>
        <v/>
      </c>
      <c r="BJ279" s="191">
        <f>L279*0.0870197169</f>
        <v/>
      </c>
      <c r="BK279" s="191">
        <f>L279*0.0889787664</f>
        <v/>
      </c>
      <c r="BL279" s="191">
        <f>L279*0.0911905966</f>
        <v/>
      </c>
      <c r="BM279" s="191">
        <f>L279*0.0935920121</f>
        <v/>
      </c>
      <c r="BN279" s="192">
        <f>L279*0.0967517695</f>
        <v/>
      </c>
      <c r="BO279" s="36" t="inlineStr">
        <is>
          <t>.</t>
        </is>
      </c>
      <c r="BP279" s="193">
        <f>SUM(BQ279:CB279)</f>
        <v/>
      </c>
      <c r="BQ279" s="191">
        <f>MAX(0,BC279-AA279)</f>
        <v/>
      </c>
      <c r="BR279" s="191">
        <f>MAX(0,BD279-AB279)</f>
        <v/>
      </c>
      <c r="BS279" s="191">
        <f>MAX(0,BE279-AC279)</f>
        <v/>
      </c>
      <c r="BT279" s="191">
        <f>MAX(0,BF279-AD279)</f>
        <v/>
      </c>
      <c r="BU279" s="191">
        <f>MAX(0,BG279-AE279)</f>
        <v/>
      </c>
      <c r="BV279" s="191">
        <f>MAX(0,BH279-AF279)</f>
        <v/>
      </c>
      <c r="BW279" s="191">
        <f>MAX(0,BI279-AG279)</f>
        <v/>
      </c>
      <c r="BX279" s="191">
        <f>MAX(0,BJ279-AH279)</f>
        <v/>
      </c>
      <c r="BY279" s="191">
        <f>MAX(0,BK279-AI279)</f>
        <v/>
      </c>
      <c r="BZ279" s="191">
        <f>MAX(0,BL279-AJ279)</f>
        <v/>
      </c>
      <c r="CA279" s="191">
        <f>MAX(0,BM279-AK279)</f>
        <v/>
      </c>
      <c r="CB279" s="192">
        <f>MAX(0,BN279-AL279)</f>
        <v/>
      </c>
    </row>
    <row r="280">
      <c r="A280" s="64" t="inlineStr">
        <is>
          <t>59458633000190</t>
        </is>
      </c>
      <c r="B280" s="57" t="inlineStr">
        <is>
          <t>DSC POWERFIT LTDA</t>
        </is>
      </c>
      <c r="C280" s="57" t="inlineStr">
        <is>
          <t>FITLAND</t>
        </is>
      </c>
      <c r="D280" s="61" t="inlineStr">
        <is>
          <t>JULIO GADRET</t>
        </is>
      </c>
      <c r="E280" s="30" t="inlineStr">
        <is>
          <t>.</t>
        </is>
      </c>
      <c r="F280" s="63" t="n">
        <v>89</v>
      </c>
      <c r="G280" s="179" t="n">
        <v>0.298</v>
      </c>
      <c r="H280" s="57" t="inlineStr">
        <is>
          <t>🔴 VERMELHO</t>
        </is>
      </c>
      <c r="I280" s="57" t="inlineStr">
        <is>
          <t>POSITIVAÇÃO</t>
        </is>
      </c>
      <c r="J280" s="61" t="inlineStr">
        <is>
          <t>Aumentar frequência + Expandir base</t>
        </is>
      </c>
      <c r="K280" s="30" t="inlineStr">
        <is>
          <t>.</t>
        </is>
      </c>
      <c r="L280" s="180" t="n">
        <v>3760.570000000001</v>
      </c>
      <c r="M280" s="181" t="n">
        <v>264.27</v>
      </c>
      <c r="N280" s="181" t="n">
        <v>276.15</v>
      </c>
      <c r="O280" s="181" t="n">
        <v>282.8</v>
      </c>
      <c r="P280" s="181" t="n">
        <v>290.17</v>
      </c>
      <c r="Q280" s="181" t="n">
        <v>299.68</v>
      </c>
      <c r="R280" s="181" t="n">
        <v>307.52</v>
      </c>
      <c r="S280" s="181" t="n">
        <v>319.4</v>
      </c>
      <c r="T280" s="181" t="n">
        <v>327.24</v>
      </c>
      <c r="U280" s="181" t="n">
        <v>334.61</v>
      </c>
      <c r="V280" s="181" t="n">
        <v>342.93</v>
      </c>
      <c r="W280" s="181" t="n">
        <v>351.96</v>
      </c>
      <c r="X280" s="182" t="n">
        <v>363.84</v>
      </c>
      <c r="Y280" s="183" t="inlineStr">
        <is>
          <t>.</t>
        </is>
      </c>
      <c r="Z280" s="184">
        <f>SUM(AA280:AL280)</f>
        <v/>
      </c>
      <c r="AA280" s="185" t="n">
        <v>0</v>
      </c>
      <c r="AB280" s="185" t="n">
        <v>0</v>
      </c>
      <c r="AC280" s="185" t="n">
        <v>0</v>
      </c>
      <c r="AD280" s="185" t="n">
        <v>0</v>
      </c>
      <c r="AE280" s="185" t="n">
        <v>0</v>
      </c>
      <c r="AF280" s="185" t="n">
        <v>0</v>
      </c>
      <c r="AG280" s="185" t="n">
        <v>0</v>
      </c>
      <c r="AH280" s="185" t="n">
        <v>0</v>
      </c>
      <c r="AI280" s="185" t="n">
        <v>0</v>
      </c>
      <c r="AJ280" s="185" t="n">
        <v>0</v>
      </c>
      <c r="AK280" s="185" t="n">
        <v>2005.97</v>
      </c>
      <c r="AL280" s="186" t="n">
        <v>0</v>
      </c>
      <c r="AM280" s="30" t="inlineStr">
        <is>
          <t>.</t>
        </is>
      </c>
      <c r="AN280" s="187">
        <f>IF(L280=0,0,Z280/L280)</f>
        <v/>
      </c>
      <c r="AO280" s="57">
        <f>IF(AN280&gt;=1,"🟢",IF(AN280&gt;=0.7,"🟡",IF(AN280&gt;=0.4,"🟠","🔴")))</f>
        <v/>
      </c>
      <c r="AP280" s="185">
        <f>L280-Z280</f>
        <v/>
      </c>
      <c r="AQ280" s="55">
        <f>RANK(Z280,$Z$4:$Z$503,0)</f>
        <v/>
      </c>
      <c r="AR280" s="39" t="inlineStr">
        <is>
          <t>.</t>
        </is>
      </c>
      <c r="AS280" s="27" t="n"/>
      <c r="AT280" s="27" t="n"/>
      <c r="AU280" s="27" t="n"/>
      <c r="AV280" s="27" t="n"/>
      <c r="AW280" s="27" t="n"/>
      <c r="AX280" s="27" t="n"/>
      <c r="AY280" s="204" t="n"/>
      <c r="AZ280" s="204" t="n"/>
      <c r="BA280" s="38" t="inlineStr">
        <is>
          <t>.</t>
        </is>
      </c>
      <c r="BB280" s="190">
        <f>SUM(BC280:BN280)</f>
        <v/>
      </c>
      <c r="BC280" s="191">
        <f>L280*0.0702730030</f>
        <v/>
      </c>
      <c r="BD280" s="191">
        <f>L280*0.0734327604</f>
        <v/>
      </c>
      <c r="BE280" s="191">
        <f>L280*0.0752022245</f>
        <v/>
      </c>
      <c r="BF280" s="191">
        <f>L280*0.0771612740</f>
        <v/>
      </c>
      <c r="BG280" s="191">
        <f>L280*0.0796890799</f>
        <v/>
      </c>
      <c r="BH280" s="191">
        <f>L280*0.0817745197</f>
        <v/>
      </c>
      <c r="BI280" s="191">
        <f>L280*0.0849342770</f>
        <v/>
      </c>
      <c r="BJ280" s="191">
        <f>L280*0.0870197169</f>
        <v/>
      </c>
      <c r="BK280" s="191">
        <f>L280*0.0889787664</f>
        <v/>
      </c>
      <c r="BL280" s="191">
        <f>L280*0.0911905966</f>
        <v/>
      </c>
      <c r="BM280" s="191">
        <f>L280*0.0935920121</f>
        <v/>
      </c>
      <c r="BN280" s="192">
        <f>L280*0.0967517695</f>
        <v/>
      </c>
      <c r="BO280" s="36" t="inlineStr">
        <is>
          <t>.</t>
        </is>
      </c>
      <c r="BP280" s="193">
        <f>SUM(BQ280:CB280)</f>
        <v/>
      </c>
      <c r="BQ280" s="191">
        <f>MAX(0,BC280-AA280)</f>
        <v/>
      </c>
      <c r="BR280" s="191">
        <f>MAX(0,BD280-AB280)</f>
        <v/>
      </c>
      <c r="BS280" s="191">
        <f>MAX(0,BE280-AC280)</f>
        <v/>
      </c>
      <c r="BT280" s="191">
        <f>MAX(0,BF280-AD280)</f>
        <v/>
      </c>
      <c r="BU280" s="191">
        <f>MAX(0,BG280-AE280)</f>
        <v/>
      </c>
      <c r="BV280" s="191">
        <f>MAX(0,BH280-AF280)</f>
        <v/>
      </c>
      <c r="BW280" s="191">
        <f>MAX(0,BI280-AG280)</f>
        <v/>
      </c>
      <c r="BX280" s="191">
        <f>MAX(0,BJ280-AH280)</f>
        <v/>
      </c>
      <c r="BY280" s="191">
        <f>MAX(0,BK280-AI280)</f>
        <v/>
      </c>
      <c r="BZ280" s="191">
        <f>MAX(0,BL280-AJ280)</f>
        <v/>
      </c>
      <c r="CA280" s="191">
        <f>MAX(0,BM280-AK280)</f>
        <v/>
      </c>
      <c r="CB280" s="192">
        <f>MAX(0,BN280-AL280)</f>
        <v/>
      </c>
    </row>
    <row r="281">
      <c r="A281" s="64" t="inlineStr">
        <is>
          <t>54126104000176</t>
        </is>
      </c>
      <c r="B281" s="57" t="inlineStr">
        <is>
          <t>BIO GOIANIA SHOPPING LTDA - ME</t>
        </is>
      </c>
      <c r="C281" s="57" t="inlineStr">
        <is>
          <t>BIO MUNDO</t>
        </is>
      </c>
      <c r="D281" s="61" t="inlineStr">
        <is>
          <t>DAIANE STAVICKI</t>
        </is>
      </c>
      <c r="E281" s="30" t="inlineStr">
        <is>
          <t>.</t>
        </is>
      </c>
      <c r="F281" s="63" t="n">
        <v>167</v>
      </c>
      <c r="G281" s="179" t="n">
        <v>0.014</v>
      </c>
      <c r="H281" s="57" t="inlineStr">
        <is>
          <t>🔴 VERMELHO</t>
        </is>
      </c>
      <c r="I281" s="57" t="inlineStr">
        <is>
          <t>ATIVAÇÃO</t>
        </is>
      </c>
      <c r="J281" s="61" t="inlineStr">
        <is>
          <t>Reativar inativos + Prospectar</t>
        </is>
      </c>
      <c r="K281" s="30" t="inlineStr">
        <is>
          <t>.</t>
        </is>
      </c>
      <c r="L281" s="180" t="n">
        <v>3742.22</v>
      </c>
      <c r="M281" s="181" t="n">
        <v>262.98</v>
      </c>
      <c r="N281" s="181" t="n">
        <v>274.8</v>
      </c>
      <c r="O281" s="181" t="n">
        <v>281.42</v>
      </c>
      <c r="P281" s="181" t="n">
        <v>288.75</v>
      </c>
      <c r="Q281" s="181" t="n">
        <v>298.21</v>
      </c>
      <c r="R281" s="181" t="n">
        <v>306.02</v>
      </c>
      <c r="S281" s="181" t="n">
        <v>317.84</v>
      </c>
      <c r="T281" s="181" t="n">
        <v>325.65</v>
      </c>
      <c r="U281" s="181" t="n">
        <v>332.98</v>
      </c>
      <c r="V281" s="181" t="n">
        <v>341.26</v>
      </c>
      <c r="W281" s="181" t="n">
        <v>350.24</v>
      </c>
      <c r="X281" s="182" t="n">
        <v>362.07</v>
      </c>
      <c r="Y281" s="183" t="inlineStr">
        <is>
          <t>.</t>
        </is>
      </c>
      <c r="Z281" s="184">
        <f>SUM(AA281:AL281)</f>
        <v/>
      </c>
      <c r="AA281" s="185" t="n">
        <v>0</v>
      </c>
      <c r="AB281" s="185" t="n">
        <v>0</v>
      </c>
      <c r="AC281" s="185" t="n">
        <v>0</v>
      </c>
      <c r="AD281" s="185" t="n">
        <v>1326.89</v>
      </c>
      <c r="AE281" s="185" t="n">
        <v>0</v>
      </c>
      <c r="AF281" s="185" t="n">
        <v>0</v>
      </c>
      <c r="AG281" s="185" t="n">
        <v>0</v>
      </c>
      <c r="AH281" s="185" t="n">
        <v>0</v>
      </c>
      <c r="AI281" s="185" t="n">
        <v>0</v>
      </c>
      <c r="AJ281" s="185" t="n">
        <v>0</v>
      </c>
      <c r="AK281" s="185" t="n">
        <v>0</v>
      </c>
      <c r="AL281" s="186" t="n">
        <v>0</v>
      </c>
      <c r="AM281" s="30" t="inlineStr">
        <is>
          <t>.</t>
        </is>
      </c>
      <c r="AN281" s="187">
        <f>IF(L281=0,0,Z281/L281)</f>
        <v/>
      </c>
      <c r="AO281" s="57">
        <f>IF(AN281&gt;=1,"🟢",IF(AN281&gt;=0.7,"🟡",IF(AN281&gt;=0.4,"🟠","🔴")))</f>
        <v/>
      </c>
      <c r="AP281" s="185">
        <f>L281-Z281</f>
        <v/>
      </c>
      <c r="AQ281" s="55">
        <f>RANK(Z281,$Z$4:$Z$503,0)</f>
        <v/>
      </c>
      <c r="AR281" s="39" t="inlineStr">
        <is>
          <t>.</t>
        </is>
      </c>
      <c r="AS281" s="27" t="n"/>
      <c r="AT281" s="27" t="n"/>
      <c r="AU281" s="27" t="n"/>
      <c r="AV281" s="27" t="n"/>
      <c r="AW281" s="27" t="n"/>
      <c r="AX281" s="27" t="n"/>
      <c r="AY281" s="204" t="n"/>
      <c r="AZ281" s="204" t="n"/>
      <c r="BA281" s="38" t="inlineStr">
        <is>
          <t>.</t>
        </is>
      </c>
      <c r="BB281" s="190">
        <f>SUM(BC281:BN281)</f>
        <v/>
      </c>
      <c r="BC281" s="191">
        <f>L281*0.0702730030</f>
        <v/>
      </c>
      <c r="BD281" s="191">
        <f>L281*0.0734327604</f>
        <v/>
      </c>
      <c r="BE281" s="191">
        <f>L281*0.0752022245</f>
        <v/>
      </c>
      <c r="BF281" s="191">
        <f>L281*0.0771612740</f>
        <v/>
      </c>
      <c r="BG281" s="191">
        <f>L281*0.0796890799</f>
        <v/>
      </c>
      <c r="BH281" s="191">
        <f>L281*0.0817745197</f>
        <v/>
      </c>
      <c r="BI281" s="191">
        <f>L281*0.0849342770</f>
        <v/>
      </c>
      <c r="BJ281" s="191">
        <f>L281*0.0870197169</f>
        <v/>
      </c>
      <c r="BK281" s="191">
        <f>L281*0.0889787664</f>
        <v/>
      </c>
      <c r="BL281" s="191">
        <f>L281*0.0911905966</f>
        <v/>
      </c>
      <c r="BM281" s="191">
        <f>L281*0.0935920121</f>
        <v/>
      </c>
      <c r="BN281" s="192">
        <f>L281*0.0967517695</f>
        <v/>
      </c>
      <c r="BO281" s="36" t="inlineStr">
        <is>
          <t>.</t>
        </is>
      </c>
      <c r="BP281" s="193">
        <f>SUM(BQ281:CB281)</f>
        <v/>
      </c>
      <c r="BQ281" s="191">
        <f>MAX(0,BC281-AA281)</f>
        <v/>
      </c>
      <c r="BR281" s="191">
        <f>MAX(0,BD281-AB281)</f>
        <v/>
      </c>
      <c r="BS281" s="191">
        <f>MAX(0,BE281-AC281)</f>
        <v/>
      </c>
      <c r="BT281" s="191">
        <f>MAX(0,BF281-AD281)</f>
        <v/>
      </c>
      <c r="BU281" s="191">
        <f>MAX(0,BG281-AE281)</f>
        <v/>
      </c>
      <c r="BV281" s="191">
        <f>MAX(0,BH281-AF281)</f>
        <v/>
      </c>
      <c r="BW281" s="191">
        <f>MAX(0,BI281-AG281)</f>
        <v/>
      </c>
      <c r="BX281" s="191">
        <f>MAX(0,BJ281-AH281)</f>
        <v/>
      </c>
      <c r="BY281" s="191">
        <f>MAX(0,BK281-AI281)</f>
        <v/>
      </c>
      <c r="BZ281" s="191">
        <f>MAX(0,BL281-AJ281)</f>
        <v/>
      </c>
      <c r="CA281" s="191">
        <f>MAX(0,BM281-AK281)</f>
        <v/>
      </c>
      <c r="CB281" s="192">
        <f>MAX(0,BN281-AL281)</f>
        <v/>
      </c>
    </row>
    <row r="282">
      <c r="A282" s="64" t="inlineStr">
        <is>
          <t>62106171000157</t>
        </is>
      </c>
      <c r="B282" s="57" t="inlineStr">
        <is>
          <t>C.CORREA LTDA</t>
        </is>
      </c>
      <c r="C282" s="57" t="inlineStr">
        <is>
          <t>VIDA LEVE</t>
        </is>
      </c>
      <c r="D282" s="61" t="inlineStr">
        <is>
          <t>DAIANE STAVICKI</t>
        </is>
      </c>
      <c r="E282" s="30" t="inlineStr">
        <is>
          <t>.</t>
        </is>
      </c>
      <c r="F282" s="63" t="n">
        <v>81</v>
      </c>
      <c r="G282" s="179" t="n">
        <v>0.08</v>
      </c>
      <c r="H282" s="57" t="inlineStr">
        <is>
          <t>🔴 VERMELHO</t>
        </is>
      </c>
      <c r="I282" s="57" t="inlineStr">
        <is>
          <t>ATIVAÇÃO</t>
        </is>
      </c>
      <c r="J282" s="61" t="inlineStr">
        <is>
          <t>Reativar inativos + Prospectar</t>
        </is>
      </c>
      <c r="K282" s="30" t="inlineStr">
        <is>
          <t>.</t>
        </is>
      </c>
      <c r="L282" s="180" t="n">
        <v>3729.95</v>
      </c>
      <c r="M282" s="181" t="n">
        <v>262.11</v>
      </c>
      <c r="N282" s="181" t="n">
        <v>273.9</v>
      </c>
      <c r="O282" s="181" t="n">
        <v>280.5</v>
      </c>
      <c r="P282" s="181" t="n">
        <v>287.81</v>
      </c>
      <c r="Q282" s="181" t="n">
        <v>297.24</v>
      </c>
      <c r="R282" s="181" t="n">
        <v>305.01</v>
      </c>
      <c r="S282" s="181" t="n">
        <v>316.8</v>
      </c>
      <c r="T282" s="181" t="n">
        <v>324.58</v>
      </c>
      <c r="U282" s="181" t="n">
        <v>331.89</v>
      </c>
      <c r="V282" s="181" t="n">
        <v>340.14</v>
      </c>
      <c r="W282" s="181" t="n">
        <v>349.09</v>
      </c>
      <c r="X282" s="182" t="n">
        <v>360.88</v>
      </c>
      <c r="Y282" s="183" t="inlineStr">
        <is>
          <t>.</t>
        </is>
      </c>
      <c r="Z282" s="184">
        <f>SUM(AA282:AL282)</f>
        <v/>
      </c>
      <c r="AA282" s="185" t="n">
        <v>0</v>
      </c>
      <c r="AB282" s="185" t="n">
        <v>0</v>
      </c>
      <c r="AC282" s="185" t="n">
        <v>0</v>
      </c>
      <c r="AD282" s="185" t="n">
        <v>0</v>
      </c>
      <c r="AE282" s="185" t="n">
        <v>0</v>
      </c>
      <c r="AF282" s="185" t="n">
        <v>0</v>
      </c>
      <c r="AG282" s="185" t="n">
        <v>0</v>
      </c>
      <c r="AH282" s="185" t="n">
        <v>0</v>
      </c>
      <c r="AI282" s="185" t="n">
        <v>0</v>
      </c>
      <c r="AJ282" s="185" t="n">
        <v>2121.82</v>
      </c>
      <c r="AK282" s="185" t="n">
        <v>0</v>
      </c>
      <c r="AL282" s="186" t="n">
        <v>0</v>
      </c>
      <c r="AM282" s="30" t="inlineStr">
        <is>
          <t>.</t>
        </is>
      </c>
      <c r="AN282" s="187">
        <f>IF(L282=0,0,Z282/L282)</f>
        <v/>
      </c>
      <c r="AO282" s="57">
        <f>IF(AN282&gt;=1,"🟢",IF(AN282&gt;=0.7,"🟡",IF(AN282&gt;=0.4,"🟠","🔴")))</f>
        <v/>
      </c>
      <c r="AP282" s="185">
        <f>L282-Z282</f>
        <v/>
      </c>
      <c r="AQ282" s="55">
        <f>RANK(Z282,$Z$4:$Z$503,0)</f>
        <v/>
      </c>
      <c r="AR282" s="39" t="inlineStr">
        <is>
          <t>.</t>
        </is>
      </c>
      <c r="AS282" s="27" t="n"/>
      <c r="AT282" s="27" t="n"/>
      <c r="AU282" s="27" t="n"/>
      <c r="AV282" s="27" t="n"/>
      <c r="AW282" s="27" t="n"/>
      <c r="AX282" s="27" t="n"/>
      <c r="AY282" s="204" t="n"/>
      <c r="AZ282" s="204" t="n"/>
      <c r="BA282" s="38" t="inlineStr">
        <is>
          <t>.</t>
        </is>
      </c>
      <c r="BB282" s="190">
        <f>SUM(BC282:BN282)</f>
        <v/>
      </c>
      <c r="BC282" s="191">
        <f>L282*0.0702730030</f>
        <v/>
      </c>
      <c r="BD282" s="191">
        <f>L282*0.0734327604</f>
        <v/>
      </c>
      <c r="BE282" s="191">
        <f>L282*0.0752022245</f>
        <v/>
      </c>
      <c r="BF282" s="191">
        <f>L282*0.0771612740</f>
        <v/>
      </c>
      <c r="BG282" s="191">
        <f>L282*0.0796890799</f>
        <v/>
      </c>
      <c r="BH282" s="191">
        <f>L282*0.0817745197</f>
        <v/>
      </c>
      <c r="BI282" s="191">
        <f>L282*0.0849342770</f>
        <v/>
      </c>
      <c r="BJ282" s="191">
        <f>L282*0.0870197169</f>
        <v/>
      </c>
      <c r="BK282" s="191">
        <f>L282*0.0889787664</f>
        <v/>
      </c>
      <c r="BL282" s="191">
        <f>L282*0.0911905966</f>
        <v/>
      </c>
      <c r="BM282" s="191">
        <f>L282*0.0935920121</f>
        <v/>
      </c>
      <c r="BN282" s="192">
        <f>L282*0.0967517695</f>
        <v/>
      </c>
      <c r="BO282" s="36" t="inlineStr">
        <is>
          <t>.</t>
        </is>
      </c>
      <c r="BP282" s="193">
        <f>SUM(BQ282:CB282)</f>
        <v/>
      </c>
      <c r="BQ282" s="191">
        <f>MAX(0,BC282-AA282)</f>
        <v/>
      </c>
      <c r="BR282" s="191">
        <f>MAX(0,BD282-AB282)</f>
        <v/>
      </c>
      <c r="BS282" s="191">
        <f>MAX(0,BE282-AC282)</f>
        <v/>
      </c>
      <c r="BT282" s="191">
        <f>MAX(0,BF282-AD282)</f>
        <v/>
      </c>
      <c r="BU282" s="191">
        <f>MAX(0,BG282-AE282)</f>
        <v/>
      </c>
      <c r="BV282" s="191">
        <f>MAX(0,BH282-AF282)</f>
        <v/>
      </c>
      <c r="BW282" s="191">
        <f>MAX(0,BI282-AG282)</f>
        <v/>
      </c>
      <c r="BX282" s="191">
        <f>MAX(0,BJ282-AH282)</f>
        <v/>
      </c>
      <c r="BY282" s="191">
        <f>MAX(0,BK282-AI282)</f>
        <v/>
      </c>
      <c r="BZ282" s="191">
        <f>MAX(0,BL282-AJ282)</f>
        <v/>
      </c>
      <c r="CA282" s="191">
        <f>MAX(0,BM282-AK282)</f>
        <v/>
      </c>
      <c r="CB282" s="192">
        <f>MAX(0,BN282-AL282)</f>
        <v/>
      </c>
    </row>
    <row r="283">
      <c r="A283" s="64" t="inlineStr">
        <is>
          <t>61791187000183</t>
        </is>
      </c>
      <c r="B283" s="57" t="inlineStr">
        <is>
          <t>VIDA NATURAL COMERCIO DE PRODUTOS ALIMEN</t>
        </is>
      </c>
      <c r="C283" s="57" t="inlineStr">
        <is>
          <t>VIDA LEVE</t>
        </is>
      </c>
      <c r="D283" s="61" t="inlineStr">
        <is>
          <t>DAIANE STAVICKI</t>
        </is>
      </c>
      <c r="E283" s="30" t="inlineStr">
        <is>
          <t>.</t>
        </is>
      </c>
      <c r="F283" s="63" t="n">
        <v>81</v>
      </c>
      <c r="G283" s="179" t="n">
        <v>0.08</v>
      </c>
      <c r="H283" s="57" t="inlineStr">
        <is>
          <t>🔴 VERMELHO</t>
        </is>
      </c>
      <c r="I283" s="57" t="inlineStr">
        <is>
          <t>ATIVAÇÃO</t>
        </is>
      </c>
      <c r="J283" s="61" t="inlineStr">
        <is>
          <t>Reativar inativos + Prospectar</t>
        </is>
      </c>
      <c r="K283" s="30" t="inlineStr">
        <is>
          <t>.</t>
        </is>
      </c>
      <c r="L283" s="180" t="n">
        <v>3729.95</v>
      </c>
      <c r="M283" s="181" t="n">
        <v>262.11</v>
      </c>
      <c r="N283" s="181" t="n">
        <v>273.9</v>
      </c>
      <c r="O283" s="181" t="n">
        <v>280.5</v>
      </c>
      <c r="P283" s="181" t="n">
        <v>287.81</v>
      </c>
      <c r="Q283" s="181" t="n">
        <v>297.24</v>
      </c>
      <c r="R283" s="181" t="n">
        <v>305.01</v>
      </c>
      <c r="S283" s="181" t="n">
        <v>316.8</v>
      </c>
      <c r="T283" s="181" t="n">
        <v>324.58</v>
      </c>
      <c r="U283" s="181" t="n">
        <v>331.89</v>
      </c>
      <c r="V283" s="181" t="n">
        <v>340.14</v>
      </c>
      <c r="W283" s="181" t="n">
        <v>349.09</v>
      </c>
      <c r="X283" s="182" t="n">
        <v>360.88</v>
      </c>
      <c r="Y283" s="183" t="inlineStr">
        <is>
          <t>.</t>
        </is>
      </c>
      <c r="Z283" s="184">
        <f>SUM(AA283:AL283)</f>
        <v/>
      </c>
      <c r="AA283" s="185" t="n">
        <v>0</v>
      </c>
      <c r="AB283" s="185" t="n">
        <v>0</v>
      </c>
      <c r="AC283" s="185" t="n">
        <v>0</v>
      </c>
      <c r="AD283" s="185" t="n">
        <v>0</v>
      </c>
      <c r="AE283" s="185" t="n">
        <v>0</v>
      </c>
      <c r="AF283" s="185" t="n">
        <v>0</v>
      </c>
      <c r="AG283" s="185" t="n">
        <v>0</v>
      </c>
      <c r="AH283" s="185" t="n">
        <v>0</v>
      </c>
      <c r="AI283" s="185" t="n">
        <v>0</v>
      </c>
      <c r="AJ283" s="185" t="n">
        <v>2121.82</v>
      </c>
      <c r="AK283" s="185" t="n">
        <v>0</v>
      </c>
      <c r="AL283" s="186" t="n">
        <v>0</v>
      </c>
      <c r="AM283" s="30" t="inlineStr">
        <is>
          <t>.</t>
        </is>
      </c>
      <c r="AN283" s="187">
        <f>IF(L283=0,0,Z283/L283)</f>
        <v/>
      </c>
      <c r="AO283" s="57">
        <f>IF(AN283&gt;=1,"🟢",IF(AN283&gt;=0.7,"🟡",IF(AN283&gt;=0.4,"🟠","🔴")))</f>
        <v/>
      </c>
      <c r="AP283" s="185">
        <f>L283-Z283</f>
        <v/>
      </c>
      <c r="AQ283" s="55">
        <f>RANK(Z283,$Z$4:$Z$503,0)</f>
        <v/>
      </c>
      <c r="AR283" s="39" t="inlineStr">
        <is>
          <t>.</t>
        </is>
      </c>
      <c r="AS283" s="27" t="n"/>
      <c r="AT283" s="27" t="n"/>
      <c r="AU283" s="27" t="n"/>
      <c r="AV283" s="27" t="n"/>
      <c r="AW283" s="27" t="n"/>
      <c r="AX283" s="27" t="n"/>
      <c r="AY283" s="204" t="n"/>
      <c r="AZ283" s="204" t="n"/>
      <c r="BA283" s="38" t="inlineStr">
        <is>
          <t>.</t>
        </is>
      </c>
      <c r="BB283" s="190">
        <f>SUM(BC283:BN283)</f>
        <v/>
      </c>
      <c r="BC283" s="191">
        <f>L283*0.0702730030</f>
        <v/>
      </c>
      <c r="BD283" s="191">
        <f>L283*0.0734327604</f>
        <v/>
      </c>
      <c r="BE283" s="191">
        <f>L283*0.0752022245</f>
        <v/>
      </c>
      <c r="BF283" s="191">
        <f>L283*0.0771612740</f>
        <v/>
      </c>
      <c r="BG283" s="191">
        <f>L283*0.0796890799</f>
        <v/>
      </c>
      <c r="BH283" s="191">
        <f>L283*0.0817745197</f>
        <v/>
      </c>
      <c r="BI283" s="191">
        <f>L283*0.0849342770</f>
        <v/>
      </c>
      <c r="BJ283" s="191">
        <f>L283*0.0870197169</f>
        <v/>
      </c>
      <c r="BK283" s="191">
        <f>L283*0.0889787664</f>
        <v/>
      </c>
      <c r="BL283" s="191">
        <f>L283*0.0911905966</f>
        <v/>
      </c>
      <c r="BM283" s="191">
        <f>L283*0.0935920121</f>
        <v/>
      </c>
      <c r="BN283" s="192">
        <f>L283*0.0967517695</f>
        <v/>
      </c>
      <c r="BO283" s="36" t="inlineStr">
        <is>
          <t>.</t>
        </is>
      </c>
      <c r="BP283" s="193">
        <f>SUM(BQ283:CB283)</f>
        <v/>
      </c>
      <c r="BQ283" s="191">
        <f>MAX(0,BC283-AA283)</f>
        <v/>
      </c>
      <c r="BR283" s="191">
        <f>MAX(0,BD283-AB283)</f>
        <v/>
      </c>
      <c r="BS283" s="191">
        <f>MAX(0,BE283-AC283)</f>
        <v/>
      </c>
      <c r="BT283" s="191">
        <f>MAX(0,BF283-AD283)</f>
        <v/>
      </c>
      <c r="BU283" s="191">
        <f>MAX(0,BG283-AE283)</f>
        <v/>
      </c>
      <c r="BV283" s="191">
        <f>MAX(0,BH283-AF283)</f>
        <v/>
      </c>
      <c r="BW283" s="191">
        <f>MAX(0,BI283-AG283)</f>
        <v/>
      </c>
      <c r="BX283" s="191">
        <f>MAX(0,BJ283-AH283)</f>
        <v/>
      </c>
      <c r="BY283" s="191">
        <f>MAX(0,BK283-AI283)</f>
        <v/>
      </c>
      <c r="BZ283" s="191">
        <f>MAX(0,BL283-AJ283)</f>
        <v/>
      </c>
      <c r="CA283" s="191">
        <f>MAX(0,BM283-AK283)</f>
        <v/>
      </c>
      <c r="CB283" s="192">
        <f>MAX(0,BN283-AL283)</f>
        <v/>
      </c>
    </row>
    <row r="284">
      <c r="A284" s="64" t="inlineStr">
        <is>
          <t>62004109000154</t>
        </is>
      </c>
      <c r="B284" s="57" t="inlineStr">
        <is>
          <t>P M DA SILVA ROSA PRODUTOS NATURAIS LTDA</t>
        </is>
      </c>
      <c r="C284" s="57" t="inlineStr">
        <is>
          <t>VIDA LEVE</t>
        </is>
      </c>
      <c r="D284" s="61" t="inlineStr">
        <is>
          <t>DAIANE STAVICKI</t>
        </is>
      </c>
      <c r="E284" s="30" t="inlineStr">
        <is>
          <t>.</t>
        </is>
      </c>
      <c r="F284" s="63" t="n">
        <v>81</v>
      </c>
      <c r="G284" s="179" t="n">
        <v>0.08</v>
      </c>
      <c r="H284" s="57" t="inlineStr">
        <is>
          <t>🔴 VERMELHO</t>
        </is>
      </c>
      <c r="I284" s="57" t="inlineStr">
        <is>
          <t>ATIVAÇÃO</t>
        </is>
      </c>
      <c r="J284" s="61" t="inlineStr">
        <is>
          <t>Reativar inativos + Prospectar</t>
        </is>
      </c>
      <c r="K284" s="30" t="inlineStr">
        <is>
          <t>.</t>
        </is>
      </c>
      <c r="L284" s="180" t="n">
        <v>3729.95</v>
      </c>
      <c r="M284" s="181" t="n">
        <v>262.11</v>
      </c>
      <c r="N284" s="181" t="n">
        <v>273.9</v>
      </c>
      <c r="O284" s="181" t="n">
        <v>280.5</v>
      </c>
      <c r="P284" s="181" t="n">
        <v>287.81</v>
      </c>
      <c r="Q284" s="181" t="n">
        <v>297.24</v>
      </c>
      <c r="R284" s="181" t="n">
        <v>305.01</v>
      </c>
      <c r="S284" s="181" t="n">
        <v>316.8</v>
      </c>
      <c r="T284" s="181" t="n">
        <v>324.58</v>
      </c>
      <c r="U284" s="181" t="n">
        <v>331.89</v>
      </c>
      <c r="V284" s="181" t="n">
        <v>340.14</v>
      </c>
      <c r="W284" s="181" t="n">
        <v>349.09</v>
      </c>
      <c r="X284" s="182" t="n">
        <v>360.88</v>
      </c>
      <c r="Y284" s="183" t="inlineStr">
        <is>
          <t>.</t>
        </is>
      </c>
      <c r="Z284" s="184">
        <f>SUM(AA284:AL284)</f>
        <v/>
      </c>
      <c r="AA284" s="185" t="n">
        <v>0</v>
      </c>
      <c r="AB284" s="185" t="n">
        <v>0</v>
      </c>
      <c r="AC284" s="185" t="n">
        <v>0</v>
      </c>
      <c r="AD284" s="185" t="n">
        <v>0</v>
      </c>
      <c r="AE284" s="185" t="n">
        <v>0</v>
      </c>
      <c r="AF284" s="185" t="n">
        <v>0</v>
      </c>
      <c r="AG284" s="185" t="n">
        <v>0</v>
      </c>
      <c r="AH284" s="185" t="n">
        <v>0</v>
      </c>
      <c r="AI284" s="185" t="n">
        <v>0</v>
      </c>
      <c r="AJ284" s="185" t="n">
        <v>2121.82</v>
      </c>
      <c r="AK284" s="185" t="n">
        <v>0</v>
      </c>
      <c r="AL284" s="186" t="n">
        <v>0</v>
      </c>
      <c r="AM284" s="30" t="inlineStr">
        <is>
          <t>.</t>
        </is>
      </c>
      <c r="AN284" s="187">
        <f>IF(L284=0,0,Z284/L284)</f>
        <v/>
      </c>
      <c r="AO284" s="57">
        <f>IF(AN284&gt;=1,"🟢",IF(AN284&gt;=0.7,"🟡",IF(AN284&gt;=0.4,"🟠","🔴")))</f>
        <v/>
      </c>
      <c r="AP284" s="185">
        <f>L284-Z284</f>
        <v/>
      </c>
      <c r="AQ284" s="55">
        <f>RANK(Z284,$Z$4:$Z$503,0)</f>
        <v/>
      </c>
      <c r="AR284" s="39" t="inlineStr">
        <is>
          <t>.</t>
        </is>
      </c>
      <c r="AS284" s="27" t="n"/>
      <c r="AT284" s="27" t="n"/>
      <c r="AU284" s="27" t="n"/>
      <c r="AV284" s="27" t="n"/>
      <c r="AW284" s="27" t="n"/>
      <c r="AX284" s="27" t="n"/>
      <c r="AY284" s="204" t="n"/>
      <c r="AZ284" s="204" t="n"/>
      <c r="BA284" s="38" t="inlineStr">
        <is>
          <t>.</t>
        </is>
      </c>
      <c r="BB284" s="190">
        <f>SUM(BC284:BN284)</f>
        <v/>
      </c>
      <c r="BC284" s="191">
        <f>L284*0.0702730030</f>
        <v/>
      </c>
      <c r="BD284" s="191">
        <f>L284*0.0734327604</f>
        <v/>
      </c>
      <c r="BE284" s="191">
        <f>L284*0.0752022245</f>
        <v/>
      </c>
      <c r="BF284" s="191">
        <f>L284*0.0771612740</f>
        <v/>
      </c>
      <c r="BG284" s="191">
        <f>L284*0.0796890799</f>
        <v/>
      </c>
      <c r="BH284" s="191">
        <f>L284*0.0817745197</f>
        <v/>
      </c>
      <c r="BI284" s="191">
        <f>L284*0.0849342770</f>
        <v/>
      </c>
      <c r="BJ284" s="191">
        <f>L284*0.0870197169</f>
        <v/>
      </c>
      <c r="BK284" s="191">
        <f>L284*0.0889787664</f>
        <v/>
      </c>
      <c r="BL284" s="191">
        <f>L284*0.0911905966</f>
        <v/>
      </c>
      <c r="BM284" s="191">
        <f>L284*0.0935920121</f>
        <v/>
      </c>
      <c r="BN284" s="192">
        <f>L284*0.0967517695</f>
        <v/>
      </c>
      <c r="BO284" s="36" t="inlineStr">
        <is>
          <t>.</t>
        </is>
      </c>
      <c r="BP284" s="193">
        <f>SUM(BQ284:CB284)</f>
        <v/>
      </c>
      <c r="BQ284" s="191">
        <f>MAX(0,BC284-AA284)</f>
        <v/>
      </c>
      <c r="BR284" s="191">
        <f>MAX(0,BD284-AB284)</f>
        <v/>
      </c>
      <c r="BS284" s="191">
        <f>MAX(0,BE284-AC284)</f>
        <v/>
      </c>
      <c r="BT284" s="191">
        <f>MAX(0,BF284-AD284)</f>
        <v/>
      </c>
      <c r="BU284" s="191">
        <f>MAX(0,BG284-AE284)</f>
        <v/>
      </c>
      <c r="BV284" s="191">
        <f>MAX(0,BH284-AF284)</f>
        <v/>
      </c>
      <c r="BW284" s="191">
        <f>MAX(0,BI284-AG284)</f>
        <v/>
      </c>
      <c r="BX284" s="191">
        <f>MAX(0,BJ284-AH284)</f>
        <v/>
      </c>
      <c r="BY284" s="191">
        <f>MAX(0,BK284-AI284)</f>
        <v/>
      </c>
      <c r="BZ284" s="191">
        <f>MAX(0,BL284-AJ284)</f>
        <v/>
      </c>
      <c r="CA284" s="191">
        <f>MAX(0,BM284-AK284)</f>
        <v/>
      </c>
      <c r="CB284" s="192">
        <f>MAX(0,BN284-AL284)</f>
        <v/>
      </c>
    </row>
    <row r="285">
      <c r="A285" s="64" t="inlineStr">
        <is>
          <t>61228119000100</t>
        </is>
      </c>
      <c r="B285" s="57" t="inlineStr">
        <is>
          <t>M GRASSI LTDA - ME</t>
        </is>
      </c>
      <c r="C285" s="57" t="inlineStr">
        <is>
          <t>VIDA LEVE</t>
        </is>
      </c>
      <c r="D285" s="61" t="inlineStr">
        <is>
          <t>DAIANE STAVICKI</t>
        </is>
      </c>
      <c r="E285" s="30" t="inlineStr">
        <is>
          <t>.</t>
        </is>
      </c>
      <c r="F285" s="63" t="n">
        <v>81</v>
      </c>
      <c r="G285" s="179" t="n">
        <v>0.08</v>
      </c>
      <c r="H285" s="57" t="inlineStr">
        <is>
          <t>🔴 VERMELHO</t>
        </is>
      </c>
      <c r="I285" s="57" t="inlineStr">
        <is>
          <t>ATIVAÇÃO</t>
        </is>
      </c>
      <c r="J285" s="61" t="inlineStr">
        <is>
          <t>Reativar inativos + Prospectar</t>
        </is>
      </c>
      <c r="K285" s="30" t="inlineStr">
        <is>
          <t>.</t>
        </is>
      </c>
      <c r="L285" s="180" t="n">
        <v>3729.95</v>
      </c>
      <c r="M285" s="181" t="n">
        <v>262.11</v>
      </c>
      <c r="N285" s="181" t="n">
        <v>273.9</v>
      </c>
      <c r="O285" s="181" t="n">
        <v>280.5</v>
      </c>
      <c r="P285" s="181" t="n">
        <v>287.81</v>
      </c>
      <c r="Q285" s="181" t="n">
        <v>297.24</v>
      </c>
      <c r="R285" s="181" t="n">
        <v>305.01</v>
      </c>
      <c r="S285" s="181" t="n">
        <v>316.8</v>
      </c>
      <c r="T285" s="181" t="n">
        <v>324.58</v>
      </c>
      <c r="U285" s="181" t="n">
        <v>331.89</v>
      </c>
      <c r="V285" s="181" t="n">
        <v>340.14</v>
      </c>
      <c r="W285" s="181" t="n">
        <v>349.09</v>
      </c>
      <c r="X285" s="182" t="n">
        <v>360.88</v>
      </c>
      <c r="Y285" s="183" t="inlineStr">
        <is>
          <t>.</t>
        </is>
      </c>
      <c r="Z285" s="184">
        <f>SUM(AA285:AL285)</f>
        <v/>
      </c>
      <c r="AA285" s="185" t="n">
        <v>0</v>
      </c>
      <c r="AB285" s="185" t="n">
        <v>0</v>
      </c>
      <c r="AC285" s="185" t="n">
        <v>0</v>
      </c>
      <c r="AD285" s="185" t="n">
        <v>0</v>
      </c>
      <c r="AE285" s="185" t="n">
        <v>0</v>
      </c>
      <c r="AF285" s="185" t="n">
        <v>0</v>
      </c>
      <c r="AG285" s="185" t="n">
        <v>0</v>
      </c>
      <c r="AH285" s="185" t="n">
        <v>0</v>
      </c>
      <c r="AI285" s="185" t="n">
        <v>1689.54</v>
      </c>
      <c r="AJ285" s="185" t="n">
        <v>0</v>
      </c>
      <c r="AK285" s="185" t="n">
        <v>0</v>
      </c>
      <c r="AL285" s="186" t="n">
        <v>0</v>
      </c>
      <c r="AM285" s="222" t="n">
        <v>2018.5</v>
      </c>
      <c r="AN285" s="187">
        <f>IF(L285=0,0,Z285/L285)</f>
        <v/>
      </c>
      <c r="AO285" s="57">
        <f>IF(AN285&gt;=1,"🟢",IF(AN285&gt;=0.7,"🟡",IF(AN285&gt;=0.4,"🟠","🔴")))</f>
        <v/>
      </c>
      <c r="AP285" s="185">
        <f>L285-Z285</f>
        <v/>
      </c>
      <c r="AQ285" s="55">
        <f>RANK(Z285,$Z$4:$Z$503,0)</f>
        <v/>
      </c>
      <c r="AR285" s="39" t="inlineStr">
        <is>
          <t>.</t>
        </is>
      </c>
      <c r="AS285" s="27" t="n"/>
      <c r="AT285" s="27" t="n"/>
      <c r="AU285" s="27" t="n"/>
      <c r="AV285" s="27" t="n"/>
      <c r="AW285" s="27" t="n"/>
      <c r="AX285" s="27" t="n"/>
      <c r="AY285" s="204" t="n"/>
      <c r="AZ285" s="204" t="n"/>
      <c r="BA285" s="38" t="inlineStr">
        <is>
          <t>.</t>
        </is>
      </c>
      <c r="BB285" s="190">
        <f>SUM(BC285:BN285)</f>
        <v/>
      </c>
      <c r="BC285" s="191">
        <f>L285*0.0702730030</f>
        <v/>
      </c>
      <c r="BD285" s="191">
        <f>L285*0.0734327604</f>
        <v/>
      </c>
      <c r="BE285" s="191">
        <f>L285*0.0752022245</f>
        <v/>
      </c>
      <c r="BF285" s="191">
        <f>L285*0.0771612740</f>
        <v/>
      </c>
      <c r="BG285" s="191">
        <f>L285*0.0796890799</f>
        <v/>
      </c>
      <c r="BH285" s="191">
        <f>L285*0.0817745197</f>
        <v/>
      </c>
      <c r="BI285" s="191">
        <f>L285*0.0849342770</f>
        <v/>
      </c>
      <c r="BJ285" s="191">
        <f>L285*0.0870197169</f>
        <v/>
      </c>
      <c r="BK285" s="191">
        <f>L285*0.0889787664</f>
        <v/>
      </c>
      <c r="BL285" s="191">
        <f>L285*0.0911905966</f>
        <v/>
      </c>
      <c r="BM285" s="191">
        <f>L285*0.0935920121</f>
        <v/>
      </c>
      <c r="BN285" s="192">
        <f>L285*0.0967517695</f>
        <v/>
      </c>
      <c r="BO285" s="36" t="inlineStr">
        <is>
          <t>.</t>
        </is>
      </c>
      <c r="BP285" s="193">
        <f>SUM(BQ285:CB285)</f>
        <v/>
      </c>
      <c r="BQ285" s="191">
        <f>MAX(0,BC285-AA285)</f>
        <v/>
      </c>
      <c r="BR285" s="191">
        <f>MAX(0,BD285-AB285)</f>
        <v/>
      </c>
      <c r="BS285" s="191">
        <f>MAX(0,BE285-AC285)</f>
        <v/>
      </c>
      <c r="BT285" s="191">
        <f>MAX(0,BF285-AD285)</f>
        <v/>
      </c>
      <c r="BU285" s="191">
        <f>MAX(0,BG285-AE285)</f>
        <v/>
      </c>
      <c r="BV285" s="191">
        <f>MAX(0,BH285-AF285)</f>
        <v/>
      </c>
      <c r="BW285" s="191">
        <f>MAX(0,BI285-AG285)</f>
        <v/>
      </c>
      <c r="BX285" s="191">
        <f>MAX(0,BJ285-AH285)</f>
        <v/>
      </c>
      <c r="BY285" s="191">
        <f>MAX(0,BK285-AI285)</f>
        <v/>
      </c>
      <c r="BZ285" s="191">
        <f>MAX(0,BL285-AJ285)</f>
        <v/>
      </c>
      <c r="CA285" s="191">
        <f>MAX(0,BM285-AK285)</f>
        <v/>
      </c>
      <c r="CB285" s="192">
        <f>MAX(0,BN285-AL285)</f>
        <v/>
      </c>
    </row>
    <row r="286">
      <c r="A286" s="64" t="inlineStr">
        <is>
          <t>07750414000187</t>
        </is>
      </c>
      <c r="B286" s="57" t="inlineStr">
        <is>
          <t>VITALI ESPECIARIAS E EMBALAGENS LTDA - M</t>
        </is>
      </c>
      <c r="C286" s="57" t="inlineStr">
        <is>
          <t>SEM GRUPO</t>
        </is>
      </c>
      <c r="D286" s="61" t="inlineStr">
        <is>
          <t>HEMANUELE DITZEL (MANU)</t>
        </is>
      </c>
      <c r="E286" s="30" t="inlineStr">
        <is>
          <t>.</t>
        </is>
      </c>
      <c r="F286" s="63" t="inlineStr"/>
      <c r="G286" s="179" t="inlineStr"/>
      <c r="H286" s="57" t="inlineStr"/>
      <c r="I286" s="57" t="inlineStr"/>
      <c r="J286" s="61" t="inlineStr"/>
      <c r="K286" s="30" t="inlineStr">
        <is>
          <t>.</t>
        </is>
      </c>
      <c r="L286" s="180" t="n">
        <v>3726.62</v>
      </c>
      <c r="M286" s="181" t="n">
        <v>261.88</v>
      </c>
      <c r="N286" s="181" t="n">
        <v>273.66</v>
      </c>
      <c r="O286" s="181" t="n">
        <v>280.25</v>
      </c>
      <c r="P286" s="181" t="n">
        <v>287.55</v>
      </c>
      <c r="Q286" s="181" t="n">
        <v>296.97</v>
      </c>
      <c r="R286" s="181" t="n">
        <v>304.74</v>
      </c>
      <c r="S286" s="181" t="n">
        <v>316.52</v>
      </c>
      <c r="T286" s="181" t="n">
        <v>324.29</v>
      </c>
      <c r="U286" s="181" t="n">
        <v>331.59</v>
      </c>
      <c r="V286" s="181" t="n">
        <v>339.83</v>
      </c>
      <c r="W286" s="181" t="n">
        <v>348.78</v>
      </c>
      <c r="X286" s="182" t="n">
        <v>360.56</v>
      </c>
      <c r="Y286" s="183" t="inlineStr">
        <is>
          <t>.</t>
        </is>
      </c>
      <c r="Z286" s="184">
        <f>SUM(AA286:AL286)</f>
        <v/>
      </c>
      <c r="AA286" s="185" t="n">
        <v>0</v>
      </c>
      <c r="AB286" s="185" t="n">
        <v>0</v>
      </c>
      <c r="AC286" s="185" t="n">
        <v>0</v>
      </c>
      <c r="AD286" s="185" t="n">
        <v>1321.35</v>
      </c>
      <c r="AE286" s="185" t="n">
        <v>0</v>
      </c>
      <c r="AF286" s="185" t="n">
        <v>0</v>
      </c>
      <c r="AG286" s="185" t="n">
        <v>0</v>
      </c>
      <c r="AH286" s="185" t="n">
        <v>0</v>
      </c>
      <c r="AI286" s="185" t="n">
        <v>0</v>
      </c>
      <c r="AJ286" s="185" t="n">
        <v>0</v>
      </c>
      <c r="AK286" s="185" t="n">
        <v>0</v>
      </c>
      <c r="AL286" s="186" t="n">
        <v>0</v>
      </c>
      <c r="AM286" s="30" t="inlineStr">
        <is>
          <t>.</t>
        </is>
      </c>
      <c r="AN286" s="187">
        <f>IF(L286=0,0,Z286/L286)</f>
        <v/>
      </c>
      <c r="AO286" s="57">
        <f>IF(AN286&gt;=1,"🟢",IF(AN286&gt;=0.7,"🟡",IF(AN286&gt;=0.4,"🟠","🔴")))</f>
        <v/>
      </c>
      <c r="AP286" s="185">
        <f>L286-Z286</f>
        <v/>
      </c>
      <c r="AQ286" s="55">
        <f>RANK(Z286,$Z$4:$Z$503,0)</f>
        <v/>
      </c>
      <c r="AR286" s="39" t="inlineStr">
        <is>
          <t>.</t>
        </is>
      </c>
      <c r="AS286" s="27" t="n"/>
      <c r="AT286" s="27" t="n"/>
      <c r="AU286" s="27" t="n"/>
      <c r="AV286" s="27" t="n"/>
      <c r="AW286" s="27" t="n"/>
      <c r="AX286" s="27" t="n"/>
      <c r="AY286" s="204" t="n"/>
      <c r="AZ286" s="204" t="n"/>
      <c r="BA286" s="38" t="inlineStr">
        <is>
          <t>.</t>
        </is>
      </c>
      <c r="BB286" s="190">
        <f>SUM(BC286:BN286)</f>
        <v/>
      </c>
      <c r="BC286" s="191">
        <f>L286*0.0702730030</f>
        <v/>
      </c>
      <c r="BD286" s="191">
        <f>L286*0.0734327604</f>
        <v/>
      </c>
      <c r="BE286" s="191">
        <f>L286*0.0752022245</f>
        <v/>
      </c>
      <c r="BF286" s="191">
        <f>L286*0.0771612740</f>
        <v/>
      </c>
      <c r="BG286" s="191">
        <f>L286*0.0796890799</f>
        <v/>
      </c>
      <c r="BH286" s="191">
        <f>L286*0.0817745197</f>
        <v/>
      </c>
      <c r="BI286" s="191">
        <f>L286*0.0849342770</f>
        <v/>
      </c>
      <c r="BJ286" s="191">
        <f>L286*0.0870197169</f>
        <v/>
      </c>
      <c r="BK286" s="191">
        <f>L286*0.0889787664</f>
        <v/>
      </c>
      <c r="BL286" s="191">
        <f>L286*0.0911905966</f>
        <v/>
      </c>
      <c r="BM286" s="191">
        <f>L286*0.0935920121</f>
        <v/>
      </c>
      <c r="BN286" s="192">
        <f>L286*0.0967517695</f>
        <v/>
      </c>
      <c r="BO286" s="36" t="inlineStr">
        <is>
          <t>.</t>
        </is>
      </c>
      <c r="BP286" s="193">
        <f>SUM(BQ286:CB286)</f>
        <v/>
      </c>
      <c r="BQ286" s="191">
        <f>MAX(0,BC286-AA286)</f>
        <v/>
      </c>
      <c r="BR286" s="191">
        <f>MAX(0,BD286-AB286)</f>
        <v/>
      </c>
      <c r="BS286" s="191">
        <f>MAX(0,BE286-AC286)</f>
        <v/>
      </c>
      <c r="BT286" s="191">
        <f>MAX(0,BF286-AD286)</f>
        <v/>
      </c>
      <c r="BU286" s="191">
        <f>MAX(0,BG286-AE286)</f>
        <v/>
      </c>
      <c r="BV286" s="191">
        <f>MAX(0,BH286-AF286)</f>
        <v/>
      </c>
      <c r="BW286" s="191">
        <f>MAX(0,BI286-AG286)</f>
        <v/>
      </c>
      <c r="BX286" s="191">
        <f>MAX(0,BJ286-AH286)</f>
        <v/>
      </c>
      <c r="BY286" s="191">
        <f>MAX(0,BK286-AI286)</f>
        <v/>
      </c>
      <c r="BZ286" s="191">
        <f>MAX(0,BL286-AJ286)</f>
        <v/>
      </c>
      <c r="CA286" s="191">
        <f>MAX(0,BM286-AK286)</f>
        <v/>
      </c>
      <c r="CB286" s="192">
        <f>MAX(0,BN286-AL286)</f>
        <v/>
      </c>
    </row>
    <row r="287">
      <c r="A287" s="64" t="inlineStr">
        <is>
          <t>06202229000195</t>
        </is>
      </c>
      <c r="B287" s="57" t="inlineStr">
        <is>
          <t>EMPORIUM GRAOS E ESPECIARIAS LIMITADA -</t>
        </is>
      </c>
      <c r="C287" s="57" t="inlineStr">
        <is>
          <t>SEM GRUPO</t>
        </is>
      </c>
      <c r="D287" s="61" t="inlineStr">
        <is>
          <t>LARISSA PADILHA</t>
        </is>
      </c>
      <c r="E287" s="30" t="inlineStr">
        <is>
          <t>.</t>
        </is>
      </c>
      <c r="F287" s="63" t="inlineStr"/>
      <c r="G287" s="179" t="inlineStr"/>
      <c r="H287" s="57" t="inlineStr"/>
      <c r="I287" s="57" t="inlineStr"/>
      <c r="J287" s="61" t="inlineStr"/>
      <c r="K287" s="30" t="inlineStr">
        <is>
          <t>.</t>
        </is>
      </c>
      <c r="L287" s="180" t="n">
        <v>3695.52</v>
      </c>
      <c r="M287" s="181" t="n">
        <v>259.7</v>
      </c>
      <c r="N287" s="181" t="n">
        <v>271.37</v>
      </c>
      <c r="O287" s="181" t="n">
        <v>277.91</v>
      </c>
      <c r="P287" s="181" t="n">
        <v>285.15</v>
      </c>
      <c r="Q287" s="181" t="n">
        <v>294.49</v>
      </c>
      <c r="R287" s="181" t="n">
        <v>302.2</v>
      </c>
      <c r="S287" s="181" t="n">
        <v>313.88</v>
      </c>
      <c r="T287" s="181" t="n">
        <v>321.58</v>
      </c>
      <c r="U287" s="181" t="n">
        <v>328.82</v>
      </c>
      <c r="V287" s="181" t="n">
        <v>337</v>
      </c>
      <c r="W287" s="181" t="n">
        <v>345.87</v>
      </c>
      <c r="X287" s="182" t="n">
        <v>357.55</v>
      </c>
      <c r="Y287" s="183" t="inlineStr">
        <is>
          <t>.</t>
        </is>
      </c>
      <c r="Z287" s="184">
        <f>SUM(AA287:AL287)</f>
        <v/>
      </c>
      <c r="AA287" s="185" t="n">
        <v>0</v>
      </c>
      <c r="AB287" s="185" t="n">
        <v>0</v>
      </c>
      <c r="AC287" s="185" t="n">
        <v>0</v>
      </c>
      <c r="AD287" s="185" t="n">
        <v>0</v>
      </c>
      <c r="AE287" s="185" t="n">
        <v>0</v>
      </c>
      <c r="AF287" s="185" t="n">
        <v>0</v>
      </c>
      <c r="AG287" s="185" t="n">
        <v>1874.43</v>
      </c>
      <c r="AH287" s="185" t="n">
        <v>0</v>
      </c>
      <c r="AI287" s="185" t="n">
        <v>0</v>
      </c>
      <c r="AJ287" s="185" t="n">
        <v>0</v>
      </c>
      <c r="AK287" s="185" t="n">
        <v>0</v>
      </c>
      <c r="AL287" s="186" t="n">
        <v>0</v>
      </c>
      <c r="AM287" s="30" t="inlineStr">
        <is>
          <t>.</t>
        </is>
      </c>
      <c r="AN287" s="187">
        <f>IF(L287=0,0,Z287/L287)</f>
        <v/>
      </c>
      <c r="AO287" s="57">
        <f>IF(AN287&gt;=1,"🟢",IF(AN287&gt;=0.7,"🟡",IF(AN287&gt;=0.4,"🟠","🔴")))</f>
        <v/>
      </c>
      <c r="AP287" s="185">
        <f>L287-Z287</f>
        <v/>
      </c>
      <c r="AQ287" s="55">
        <f>RANK(Z287,$Z$4:$Z$503,0)</f>
        <v/>
      </c>
      <c r="AR287" s="39" t="inlineStr">
        <is>
          <t>.</t>
        </is>
      </c>
      <c r="AS287" s="27" t="n"/>
      <c r="AT287" s="27" t="n"/>
      <c r="AU287" s="27" t="n"/>
      <c r="AV287" s="27" t="n"/>
      <c r="AW287" s="27" t="n"/>
      <c r="AX287" s="27" t="n"/>
      <c r="AY287" s="204" t="n"/>
      <c r="AZ287" s="204" t="n"/>
      <c r="BA287" s="38" t="inlineStr">
        <is>
          <t>.</t>
        </is>
      </c>
      <c r="BB287" s="190">
        <f>SUM(BC287:BN287)</f>
        <v/>
      </c>
      <c r="BC287" s="191">
        <f>L287*0.0702730030</f>
        <v/>
      </c>
      <c r="BD287" s="191">
        <f>L287*0.0734327604</f>
        <v/>
      </c>
      <c r="BE287" s="191">
        <f>L287*0.0752022245</f>
        <v/>
      </c>
      <c r="BF287" s="191">
        <f>L287*0.0771612740</f>
        <v/>
      </c>
      <c r="BG287" s="191">
        <f>L287*0.0796890799</f>
        <v/>
      </c>
      <c r="BH287" s="191">
        <f>L287*0.0817745197</f>
        <v/>
      </c>
      <c r="BI287" s="191">
        <f>L287*0.0849342770</f>
        <v/>
      </c>
      <c r="BJ287" s="191">
        <f>L287*0.0870197169</f>
        <v/>
      </c>
      <c r="BK287" s="191">
        <f>L287*0.0889787664</f>
        <v/>
      </c>
      <c r="BL287" s="191">
        <f>L287*0.0911905966</f>
        <v/>
      </c>
      <c r="BM287" s="191">
        <f>L287*0.0935920121</f>
        <v/>
      </c>
      <c r="BN287" s="192">
        <f>L287*0.0967517695</f>
        <v/>
      </c>
      <c r="BO287" s="36" t="inlineStr">
        <is>
          <t>.</t>
        </is>
      </c>
      <c r="BP287" s="193">
        <f>SUM(BQ287:CB287)</f>
        <v/>
      </c>
      <c r="BQ287" s="191">
        <f>MAX(0,BC287-AA287)</f>
        <v/>
      </c>
      <c r="BR287" s="191">
        <f>MAX(0,BD287-AB287)</f>
        <v/>
      </c>
      <c r="BS287" s="191">
        <f>MAX(0,BE287-AC287)</f>
        <v/>
      </c>
      <c r="BT287" s="191">
        <f>MAX(0,BF287-AD287)</f>
        <v/>
      </c>
      <c r="BU287" s="191">
        <f>MAX(0,BG287-AE287)</f>
        <v/>
      </c>
      <c r="BV287" s="191">
        <f>MAX(0,BH287-AF287)</f>
        <v/>
      </c>
      <c r="BW287" s="191">
        <f>MAX(0,BI287-AG287)</f>
        <v/>
      </c>
      <c r="BX287" s="191">
        <f>MAX(0,BJ287-AH287)</f>
        <v/>
      </c>
      <c r="BY287" s="191">
        <f>MAX(0,BK287-AI287)</f>
        <v/>
      </c>
      <c r="BZ287" s="191">
        <f>MAX(0,BL287-AJ287)</f>
        <v/>
      </c>
      <c r="CA287" s="191">
        <f>MAX(0,BM287-AK287)</f>
        <v/>
      </c>
      <c r="CB287" s="192">
        <f>MAX(0,BN287-AL287)</f>
        <v/>
      </c>
    </row>
    <row r="288">
      <c r="A288" s="64" t="inlineStr">
        <is>
          <t>33016679000166</t>
        </is>
      </c>
      <c r="B288" s="57" t="inlineStr">
        <is>
          <t>BIO FLAMBOYANT LTDA - ME</t>
        </is>
      </c>
      <c r="C288" s="57" t="inlineStr">
        <is>
          <t>SEM GRUPO</t>
        </is>
      </c>
      <c r="D288" s="61" t="inlineStr">
        <is>
          <t>LARISSA PADILHA</t>
        </is>
      </c>
      <c r="E288" s="30" t="inlineStr">
        <is>
          <t>.</t>
        </is>
      </c>
      <c r="F288" s="63" t="inlineStr"/>
      <c r="G288" s="179" t="inlineStr"/>
      <c r="H288" s="57" t="inlineStr"/>
      <c r="I288" s="57" t="inlineStr"/>
      <c r="J288" s="61" t="inlineStr"/>
      <c r="K288" s="30" t="inlineStr">
        <is>
          <t>.</t>
        </is>
      </c>
      <c r="L288" s="180" t="n">
        <v>3677.13</v>
      </c>
      <c r="M288" s="181" t="n">
        <v>258.4</v>
      </c>
      <c r="N288" s="181" t="n">
        <v>270.02</v>
      </c>
      <c r="O288" s="181" t="n">
        <v>276.53</v>
      </c>
      <c r="P288" s="181" t="n">
        <v>283.73</v>
      </c>
      <c r="Q288" s="181" t="n">
        <v>293.03</v>
      </c>
      <c r="R288" s="181" t="n">
        <v>300.7</v>
      </c>
      <c r="S288" s="181" t="n">
        <v>312.31</v>
      </c>
      <c r="T288" s="181" t="n">
        <v>319.98</v>
      </c>
      <c r="U288" s="181" t="n">
        <v>327.19</v>
      </c>
      <c r="V288" s="181" t="n">
        <v>335.32</v>
      </c>
      <c r="W288" s="181" t="n">
        <v>344.15</v>
      </c>
      <c r="X288" s="182" t="n">
        <v>355.77</v>
      </c>
      <c r="Y288" s="183" t="inlineStr">
        <is>
          <t>.</t>
        </is>
      </c>
      <c r="Z288" s="184">
        <f>SUM(AA288:AL288)</f>
        <v/>
      </c>
      <c r="AA288" s="185" t="n">
        <v>0</v>
      </c>
      <c r="AB288" s="185" t="n">
        <v>0</v>
      </c>
      <c r="AC288" s="185" t="n">
        <v>0</v>
      </c>
      <c r="AD288" s="185" t="n">
        <v>1303.81</v>
      </c>
      <c r="AE288" s="185" t="n">
        <v>0</v>
      </c>
      <c r="AF288" s="185" t="n">
        <v>0</v>
      </c>
      <c r="AG288" s="185" t="n">
        <v>0</v>
      </c>
      <c r="AH288" s="185" t="n">
        <v>0</v>
      </c>
      <c r="AI288" s="185" t="n">
        <v>0</v>
      </c>
      <c r="AJ288" s="185" t="n">
        <v>0</v>
      </c>
      <c r="AK288" s="185" t="n">
        <v>0</v>
      </c>
      <c r="AL288" s="186" t="n">
        <v>0</v>
      </c>
      <c r="AM288" s="30" t="inlineStr">
        <is>
          <t>.</t>
        </is>
      </c>
      <c r="AN288" s="187">
        <f>IF(L288=0,0,Z288/L288)</f>
        <v/>
      </c>
      <c r="AO288" s="57">
        <f>IF(AN288&gt;=1,"🟢",IF(AN288&gt;=0.7,"🟡",IF(AN288&gt;=0.4,"🟠","🔴")))</f>
        <v/>
      </c>
      <c r="AP288" s="185">
        <f>L288-Z288</f>
        <v/>
      </c>
      <c r="AQ288" s="55">
        <f>RANK(Z288,$Z$4:$Z$503,0)</f>
        <v/>
      </c>
      <c r="AR288" s="39" t="inlineStr">
        <is>
          <t>.</t>
        </is>
      </c>
      <c r="AS288" s="27" t="n"/>
      <c r="AT288" s="27" t="n"/>
      <c r="AU288" s="27" t="n"/>
      <c r="AV288" s="27" t="n"/>
      <c r="AW288" s="27" t="n"/>
      <c r="AX288" s="27" t="n"/>
      <c r="AY288" s="204" t="n"/>
      <c r="AZ288" s="204" t="n"/>
      <c r="BA288" s="38" t="inlineStr">
        <is>
          <t>.</t>
        </is>
      </c>
      <c r="BB288" s="190">
        <f>SUM(BC288:BN288)</f>
        <v/>
      </c>
      <c r="BC288" s="191">
        <f>L288*0.0702730030</f>
        <v/>
      </c>
      <c r="BD288" s="191">
        <f>L288*0.0734327604</f>
        <v/>
      </c>
      <c r="BE288" s="191">
        <f>L288*0.0752022245</f>
        <v/>
      </c>
      <c r="BF288" s="191">
        <f>L288*0.0771612740</f>
        <v/>
      </c>
      <c r="BG288" s="191">
        <f>L288*0.0796890799</f>
        <v/>
      </c>
      <c r="BH288" s="191">
        <f>L288*0.0817745197</f>
        <v/>
      </c>
      <c r="BI288" s="191">
        <f>L288*0.0849342770</f>
        <v/>
      </c>
      <c r="BJ288" s="191">
        <f>L288*0.0870197169</f>
        <v/>
      </c>
      <c r="BK288" s="191">
        <f>L288*0.0889787664</f>
        <v/>
      </c>
      <c r="BL288" s="191">
        <f>L288*0.0911905966</f>
        <v/>
      </c>
      <c r="BM288" s="191">
        <f>L288*0.0935920121</f>
        <v/>
      </c>
      <c r="BN288" s="192">
        <f>L288*0.0967517695</f>
        <v/>
      </c>
      <c r="BO288" s="36" t="inlineStr">
        <is>
          <t>.</t>
        </is>
      </c>
      <c r="BP288" s="193">
        <f>SUM(BQ288:CB288)</f>
        <v/>
      </c>
      <c r="BQ288" s="191">
        <f>MAX(0,BC288-AA288)</f>
        <v/>
      </c>
      <c r="BR288" s="191">
        <f>MAX(0,BD288-AB288)</f>
        <v/>
      </c>
      <c r="BS288" s="191">
        <f>MAX(0,BE288-AC288)</f>
        <v/>
      </c>
      <c r="BT288" s="191">
        <f>MAX(0,BF288-AD288)</f>
        <v/>
      </c>
      <c r="BU288" s="191">
        <f>MAX(0,BG288-AE288)</f>
        <v/>
      </c>
      <c r="BV288" s="191">
        <f>MAX(0,BH288-AF288)</f>
        <v/>
      </c>
      <c r="BW288" s="191">
        <f>MAX(0,BI288-AG288)</f>
        <v/>
      </c>
      <c r="BX288" s="191">
        <f>MAX(0,BJ288-AH288)</f>
        <v/>
      </c>
      <c r="BY288" s="191">
        <f>MAX(0,BK288-AI288)</f>
        <v/>
      </c>
      <c r="BZ288" s="191">
        <f>MAX(0,BL288-AJ288)</f>
        <v/>
      </c>
      <c r="CA288" s="191">
        <f>MAX(0,BM288-AK288)</f>
        <v/>
      </c>
      <c r="CB288" s="192">
        <f>MAX(0,BN288-AL288)</f>
        <v/>
      </c>
    </row>
    <row r="289">
      <c r="A289" s="64" t="inlineStr">
        <is>
          <t>08294051000185</t>
        </is>
      </c>
      <c r="B289" s="57" t="inlineStr">
        <is>
          <t>QUANTO BASTA COMERCIO DE ALIMENTOS LTDA</t>
        </is>
      </c>
      <c r="C289" s="57" t="inlineStr">
        <is>
          <t>SEM GRUPO</t>
        </is>
      </c>
      <c r="D289" s="61" t="inlineStr">
        <is>
          <t>HEMANUELE DITZEL (MANU)</t>
        </is>
      </c>
      <c r="E289" s="30" t="inlineStr">
        <is>
          <t>.</t>
        </is>
      </c>
      <c r="F289" s="63" t="inlineStr"/>
      <c r="G289" s="179" t="inlineStr"/>
      <c r="H289" s="57" t="inlineStr"/>
      <c r="I289" s="57" t="inlineStr"/>
      <c r="J289" s="61" t="inlineStr"/>
      <c r="K289" s="30" t="inlineStr">
        <is>
          <t>.</t>
        </is>
      </c>
      <c r="L289" s="180" t="n">
        <v>3651.41</v>
      </c>
      <c r="M289" s="181" t="n">
        <v>256.6</v>
      </c>
      <c r="N289" s="181" t="n">
        <v>268.13</v>
      </c>
      <c r="O289" s="181" t="n">
        <v>274.59</v>
      </c>
      <c r="P289" s="181" t="n">
        <v>281.75</v>
      </c>
      <c r="Q289" s="181" t="n">
        <v>290.98</v>
      </c>
      <c r="R289" s="181" t="n">
        <v>298.59</v>
      </c>
      <c r="S289" s="181" t="n">
        <v>310.13</v>
      </c>
      <c r="T289" s="181" t="n">
        <v>317.75</v>
      </c>
      <c r="U289" s="181" t="n">
        <v>324.9</v>
      </c>
      <c r="V289" s="181" t="n">
        <v>332.97</v>
      </c>
      <c r="W289" s="181" t="n">
        <v>341.74</v>
      </c>
      <c r="X289" s="182" t="n">
        <v>353.28</v>
      </c>
      <c r="Y289" s="183" t="inlineStr">
        <is>
          <t>.</t>
        </is>
      </c>
      <c r="Z289" s="184">
        <f>SUM(AA289:AL289)</f>
        <v/>
      </c>
      <c r="AA289" s="185" t="n">
        <v>0</v>
      </c>
      <c r="AB289" s="185" t="n">
        <v>0</v>
      </c>
      <c r="AC289" s="185" t="n">
        <v>0</v>
      </c>
      <c r="AD289" s="185" t="n">
        <v>0</v>
      </c>
      <c r="AE289" s="185" t="n">
        <v>0</v>
      </c>
      <c r="AF289" s="185" t="n">
        <v>0</v>
      </c>
      <c r="AG289" s="185" t="n">
        <v>0</v>
      </c>
      <c r="AH289" s="185" t="n">
        <v>0</v>
      </c>
      <c r="AI289" s="185" t="n">
        <v>0</v>
      </c>
      <c r="AJ289" s="185" t="n">
        <v>0</v>
      </c>
      <c r="AK289" s="185" t="n">
        <v>0</v>
      </c>
      <c r="AL289" s="186" t="n">
        <v>1609.29</v>
      </c>
      <c r="AM289" s="30" t="inlineStr">
        <is>
          <t>.</t>
        </is>
      </c>
      <c r="AN289" s="187">
        <f>IF(L289=0,0,Z289/L289)</f>
        <v/>
      </c>
      <c r="AO289" s="57">
        <f>IF(AN289&gt;=1,"🟢",IF(AN289&gt;=0.7,"🟡",IF(AN289&gt;=0.4,"🟠","🔴")))</f>
        <v/>
      </c>
      <c r="AP289" s="185">
        <f>L289-Z289</f>
        <v/>
      </c>
      <c r="AQ289" s="55">
        <f>RANK(Z289,$Z$4:$Z$503,0)</f>
        <v/>
      </c>
      <c r="AR289" s="39" t="inlineStr">
        <is>
          <t>.</t>
        </is>
      </c>
      <c r="AS289" s="27" t="n"/>
      <c r="AT289" s="27" t="n"/>
      <c r="AU289" s="27" t="n"/>
      <c r="AV289" s="27" t="n"/>
      <c r="AW289" s="27" t="n"/>
      <c r="AX289" s="27" t="n"/>
      <c r="AY289" s="204" t="n"/>
      <c r="AZ289" s="204" t="n"/>
      <c r="BA289" s="38" t="inlineStr">
        <is>
          <t>.</t>
        </is>
      </c>
      <c r="BB289" s="190">
        <f>SUM(BC289:BN289)</f>
        <v/>
      </c>
      <c r="BC289" s="191">
        <f>L289*0.0702730030</f>
        <v/>
      </c>
      <c r="BD289" s="191">
        <f>L289*0.0734327604</f>
        <v/>
      </c>
      <c r="BE289" s="191">
        <f>L289*0.0752022245</f>
        <v/>
      </c>
      <c r="BF289" s="191">
        <f>L289*0.0771612740</f>
        <v/>
      </c>
      <c r="BG289" s="191">
        <f>L289*0.0796890799</f>
        <v/>
      </c>
      <c r="BH289" s="191">
        <f>L289*0.0817745197</f>
        <v/>
      </c>
      <c r="BI289" s="191">
        <f>L289*0.0849342770</f>
        <v/>
      </c>
      <c r="BJ289" s="191">
        <f>L289*0.0870197169</f>
        <v/>
      </c>
      <c r="BK289" s="191">
        <f>L289*0.0889787664</f>
        <v/>
      </c>
      <c r="BL289" s="191">
        <f>L289*0.0911905966</f>
        <v/>
      </c>
      <c r="BM289" s="191">
        <f>L289*0.0935920121</f>
        <v/>
      </c>
      <c r="BN289" s="192">
        <f>L289*0.0967517695</f>
        <v/>
      </c>
      <c r="BO289" s="36" t="inlineStr">
        <is>
          <t>.</t>
        </is>
      </c>
      <c r="BP289" s="193">
        <f>SUM(BQ289:CB289)</f>
        <v/>
      </c>
      <c r="BQ289" s="191">
        <f>MAX(0,BC289-AA289)</f>
        <v/>
      </c>
      <c r="BR289" s="191">
        <f>MAX(0,BD289-AB289)</f>
        <v/>
      </c>
      <c r="BS289" s="191">
        <f>MAX(0,BE289-AC289)</f>
        <v/>
      </c>
      <c r="BT289" s="191">
        <f>MAX(0,BF289-AD289)</f>
        <v/>
      </c>
      <c r="BU289" s="191">
        <f>MAX(0,BG289-AE289)</f>
        <v/>
      </c>
      <c r="BV289" s="191">
        <f>MAX(0,BH289-AF289)</f>
        <v/>
      </c>
      <c r="BW289" s="191">
        <f>MAX(0,BI289-AG289)</f>
        <v/>
      </c>
      <c r="BX289" s="191">
        <f>MAX(0,BJ289-AH289)</f>
        <v/>
      </c>
      <c r="BY289" s="191">
        <f>MAX(0,BK289-AI289)</f>
        <v/>
      </c>
      <c r="BZ289" s="191">
        <f>MAX(0,BL289-AJ289)</f>
        <v/>
      </c>
      <c r="CA289" s="191">
        <f>MAX(0,BM289-AK289)</f>
        <v/>
      </c>
      <c r="CB289" s="192">
        <f>MAX(0,BN289-AL289)</f>
        <v/>
      </c>
    </row>
    <row r="290">
      <c r="A290" s="64" t="inlineStr">
        <is>
          <t>54943813000144</t>
        </is>
      </c>
      <c r="B290" s="57" t="inlineStr">
        <is>
          <t>F MATTOS DA SILVA - ME</t>
        </is>
      </c>
      <c r="C290" s="57" t="inlineStr">
        <is>
          <t>DIVINA TERRA</t>
        </is>
      </c>
      <c r="D290" s="61" t="inlineStr">
        <is>
          <t>DAIANE STAVICKI</t>
        </is>
      </c>
      <c r="E290" s="30" t="inlineStr">
        <is>
          <t>.</t>
        </is>
      </c>
      <c r="F290" s="63" t="n">
        <v>85</v>
      </c>
      <c r="G290" s="179" t="n">
        <v>0.1</v>
      </c>
      <c r="H290" s="57" t="inlineStr">
        <is>
          <t>🔴 VERMELHO</t>
        </is>
      </c>
      <c r="I290" s="57" t="inlineStr">
        <is>
          <t>POSITIVAÇÃO</t>
        </is>
      </c>
      <c r="J290" s="61" t="inlineStr">
        <is>
          <t>Aumentar frequência + Expandir base</t>
        </is>
      </c>
      <c r="K290" s="30" t="inlineStr">
        <is>
          <t>.</t>
        </is>
      </c>
      <c r="L290" s="180" t="n">
        <v>3611.579999999999</v>
      </c>
      <c r="M290" s="181" t="n">
        <v>253.8</v>
      </c>
      <c r="N290" s="181" t="n">
        <v>265.21</v>
      </c>
      <c r="O290" s="181" t="n">
        <v>271.6</v>
      </c>
      <c r="P290" s="181" t="n">
        <v>278.67</v>
      </c>
      <c r="Q290" s="181" t="n">
        <v>287.8</v>
      </c>
      <c r="R290" s="181" t="n">
        <v>295.34</v>
      </c>
      <c r="S290" s="181" t="n">
        <v>306.75</v>
      </c>
      <c r="T290" s="181" t="n">
        <v>314.28</v>
      </c>
      <c r="U290" s="181" t="n">
        <v>321.35</v>
      </c>
      <c r="V290" s="181" t="n">
        <v>329.34</v>
      </c>
      <c r="W290" s="181" t="n">
        <v>338.01</v>
      </c>
      <c r="X290" s="182" t="n">
        <v>349.43</v>
      </c>
      <c r="Y290" s="183" t="inlineStr">
        <is>
          <t>.</t>
        </is>
      </c>
      <c r="Z290" s="184">
        <f>SUM(AA290:AL290)</f>
        <v/>
      </c>
      <c r="AA290" s="185" t="n">
        <v>0</v>
      </c>
      <c r="AB290" s="185" t="n">
        <v>0</v>
      </c>
      <c r="AC290" s="185" t="n">
        <v>0</v>
      </c>
      <c r="AD290" s="185" t="n">
        <v>0</v>
      </c>
      <c r="AE290" s="185" t="n">
        <v>0</v>
      </c>
      <c r="AF290" s="185" t="n">
        <v>1450.33</v>
      </c>
      <c r="AG290" s="185" t="n">
        <v>0</v>
      </c>
      <c r="AH290" s="185" t="n">
        <v>0</v>
      </c>
      <c r="AI290" s="185" t="n">
        <v>0</v>
      </c>
      <c r="AJ290" s="185" t="n">
        <v>0</v>
      </c>
      <c r="AK290" s="185" t="n">
        <v>0</v>
      </c>
      <c r="AL290" s="186" t="n">
        <v>0</v>
      </c>
      <c r="AM290" s="30" t="inlineStr">
        <is>
          <t>.</t>
        </is>
      </c>
      <c r="AN290" s="187">
        <f>IF(L290=0,0,Z290/L290)</f>
        <v/>
      </c>
      <c r="AO290" s="57">
        <f>IF(AN290&gt;=1,"🟢",IF(AN290&gt;=0.7,"🟡",IF(AN290&gt;=0.4,"🟠","🔴")))</f>
        <v/>
      </c>
      <c r="AP290" s="185">
        <f>L290-Z290</f>
        <v/>
      </c>
      <c r="AQ290" s="55">
        <f>RANK(Z290,$Z$4:$Z$503,0)</f>
        <v/>
      </c>
      <c r="AR290" s="39" t="inlineStr">
        <is>
          <t>.</t>
        </is>
      </c>
      <c r="AS290" s="27" t="n"/>
      <c r="AT290" s="27" t="n"/>
      <c r="AU290" s="27" t="n"/>
      <c r="AV290" s="27" t="n"/>
      <c r="AW290" s="27" t="n"/>
      <c r="AX290" s="27" t="n"/>
      <c r="AY290" s="204" t="n"/>
      <c r="AZ290" s="204" t="n"/>
      <c r="BA290" s="38" t="inlineStr">
        <is>
          <t>.</t>
        </is>
      </c>
      <c r="BB290" s="190">
        <f>SUM(BC290:BN290)</f>
        <v/>
      </c>
      <c r="BC290" s="191">
        <f>L290*0.0702730030</f>
        <v/>
      </c>
      <c r="BD290" s="191">
        <f>L290*0.0734327604</f>
        <v/>
      </c>
      <c r="BE290" s="191">
        <f>L290*0.0752022245</f>
        <v/>
      </c>
      <c r="BF290" s="191">
        <f>L290*0.0771612740</f>
        <v/>
      </c>
      <c r="BG290" s="191">
        <f>L290*0.0796890799</f>
        <v/>
      </c>
      <c r="BH290" s="191">
        <f>L290*0.0817745197</f>
        <v/>
      </c>
      <c r="BI290" s="191">
        <f>L290*0.0849342770</f>
        <v/>
      </c>
      <c r="BJ290" s="191">
        <f>L290*0.0870197169</f>
        <v/>
      </c>
      <c r="BK290" s="191">
        <f>L290*0.0889787664</f>
        <v/>
      </c>
      <c r="BL290" s="191">
        <f>L290*0.0911905966</f>
        <v/>
      </c>
      <c r="BM290" s="191">
        <f>L290*0.0935920121</f>
        <v/>
      </c>
      <c r="BN290" s="192">
        <f>L290*0.0967517695</f>
        <v/>
      </c>
      <c r="BO290" s="36" t="inlineStr">
        <is>
          <t>.</t>
        </is>
      </c>
      <c r="BP290" s="193">
        <f>SUM(BQ290:CB290)</f>
        <v/>
      </c>
      <c r="BQ290" s="191">
        <f>MAX(0,BC290-AA290)</f>
        <v/>
      </c>
      <c r="BR290" s="191">
        <f>MAX(0,BD290-AB290)</f>
        <v/>
      </c>
      <c r="BS290" s="191">
        <f>MAX(0,BE290-AC290)</f>
        <v/>
      </c>
      <c r="BT290" s="191">
        <f>MAX(0,BF290-AD290)</f>
        <v/>
      </c>
      <c r="BU290" s="191">
        <f>MAX(0,BG290-AE290)</f>
        <v/>
      </c>
      <c r="BV290" s="191">
        <f>MAX(0,BH290-AF290)</f>
        <v/>
      </c>
      <c r="BW290" s="191">
        <f>MAX(0,BI290-AG290)</f>
        <v/>
      </c>
      <c r="BX290" s="191">
        <f>MAX(0,BJ290-AH290)</f>
        <v/>
      </c>
      <c r="BY290" s="191">
        <f>MAX(0,BK290-AI290)</f>
        <v/>
      </c>
      <c r="BZ290" s="191">
        <f>MAX(0,BL290-AJ290)</f>
        <v/>
      </c>
      <c r="CA290" s="191">
        <f>MAX(0,BM290-AK290)</f>
        <v/>
      </c>
      <c r="CB290" s="192">
        <f>MAX(0,BN290-AL290)</f>
        <v/>
      </c>
    </row>
    <row r="291">
      <c r="A291" s="64" t="inlineStr">
        <is>
          <t>58831467000163</t>
        </is>
      </c>
      <c r="B291" s="57" t="inlineStr">
        <is>
          <t>VILLAGGIO VERDE PRODUTOS NATURAIS LTDA -</t>
        </is>
      </c>
      <c r="C291" s="57" t="inlineStr">
        <is>
          <t>SEM GRUPO</t>
        </is>
      </c>
      <c r="D291" s="61" t="inlineStr">
        <is>
          <t>HEMANUELE DITZEL (MANU)</t>
        </is>
      </c>
      <c r="E291" s="30" t="inlineStr">
        <is>
          <t>.</t>
        </is>
      </c>
      <c r="F291" s="63" t="inlineStr"/>
      <c r="G291" s="179" t="inlineStr"/>
      <c r="H291" s="57" t="inlineStr"/>
      <c r="I291" s="57" t="inlineStr"/>
      <c r="J291" s="61" t="inlineStr"/>
      <c r="K291" s="30" t="inlineStr">
        <is>
          <t>.</t>
        </is>
      </c>
      <c r="L291" s="180" t="n">
        <v>3603.11</v>
      </c>
      <c r="M291" s="181" t="n">
        <v>253.2</v>
      </c>
      <c r="N291" s="181" t="n">
        <v>264.59</v>
      </c>
      <c r="O291" s="181" t="n">
        <v>270.96</v>
      </c>
      <c r="P291" s="181" t="n">
        <v>278.02</v>
      </c>
      <c r="Q291" s="181" t="n">
        <v>287.13</v>
      </c>
      <c r="R291" s="181" t="n">
        <v>294.64</v>
      </c>
      <c r="S291" s="181" t="n">
        <v>306.03</v>
      </c>
      <c r="T291" s="181" t="n">
        <v>313.54</v>
      </c>
      <c r="U291" s="181" t="n">
        <v>320.6</v>
      </c>
      <c r="V291" s="181" t="n">
        <v>328.57</v>
      </c>
      <c r="W291" s="181" t="n">
        <v>337.22</v>
      </c>
      <c r="X291" s="182" t="n">
        <v>348.61</v>
      </c>
      <c r="Y291" s="183" t="inlineStr">
        <is>
          <t>.</t>
        </is>
      </c>
      <c r="Z291" s="184">
        <f>SUM(AA291:AL291)</f>
        <v/>
      </c>
      <c r="AA291" s="185" t="n">
        <v>0</v>
      </c>
      <c r="AB291" s="185" t="n">
        <v>0</v>
      </c>
      <c r="AC291" s="185" t="n">
        <v>0</v>
      </c>
      <c r="AD291" s="185" t="n">
        <v>0</v>
      </c>
      <c r="AE291" s="185" t="n">
        <v>0</v>
      </c>
      <c r="AF291" s="185" t="n">
        <v>1446.93</v>
      </c>
      <c r="AG291" s="185" t="n">
        <v>0</v>
      </c>
      <c r="AH291" s="185" t="n">
        <v>0</v>
      </c>
      <c r="AI291" s="185" t="n">
        <v>0</v>
      </c>
      <c r="AJ291" s="185" t="n">
        <v>0</v>
      </c>
      <c r="AK291" s="185" t="n">
        <v>0</v>
      </c>
      <c r="AL291" s="186" t="n">
        <v>0</v>
      </c>
      <c r="AM291" s="30" t="inlineStr">
        <is>
          <t>.</t>
        </is>
      </c>
      <c r="AN291" s="187">
        <f>IF(L291=0,0,Z291/L291)</f>
        <v/>
      </c>
      <c r="AO291" s="57">
        <f>IF(AN291&gt;=1,"🟢",IF(AN291&gt;=0.7,"🟡",IF(AN291&gt;=0.4,"🟠","🔴")))</f>
        <v/>
      </c>
      <c r="AP291" s="185">
        <f>L291-Z291</f>
        <v/>
      </c>
      <c r="AQ291" s="55">
        <f>RANK(Z291,$Z$4:$Z$503,0)</f>
        <v/>
      </c>
      <c r="AR291" s="39" t="inlineStr">
        <is>
          <t>.</t>
        </is>
      </c>
      <c r="AS291" s="27" t="n"/>
      <c r="AT291" s="27" t="n"/>
      <c r="AU291" s="27" t="n"/>
      <c r="AV291" s="27" t="n"/>
      <c r="AW291" s="27" t="n"/>
      <c r="AX291" s="27" t="n"/>
      <c r="AY291" s="204" t="n"/>
      <c r="AZ291" s="204" t="n"/>
      <c r="BA291" s="38" t="inlineStr">
        <is>
          <t>.</t>
        </is>
      </c>
      <c r="BB291" s="190">
        <f>SUM(BC291:BN291)</f>
        <v/>
      </c>
      <c r="BC291" s="191">
        <f>L291*0.0702730030</f>
        <v/>
      </c>
      <c r="BD291" s="191">
        <f>L291*0.0734327604</f>
        <v/>
      </c>
      <c r="BE291" s="191">
        <f>L291*0.0752022245</f>
        <v/>
      </c>
      <c r="BF291" s="191">
        <f>L291*0.0771612740</f>
        <v/>
      </c>
      <c r="BG291" s="191">
        <f>L291*0.0796890799</f>
        <v/>
      </c>
      <c r="BH291" s="191">
        <f>L291*0.0817745197</f>
        <v/>
      </c>
      <c r="BI291" s="191">
        <f>L291*0.0849342770</f>
        <v/>
      </c>
      <c r="BJ291" s="191">
        <f>L291*0.0870197169</f>
        <v/>
      </c>
      <c r="BK291" s="191">
        <f>L291*0.0889787664</f>
        <v/>
      </c>
      <c r="BL291" s="191">
        <f>L291*0.0911905966</f>
        <v/>
      </c>
      <c r="BM291" s="191">
        <f>L291*0.0935920121</f>
        <v/>
      </c>
      <c r="BN291" s="192">
        <f>L291*0.0967517695</f>
        <v/>
      </c>
      <c r="BO291" s="36" t="inlineStr">
        <is>
          <t>.</t>
        </is>
      </c>
      <c r="BP291" s="193">
        <f>SUM(BQ291:CB291)</f>
        <v/>
      </c>
      <c r="BQ291" s="191">
        <f>MAX(0,BC291-AA291)</f>
        <v/>
      </c>
      <c r="BR291" s="191">
        <f>MAX(0,BD291-AB291)</f>
        <v/>
      </c>
      <c r="BS291" s="191">
        <f>MAX(0,BE291-AC291)</f>
        <v/>
      </c>
      <c r="BT291" s="191">
        <f>MAX(0,BF291-AD291)</f>
        <v/>
      </c>
      <c r="BU291" s="191">
        <f>MAX(0,BG291-AE291)</f>
        <v/>
      </c>
      <c r="BV291" s="191">
        <f>MAX(0,BH291-AF291)</f>
        <v/>
      </c>
      <c r="BW291" s="191">
        <f>MAX(0,BI291-AG291)</f>
        <v/>
      </c>
      <c r="BX291" s="191">
        <f>MAX(0,BJ291-AH291)</f>
        <v/>
      </c>
      <c r="BY291" s="191">
        <f>MAX(0,BK291-AI291)</f>
        <v/>
      </c>
      <c r="BZ291" s="191">
        <f>MAX(0,BL291-AJ291)</f>
        <v/>
      </c>
      <c r="CA291" s="191">
        <f>MAX(0,BM291-AK291)</f>
        <v/>
      </c>
      <c r="CB291" s="192">
        <f>MAX(0,BN291-AL291)</f>
        <v/>
      </c>
    </row>
    <row r="292">
      <c r="A292" s="64" t="inlineStr">
        <is>
          <t>52212261000179</t>
        </is>
      </c>
      <c r="B292" s="57" t="inlineStr">
        <is>
          <t>E. A. KASPEICHAKI LTDA - ME</t>
        </is>
      </c>
      <c r="C292" s="57" t="inlineStr">
        <is>
          <t>SEM GRUPO</t>
        </is>
      </c>
      <c r="D292" s="61" t="inlineStr">
        <is>
          <t>LARISSA PADILHA</t>
        </is>
      </c>
      <c r="E292" s="30" t="inlineStr">
        <is>
          <t>.</t>
        </is>
      </c>
      <c r="F292" s="63" t="inlineStr"/>
      <c r="G292" s="179" t="inlineStr"/>
      <c r="H292" s="57" t="inlineStr"/>
      <c r="I292" s="57" t="inlineStr"/>
      <c r="J292" s="61" t="inlineStr"/>
      <c r="K292" s="30" t="inlineStr">
        <is>
          <t>.</t>
        </is>
      </c>
      <c r="L292" s="180" t="n">
        <v>3551.03</v>
      </c>
      <c r="M292" s="181" t="n">
        <v>249.54</v>
      </c>
      <c r="N292" s="181" t="n">
        <v>260.76</v>
      </c>
      <c r="O292" s="181" t="n">
        <v>267.05</v>
      </c>
      <c r="P292" s="181" t="n">
        <v>274</v>
      </c>
      <c r="Q292" s="181" t="n">
        <v>282.98</v>
      </c>
      <c r="R292" s="181" t="n">
        <v>290.38</v>
      </c>
      <c r="S292" s="181" t="n">
        <v>301.6</v>
      </c>
      <c r="T292" s="181" t="n">
        <v>309.01</v>
      </c>
      <c r="U292" s="181" t="n">
        <v>315.97</v>
      </c>
      <c r="V292" s="181" t="n">
        <v>323.82</v>
      </c>
      <c r="W292" s="181" t="n">
        <v>332.35</v>
      </c>
      <c r="X292" s="182" t="n">
        <v>343.57</v>
      </c>
      <c r="Y292" s="183" t="inlineStr">
        <is>
          <t>.</t>
        </is>
      </c>
      <c r="Z292" s="184">
        <f>SUM(AA292:AL292)</f>
        <v/>
      </c>
      <c r="AA292" s="185" t="n">
        <v>0</v>
      </c>
      <c r="AB292" s="185" t="n">
        <v>0</v>
      </c>
      <c r="AC292" s="185" t="n">
        <v>0</v>
      </c>
      <c r="AD292" s="185" t="n">
        <v>0</v>
      </c>
      <c r="AE292" s="185" t="n">
        <v>1440.79</v>
      </c>
      <c r="AF292" s="185" t="n">
        <v>0</v>
      </c>
      <c r="AG292" s="185" t="n">
        <v>0</v>
      </c>
      <c r="AH292" s="185" t="n">
        <v>0</v>
      </c>
      <c r="AI292" s="185" t="n">
        <v>0</v>
      </c>
      <c r="AJ292" s="185" t="n">
        <v>0</v>
      </c>
      <c r="AK292" s="185" t="n">
        <v>0</v>
      </c>
      <c r="AL292" s="186" t="n">
        <v>0</v>
      </c>
      <c r="AM292" s="30" t="inlineStr">
        <is>
          <t>.</t>
        </is>
      </c>
      <c r="AN292" s="187">
        <f>IF(L292=0,0,Z292/L292)</f>
        <v/>
      </c>
      <c r="AO292" s="57">
        <f>IF(AN292&gt;=1,"🟢",IF(AN292&gt;=0.7,"🟡",IF(AN292&gt;=0.4,"🟠","🔴")))</f>
        <v/>
      </c>
      <c r="AP292" s="185">
        <f>L292-Z292</f>
        <v/>
      </c>
      <c r="AQ292" s="55">
        <f>RANK(Z292,$Z$4:$Z$503,0)</f>
        <v/>
      </c>
      <c r="AR292" s="39" t="inlineStr">
        <is>
          <t>.</t>
        </is>
      </c>
      <c r="AS292" s="27" t="n"/>
      <c r="AT292" s="27" t="n"/>
      <c r="AU292" s="27" t="n"/>
      <c r="AV292" s="27" t="n"/>
      <c r="AW292" s="27" t="n"/>
      <c r="AX292" s="27" t="n"/>
      <c r="AY292" s="204" t="n"/>
      <c r="AZ292" s="204" t="n"/>
      <c r="BA292" s="38" t="inlineStr">
        <is>
          <t>.</t>
        </is>
      </c>
      <c r="BB292" s="190">
        <f>SUM(BC292:BN292)</f>
        <v/>
      </c>
      <c r="BC292" s="191">
        <f>L292*0.0702730030</f>
        <v/>
      </c>
      <c r="BD292" s="191">
        <f>L292*0.0734327604</f>
        <v/>
      </c>
      <c r="BE292" s="191">
        <f>L292*0.0752022245</f>
        <v/>
      </c>
      <c r="BF292" s="191">
        <f>L292*0.0771612740</f>
        <v/>
      </c>
      <c r="BG292" s="191">
        <f>L292*0.0796890799</f>
        <v/>
      </c>
      <c r="BH292" s="191">
        <f>L292*0.0817745197</f>
        <v/>
      </c>
      <c r="BI292" s="191">
        <f>L292*0.0849342770</f>
        <v/>
      </c>
      <c r="BJ292" s="191">
        <f>L292*0.0870197169</f>
        <v/>
      </c>
      <c r="BK292" s="191">
        <f>L292*0.0889787664</f>
        <v/>
      </c>
      <c r="BL292" s="191">
        <f>L292*0.0911905966</f>
        <v/>
      </c>
      <c r="BM292" s="191">
        <f>L292*0.0935920121</f>
        <v/>
      </c>
      <c r="BN292" s="192">
        <f>L292*0.0967517695</f>
        <v/>
      </c>
      <c r="BO292" s="36" t="inlineStr">
        <is>
          <t>.</t>
        </is>
      </c>
      <c r="BP292" s="193">
        <f>SUM(BQ292:CB292)</f>
        <v/>
      </c>
      <c r="BQ292" s="191">
        <f>MAX(0,BC292-AA292)</f>
        <v/>
      </c>
      <c r="BR292" s="191">
        <f>MAX(0,BD292-AB292)</f>
        <v/>
      </c>
      <c r="BS292" s="191">
        <f>MAX(0,BE292-AC292)</f>
        <v/>
      </c>
      <c r="BT292" s="191">
        <f>MAX(0,BF292-AD292)</f>
        <v/>
      </c>
      <c r="BU292" s="191">
        <f>MAX(0,BG292-AE292)</f>
        <v/>
      </c>
      <c r="BV292" s="191">
        <f>MAX(0,BH292-AF292)</f>
        <v/>
      </c>
      <c r="BW292" s="191">
        <f>MAX(0,BI292-AG292)</f>
        <v/>
      </c>
      <c r="BX292" s="191">
        <f>MAX(0,BJ292-AH292)</f>
        <v/>
      </c>
      <c r="BY292" s="191">
        <f>MAX(0,BK292-AI292)</f>
        <v/>
      </c>
      <c r="BZ292" s="191">
        <f>MAX(0,BL292-AJ292)</f>
        <v/>
      </c>
      <c r="CA292" s="191">
        <f>MAX(0,BM292-AK292)</f>
        <v/>
      </c>
      <c r="CB292" s="192">
        <f>MAX(0,BN292-AL292)</f>
        <v/>
      </c>
    </row>
    <row r="293">
      <c r="A293" s="64" t="inlineStr">
        <is>
          <t>63677653000120</t>
        </is>
      </c>
      <c r="B293" s="57" t="inlineStr">
        <is>
          <t>SAUDE E NUTRICAO LTDA - ME</t>
        </is>
      </c>
      <c r="C293" s="57" t="inlineStr">
        <is>
          <t>SEM GRUPO</t>
        </is>
      </c>
      <c r="D293" s="61" t="inlineStr">
        <is>
          <t>LARISSA PADILHA</t>
        </is>
      </c>
      <c r="E293" s="30" t="inlineStr">
        <is>
          <t>.</t>
        </is>
      </c>
      <c r="F293" s="63" t="inlineStr"/>
      <c r="G293" s="179" t="inlineStr"/>
      <c r="H293" s="57" t="inlineStr"/>
      <c r="I293" s="57" t="inlineStr"/>
      <c r="J293" s="61" t="inlineStr"/>
      <c r="K293" s="30" t="inlineStr">
        <is>
          <t>.</t>
        </is>
      </c>
      <c r="L293" s="180" t="n">
        <v>3546.49</v>
      </c>
      <c r="M293" s="181" t="n">
        <v>249.22</v>
      </c>
      <c r="N293" s="181" t="n">
        <v>260.43</v>
      </c>
      <c r="O293" s="181" t="n">
        <v>266.7</v>
      </c>
      <c r="P293" s="181" t="n">
        <v>273.65</v>
      </c>
      <c r="Q293" s="181" t="n">
        <v>282.62</v>
      </c>
      <c r="R293" s="181" t="n">
        <v>290.01</v>
      </c>
      <c r="S293" s="181" t="n">
        <v>301.22</v>
      </c>
      <c r="T293" s="181" t="n">
        <v>308.62</v>
      </c>
      <c r="U293" s="181" t="n">
        <v>315.56</v>
      </c>
      <c r="V293" s="181" t="n">
        <v>323.41</v>
      </c>
      <c r="W293" s="181" t="n">
        <v>331.92</v>
      </c>
      <c r="X293" s="182" t="n">
        <v>343.13</v>
      </c>
      <c r="Y293" s="183" t="inlineStr">
        <is>
          <t>.</t>
        </is>
      </c>
      <c r="Z293" s="184">
        <f>SUM(AA293:AL293)</f>
        <v/>
      </c>
      <c r="AA293" s="185" t="n">
        <v>0</v>
      </c>
      <c r="AB293" s="185" t="n">
        <v>0</v>
      </c>
      <c r="AC293" s="185" t="n">
        <v>0</v>
      </c>
      <c r="AD293" s="185" t="n">
        <v>0</v>
      </c>
      <c r="AE293" s="185" t="n">
        <v>0</v>
      </c>
      <c r="AF293" s="185" t="n">
        <v>0</v>
      </c>
      <c r="AG293" s="185" t="n">
        <v>0</v>
      </c>
      <c r="AH293" s="185" t="n">
        <v>0</v>
      </c>
      <c r="AI293" s="185" t="n">
        <v>0</v>
      </c>
      <c r="AJ293" s="185" t="n">
        <v>0</v>
      </c>
      <c r="AK293" s="185" t="n">
        <v>0</v>
      </c>
      <c r="AL293" s="186" t="n">
        <v>0</v>
      </c>
      <c r="AM293" s="30" t="inlineStr">
        <is>
          <t>.</t>
        </is>
      </c>
      <c r="AN293" s="187">
        <f>IF(L293=0,0,Z293/L293)</f>
        <v/>
      </c>
      <c r="AO293" s="57">
        <f>IF(AN293&gt;=1,"🟢",IF(AN293&gt;=0.7,"🟡",IF(AN293&gt;=0.4,"🟠","🔴")))</f>
        <v/>
      </c>
      <c r="AP293" s="185">
        <f>L293-Z293</f>
        <v/>
      </c>
      <c r="AQ293" s="55">
        <f>RANK(Z293,$Z$4:$Z$503,0)</f>
        <v/>
      </c>
      <c r="AR293" s="39" t="inlineStr">
        <is>
          <t>.</t>
        </is>
      </c>
      <c r="AS293" s="27" t="n"/>
      <c r="AT293" s="27" t="n"/>
      <c r="AU293" s="27" t="n"/>
      <c r="AV293" s="27" t="n"/>
      <c r="AW293" s="27" t="n"/>
      <c r="AX293" s="27" t="n"/>
      <c r="AY293" s="204" t="n"/>
      <c r="AZ293" s="204" t="n"/>
      <c r="BA293" s="38" t="inlineStr">
        <is>
          <t>.</t>
        </is>
      </c>
      <c r="BB293" s="190">
        <f>SUM(BC293:BN293)</f>
        <v/>
      </c>
      <c r="BC293" s="191">
        <f>L293*0.0702730030</f>
        <v/>
      </c>
      <c r="BD293" s="191">
        <f>L293*0.0734327604</f>
        <v/>
      </c>
      <c r="BE293" s="191">
        <f>L293*0.0752022245</f>
        <v/>
      </c>
      <c r="BF293" s="191">
        <f>L293*0.0771612740</f>
        <v/>
      </c>
      <c r="BG293" s="191">
        <f>L293*0.0796890799</f>
        <v/>
      </c>
      <c r="BH293" s="191">
        <f>L293*0.0817745197</f>
        <v/>
      </c>
      <c r="BI293" s="191">
        <f>L293*0.0849342770</f>
        <v/>
      </c>
      <c r="BJ293" s="191">
        <f>L293*0.0870197169</f>
        <v/>
      </c>
      <c r="BK293" s="191">
        <f>L293*0.0889787664</f>
        <v/>
      </c>
      <c r="BL293" s="191">
        <f>L293*0.0911905966</f>
        <v/>
      </c>
      <c r="BM293" s="191">
        <f>L293*0.0935920121</f>
        <v/>
      </c>
      <c r="BN293" s="192">
        <f>L293*0.0967517695</f>
        <v/>
      </c>
      <c r="BO293" s="36" t="inlineStr">
        <is>
          <t>.</t>
        </is>
      </c>
      <c r="BP293" s="193">
        <f>SUM(BQ293:CB293)</f>
        <v/>
      </c>
      <c r="BQ293" s="191">
        <f>MAX(0,BC293-AA293)</f>
        <v/>
      </c>
      <c r="BR293" s="191">
        <f>MAX(0,BD293-AB293)</f>
        <v/>
      </c>
      <c r="BS293" s="191">
        <f>MAX(0,BE293-AC293)</f>
        <v/>
      </c>
      <c r="BT293" s="191">
        <f>MAX(0,BF293-AD293)</f>
        <v/>
      </c>
      <c r="BU293" s="191">
        <f>MAX(0,BG293-AE293)</f>
        <v/>
      </c>
      <c r="BV293" s="191">
        <f>MAX(0,BH293-AF293)</f>
        <v/>
      </c>
      <c r="BW293" s="191">
        <f>MAX(0,BI293-AG293)</f>
        <v/>
      </c>
      <c r="BX293" s="191">
        <f>MAX(0,BJ293-AH293)</f>
        <v/>
      </c>
      <c r="BY293" s="191">
        <f>MAX(0,BK293-AI293)</f>
        <v/>
      </c>
      <c r="BZ293" s="191">
        <f>MAX(0,BL293-AJ293)</f>
        <v/>
      </c>
      <c r="CA293" s="191">
        <f>MAX(0,BM293-AK293)</f>
        <v/>
      </c>
      <c r="CB293" s="192">
        <f>MAX(0,BN293-AL293)</f>
        <v/>
      </c>
    </row>
    <row r="294">
      <c r="A294" s="64" t="inlineStr">
        <is>
          <t>61030585000187</t>
        </is>
      </c>
      <c r="B294" s="57" t="inlineStr">
        <is>
          <t>61.030.585 CRISTIANE SVIECH TIBUCHESKI -</t>
        </is>
      </c>
      <c r="C294" s="57" t="inlineStr">
        <is>
          <t>SEM GRUPO</t>
        </is>
      </c>
      <c r="D294" s="61" t="inlineStr">
        <is>
          <t>HEMANUELE DITZEL (MANU)</t>
        </is>
      </c>
      <c r="E294" s="30" t="inlineStr">
        <is>
          <t>.</t>
        </is>
      </c>
      <c r="F294" s="63" t="inlineStr"/>
      <c r="G294" s="179" t="inlineStr"/>
      <c r="H294" s="57" t="inlineStr"/>
      <c r="I294" s="57" t="inlineStr"/>
      <c r="J294" s="61" t="inlineStr"/>
      <c r="K294" s="30" t="inlineStr">
        <is>
          <t>.</t>
        </is>
      </c>
      <c r="L294" s="180" t="n">
        <v>3524.61</v>
      </c>
      <c r="M294" s="181" t="n">
        <v>247.69</v>
      </c>
      <c r="N294" s="181" t="n">
        <v>258.82</v>
      </c>
      <c r="O294" s="181" t="n">
        <v>265.06</v>
      </c>
      <c r="P294" s="181" t="n">
        <v>271.96</v>
      </c>
      <c r="Q294" s="181" t="n">
        <v>280.87</v>
      </c>
      <c r="R294" s="181" t="n">
        <v>288.22</v>
      </c>
      <c r="S294" s="181" t="n">
        <v>299.36</v>
      </c>
      <c r="T294" s="181" t="n">
        <v>306.71</v>
      </c>
      <c r="U294" s="181" t="n">
        <v>313.62</v>
      </c>
      <c r="V294" s="181" t="n">
        <v>321.41</v>
      </c>
      <c r="W294" s="181" t="n">
        <v>329.88</v>
      </c>
      <c r="X294" s="182" t="n">
        <v>341.01</v>
      </c>
      <c r="Y294" s="183" t="inlineStr">
        <is>
          <t>.</t>
        </is>
      </c>
      <c r="Z294" s="184">
        <f>SUM(AA294:AL294)</f>
        <v/>
      </c>
      <c r="AA294" s="185" t="n">
        <v>0</v>
      </c>
      <c r="AB294" s="185" t="n">
        <v>0</v>
      </c>
      <c r="AC294" s="185" t="n">
        <v>0</v>
      </c>
      <c r="AD294" s="185" t="n">
        <v>0</v>
      </c>
      <c r="AE294" s="185" t="n">
        <v>0</v>
      </c>
      <c r="AF294" s="185" t="n">
        <v>348.52</v>
      </c>
      <c r="AG294" s="185" t="n">
        <v>744.36</v>
      </c>
      <c r="AH294" s="185" t="n">
        <v>0</v>
      </c>
      <c r="AI294" s="185" t="n">
        <v>0</v>
      </c>
      <c r="AJ294" s="185" t="n">
        <v>0</v>
      </c>
      <c r="AK294" s="185" t="n">
        <v>702.79</v>
      </c>
      <c r="AL294" s="186" t="n">
        <v>0</v>
      </c>
      <c r="AM294" s="30" t="inlineStr">
        <is>
          <t>.</t>
        </is>
      </c>
      <c r="AN294" s="187">
        <f>IF(L294=0,0,Z294/L294)</f>
        <v/>
      </c>
      <c r="AO294" s="57">
        <f>IF(AN294&gt;=1,"🟢",IF(AN294&gt;=0.7,"🟡",IF(AN294&gt;=0.4,"🟠","🔴")))</f>
        <v/>
      </c>
      <c r="AP294" s="185">
        <f>L294-Z294</f>
        <v/>
      </c>
      <c r="AQ294" s="55">
        <f>RANK(Z294,$Z$4:$Z$503,0)</f>
        <v/>
      </c>
      <c r="AR294" s="39" t="inlineStr">
        <is>
          <t>.</t>
        </is>
      </c>
      <c r="AS294" s="27" t="n"/>
      <c r="AT294" s="27" t="n"/>
      <c r="AU294" s="27" t="n"/>
      <c r="AV294" s="27" t="n"/>
      <c r="AW294" s="27" t="n"/>
      <c r="AX294" s="27" t="n"/>
      <c r="AY294" s="204" t="n"/>
      <c r="AZ294" s="204" t="n"/>
      <c r="BA294" s="38" t="inlineStr">
        <is>
          <t>.</t>
        </is>
      </c>
      <c r="BB294" s="190">
        <f>SUM(BC294:BN294)</f>
        <v/>
      </c>
      <c r="BC294" s="191">
        <f>L294*0.0702730030</f>
        <v/>
      </c>
      <c r="BD294" s="191">
        <f>L294*0.0734327604</f>
        <v/>
      </c>
      <c r="BE294" s="191">
        <f>L294*0.0752022245</f>
        <v/>
      </c>
      <c r="BF294" s="191">
        <f>L294*0.0771612740</f>
        <v/>
      </c>
      <c r="BG294" s="191">
        <f>L294*0.0796890799</f>
        <v/>
      </c>
      <c r="BH294" s="191">
        <f>L294*0.0817745197</f>
        <v/>
      </c>
      <c r="BI294" s="191">
        <f>L294*0.0849342770</f>
        <v/>
      </c>
      <c r="BJ294" s="191">
        <f>L294*0.0870197169</f>
        <v/>
      </c>
      <c r="BK294" s="191">
        <f>L294*0.0889787664</f>
        <v/>
      </c>
      <c r="BL294" s="191">
        <f>L294*0.0911905966</f>
        <v/>
      </c>
      <c r="BM294" s="191">
        <f>L294*0.0935920121</f>
        <v/>
      </c>
      <c r="BN294" s="192">
        <f>L294*0.0967517695</f>
        <v/>
      </c>
      <c r="BO294" s="36" t="inlineStr">
        <is>
          <t>.</t>
        </is>
      </c>
      <c r="BP294" s="193">
        <f>SUM(BQ294:CB294)</f>
        <v/>
      </c>
      <c r="BQ294" s="191">
        <f>MAX(0,BC294-AA294)</f>
        <v/>
      </c>
      <c r="BR294" s="191">
        <f>MAX(0,BD294-AB294)</f>
        <v/>
      </c>
      <c r="BS294" s="191">
        <f>MAX(0,BE294-AC294)</f>
        <v/>
      </c>
      <c r="BT294" s="191">
        <f>MAX(0,BF294-AD294)</f>
        <v/>
      </c>
      <c r="BU294" s="191">
        <f>MAX(0,BG294-AE294)</f>
        <v/>
      </c>
      <c r="BV294" s="191">
        <f>MAX(0,BH294-AF294)</f>
        <v/>
      </c>
      <c r="BW294" s="191">
        <f>MAX(0,BI294-AG294)</f>
        <v/>
      </c>
      <c r="BX294" s="191">
        <f>MAX(0,BJ294-AH294)</f>
        <v/>
      </c>
      <c r="BY294" s="191">
        <f>MAX(0,BK294-AI294)</f>
        <v/>
      </c>
      <c r="BZ294" s="191">
        <f>MAX(0,BL294-AJ294)</f>
        <v/>
      </c>
      <c r="CA294" s="191">
        <f>MAX(0,BM294-AK294)</f>
        <v/>
      </c>
      <c r="CB294" s="192">
        <f>MAX(0,BN294-AL294)</f>
        <v/>
      </c>
    </row>
    <row r="295">
      <c r="A295" s="64" t="inlineStr">
        <is>
          <t>30112498000145</t>
        </is>
      </c>
      <c r="B295" s="57" t="inlineStr">
        <is>
          <t>DAIANE PAZINI SONZA LTDA - ME</t>
        </is>
      </c>
      <c r="C295" s="57" t="inlineStr">
        <is>
          <t>SEM GRUPO</t>
        </is>
      </c>
      <c r="D295" s="61" t="inlineStr">
        <is>
          <t>LARISSA PADILHA</t>
        </is>
      </c>
      <c r="E295" s="30" t="inlineStr">
        <is>
          <t>.</t>
        </is>
      </c>
      <c r="F295" s="63" t="inlineStr"/>
      <c r="G295" s="179" t="inlineStr"/>
      <c r="H295" s="57" t="inlineStr"/>
      <c r="I295" s="57" t="inlineStr"/>
      <c r="J295" s="61" t="inlineStr"/>
      <c r="K295" s="30" t="inlineStr">
        <is>
          <t>.</t>
        </is>
      </c>
      <c r="L295" s="180" t="n">
        <v>3512.56</v>
      </c>
      <c r="M295" s="181" t="n">
        <v>246.84</v>
      </c>
      <c r="N295" s="181" t="n">
        <v>257.94</v>
      </c>
      <c r="O295" s="181" t="n">
        <v>264.15</v>
      </c>
      <c r="P295" s="181" t="n">
        <v>271.03</v>
      </c>
      <c r="Q295" s="181" t="n">
        <v>279.91</v>
      </c>
      <c r="R295" s="181" t="n">
        <v>287.24</v>
      </c>
      <c r="S295" s="181" t="n">
        <v>298.34</v>
      </c>
      <c r="T295" s="181" t="n">
        <v>305.66</v>
      </c>
      <c r="U295" s="181" t="n">
        <v>312.54</v>
      </c>
      <c r="V295" s="181" t="n">
        <v>320.31</v>
      </c>
      <c r="W295" s="181" t="n">
        <v>328.75</v>
      </c>
      <c r="X295" s="182" t="n">
        <v>339.85</v>
      </c>
      <c r="Y295" s="183" t="inlineStr">
        <is>
          <t>.</t>
        </is>
      </c>
      <c r="Z295" s="184">
        <f>SUM(AA295:AL295)</f>
        <v/>
      </c>
      <c r="AA295" s="185" t="n">
        <v>0</v>
      </c>
      <c r="AB295" s="185" t="n">
        <v>0</v>
      </c>
      <c r="AC295" s="185" t="n">
        <v>0</v>
      </c>
      <c r="AD295" s="185" t="n">
        <v>1245.46</v>
      </c>
      <c r="AE295" s="185" t="n">
        <v>0</v>
      </c>
      <c r="AF295" s="185" t="n">
        <v>0</v>
      </c>
      <c r="AG295" s="185" t="n">
        <v>0</v>
      </c>
      <c r="AH295" s="185" t="n">
        <v>0</v>
      </c>
      <c r="AI295" s="185" t="n">
        <v>0</v>
      </c>
      <c r="AJ295" s="185" t="n">
        <v>0</v>
      </c>
      <c r="AK295" s="185" t="n">
        <v>0</v>
      </c>
      <c r="AL295" s="186" t="n">
        <v>0</v>
      </c>
      <c r="AM295" s="30" t="inlineStr">
        <is>
          <t>.</t>
        </is>
      </c>
      <c r="AN295" s="187">
        <f>IF(L295=0,0,Z295/L295)</f>
        <v/>
      </c>
      <c r="AO295" s="57">
        <f>IF(AN295&gt;=1,"🟢",IF(AN295&gt;=0.7,"🟡",IF(AN295&gt;=0.4,"🟠","🔴")))</f>
        <v/>
      </c>
      <c r="AP295" s="185">
        <f>L295-Z295</f>
        <v/>
      </c>
      <c r="AQ295" s="55">
        <f>RANK(Z295,$Z$4:$Z$503,0)</f>
        <v/>
      </c>
      <c r="AR295" s="39" t="inlineStr">
        <is>
          <t>.</t>
        </is>
      </c>
      <c r="AS295" s="27" t="n"/>
      <c r="AT295" s="27" t="n"/>
      <c r="AU295" s="27" t="n"/>
      <c r="AV295" s="27" t="n"/>
      <c r="AW295" s="27" t="n"/>
      <c r="AX295" s="27" t="n"/>
      <c r="AY295" s="204" t="n"/>
      <c r="AZ295" s="204" t="n"/>
      <c r="BA295" s="38" t="inlineStr">
        <is>
          <t>.</t>
        </is>
      </c>
      <c r="BB295" s="190">
        <f>SUM(BC295:BN295)</f>
        <v/>
      </c>
      <c r="BC295" s="191">
        <f>L295*0.0702730030</f>
        <v/>
      </c>
      <c r="BD295" s="191">
        <f>L295*0.0734327604</f>
        <v/>
      </c>
      <c r="BE295" s="191">
        <f>L295*0.0752022245</f>
        <v/>
      </c>
      <c r="BF295" s="191">
        <f>L295*0.0771612740</f>
        <v/>
      </c>
      <c r="BG295" s="191">
        <f>L295*0.0796890799</f>
        <v/>
      </c>
      <c r="BH295" s="191">
        <f>L295*0.0817745197</f>
        <v/>
      </c>
      <c r="BI295" s="191">
        <f>L295*0.0849342770</f>
        <v/>
      </c>
      <c r="BJ295" s="191">
        <f>L295*0.0870197169</f>
        <v/>
      </c>
      <c r="BK295" s="191">
        <f>L295*0.0889787664</f>
        <v/>
      </c>
      <c r="BL295" s="191">
        <f>L295*0.0911905966</f>
        <v/>
      </c>
      <c r="BM295" s="191">
        <f>L295*0.0935920121</f>
        <v/>
      </c>
      <c r="BN295" s="192">
        <f>L295*0.0967517695</f>
        <v/>
      </c>
      <c r="BO295" s="36" t="inlineStr">
        <is>
          <t>.</t>
        </is>
      </c>
      <c r="BP295" s="193">
        <f>SUM(BQ295:CB295)</f>
        <v/>
      </c>
      <c r="BQ295" s="191">
        <f>MAX(0,BC295-AA295)</f>
        <v/>
      </c>
      <c r="BR295" s="191">
        <f>MAX(0,BD295-AB295)</f>
        <v/>
      </c>
      <c r="BS295" s="191">
        <f>MAX(0,BE295-AC295)</f>
        <v/>
      </c>
      <c r="BT295" s="191">
        <f>MAX(0,BF295-AD295)</f>
        <v/>
      </c>
      <c r="BU295" s="191">
        <f>MAX(0,BG295-AE295)</f>
        <v/>
      </c>
      <c r="BV295" s="191">
        <f>MAX(0,BH295-AF295)</f>
        <v/>
      </c>
      <c r="BW295" s="191">
        <f>MAX(0,BI295-AG295)</f>
        <v/>
      </c>
      <c r="BX295" s="191">
        <f>MAX(0,BJ295-AH295)</f>
        <v/>
      </c>
      <c r="BY295" s="191">
        <f>MAX(0,BK295-AI295)</f>
        <v/>
      </c>
      <c r="BZ295" s="191">
        <f>MAX(0,BL295-AJ295)</f>
        <v/>
      </c>
      <c r="CA295" s="191">
        <f>MAX(0,BM295-AK295)</f>
        <v/>
      </c>
      <c r="CB295" s="192">
        <f>MAX(0,BN295-AL295)</f>
        <v/>
      </c>
    </row>
    <row r="296">
      <c r="A296" s="64" t="inlineStr">
        <is>
          <t>60641605000193</t>
        </is>
      </c>
      <c r="B296" s="57" t="inlineStr">
        <is>
          <t>60.641.605 LARA DE BARROS AMANDO ALENCAR</t>
        </is>
      </c>
      <c r="C296" s="57" t="inlineStr">
        <is>
          <t>SEM GRUPO</t>
        </is>
      </c>
      <c r="D296" s="61" t="inlineStr">
        <is>
          <t>LARISSA PADILHA</t>
        </is>
      </c>
      <c r="E296" s="30" t="inlineStr">
        <is>
          <t>.</t>
        </is>
      </c>
      <c r="F296" s="63" t="inlineStr"/>
      <c r="G296" s="179" t="inlineStr"/>
      <c r="H296" s="57" t="inlineStr"/>
      <c r="I296" s="57" t="inlineStr"/>
      <c r="J296" s="61" t="inlineStr"/>
      <c r="K296" s="30" t="inlineStr">
        <is>
          <t>.</t>
        </is>
      </c>
      <c r="L296" s="180" t="n">
        <v>3478.38</v>
      </c>
      <c r="M296" s="181" t="n">
        <v>244.44</v>
      </c>
      <c r="N296" s="181" t="n">
        <v>255.43</v>
      </c>
      <c r="O296" s="181" t="n">
        <v>261.58</v>
      </c>
      <c r="P296" s="181" t="n">
        <v>268.4</v>
      </c>
      <c r="Q296" s="181" t="n">
        <v>277.19</v>
      </c>
      <c r="R296" s="181" t="n">
        <v>284.44</v>
      </c>
      <c r="S296" s="181" t="n">
        <v>295.43</v>
      </c>
      <c r="T296" s="181" t="n">
        <v>302.69</v>
      </c>
      <c r="U296" s="181" t="n">
        <v>309.5</v>
      </c>
      <c r="V296" s="181" t="n">
        <v>317.19</v>
      </c>
      <c r="W296" s="181" t="n">
        <v>325.55</v>
      </c>
      <c r="X296" s="182" t="n">
        <v>336.54</v>
      </c>
      <c r="Y296" s="183" t="inlineStr">
        <is>
          <t>.</t>
        </is>
      </c>
      <c r="Z296" s="184">
        <f>SUM(AA296:AL296)</f>
        <v/>
      </c>
      <c r="AA296" s="185" t="n">
        <v>0</v>
      </c>
      <c r="AB296" s="185" t="n">
        <v>0</v>
      </c>
      <c r="AC296" s="185" t="n">
        <v>0</v>
      </c>
      <c r="AD296" s="185" t="n">
        <v>0</v>
      </c>
      <c r="AE296" s="185" t="n">
        <v>674.8200000000001</v>
      </c>
      <c r="AF296" s="185" t="n">
        <v>0</v>
      </c>
      <c r="AG296" s="185" t="n">
        <v>920.6900000000001</v>
      </c>
      <c r="AH296" s="185" t="n">
        <v>0</v>
      </c>
      <c r="AI296" s="185" t="n">
        <v>0</v>
      </c>
      <c r="AJ296" s="185" t="n">
        <v>0</v>
      </c>
      <c r="AK296" s="185" t="n">
        <v>0</v>
      </c>
      <c r="AL296" s="186" t="n">
        <v>0</v>
      </c>
      <c r="AM296" s="30" t="inlineStr">
        <is>
          <t>.</t>
        </is>
      </c>
      <c r="AN296" s="187">
        <f>IF(L296=0,0,Z296/L296)</f>
        <v/>
      </c>
      <c r="AO296" s="57">
        <f>IF(AN296&gt;=1,"🟢",IF(AN296&gt;=0.7,"🟡",IF(AN296&gt;=0.4,"🟠","🔴")))</f>
        <v/>
      </c>
      <c r="AP296" s="185">
        <f>L296-Z296</f>
        <v/>
      </c>
      <c r="AQ296" s="55">
        <f>RANK(Z296,$Z$4:$Z$503,0)</f>
        <v/>
      </c>
      <c r="AR296" s="39" t="inlineStr">
        <is>
          <t>.</t>
        </is>
      </c>
      <c r="AS296" s="27" t="n"/>
      <c r="AT296" s="27" t="n"/>
      <c r="AU296" s="27" t="n"/>
      <c r="AV296" s="27" t="n"/>
      <c r="AW296" s="27" t="n"/>
      <c r="AX296" s="27" t="n"/>
      <c r="AY296" s="204" t="n"/>
      <c r="AZ296" s="204" t="n"/>
      <c r="BA296" s="38" t="inlineStr">
        <is>
          <t>.</t>
        </is>
      </c>
      <c r="BB296" s="190">
        <f>SUM(BC296:BN296)</f>
        <v/>
      </c>
      <c r="BC296" s="191">
        <f>L296*0.0702730030</f>
        <v/>
      </c>
      <c r="BD296" s="191">
        <f>L296*0.0734327604</f>
        <v/>
      </c>
      <c r="BE296" s="191">
        <f>L296*0.0752022245</f>
        <v/>
      </c>
      <c r="BF296" s="191">
        <f>L296*0.0771612740</f>
        <v/>
      </c>
      <c r="BG296" s="191">
        <f>L296*0.0796890799</f>
        <v/>
      </c>
      <c r="BH296" s="191">
        <f>L296*0.0817745197</f>
        <v/>
      </c>
      <c r="BI296" s="191">
        <f>L296*0.0849342770</f>
        <v/>
      </c>
      <c r="BJ296" s="191">
        <f>L296*0.0870197169</f>
        <v/>
      </c>
      <c r="BK296" s="191">
        <f>L296*0.0889787664</f>
        <v/>
      </c>
      <c r="BL296" s="191">
        <f>L296*0.0911905966</f>
        <v/>
      </c>
      <c r="BM296" s="191">
        <f>L296*0.0935920121</f>
        <v/>
      </c>
      <c r="BN296" s="192">
        <f>L296*0.0967517695</f>
        <v/>
      </c>
      <c r="BO296" s="36" t="inlineStr">
        <is>
          <t>.</t>
        </is>
      </c>
      <c r="BP296" s="193">
        <f>SUM(BQ296:CB296)</f>
        <v/>
      </c>
      <c r="BQ296" s="191">
        <f>MAX(0,BC296-AA296)</f>
        <v/>
      </c>
      <c r="BR296" s="191">
        <f>MAX(0,BD296-AB296)</f>
        <v/>
      </c>
      <c r="BS296" s="191">
        <f>MAX(0,BE296-AC296)</f>
        <v/>
      </c>
      <c r="BT296" s="191">
        <f>MAX(0,BF296-AD296)</f>
        <v/>
      </c>
      <c r="BU296" s="191">
        <f>MAX(0,BG296-AE296)</f>
        <v/>
      </c>
      <c r="BV296" s="191">
        <f>MAX(0,BH296-AF296)</f>
        <v/>
      </c>
      <c r="BW296" s="191">
        <f>MAX(0,BI296-AG296)</f>
        <v/>
      </c>
      <c r="BX296" s="191">
        <f>MAX(0,BJ296-AH296)</f>
        <v/>
      </c>
      <c r="BY296" s="191">
        <f>MAX(0,BK296-AI296)</f>
        <v/>
      </c>
      <c r="BZ296" s="191">
        <f>MAX(0,BL296-AJ296)</f>
        <v/>
      </c>
      <c r="CA296" s="191">
        <f>MAX(0,BM296-AK296)</f>
        <v/>
      </c>
      <c r="CB296" s="192">
        <f>MAX(0,BN296-AL296)</f>
        <v/>
      </c>
    </row>
    <row r="297">
      <c r="A297" s="64" t="inlineStr">
        <is>
          <t>30698924000174</t>
        </is>
      </c>
      <c r="B297" s="57" t="inlineStr">
        <is>
          <t>MN MAIS NUTRI EMPORIO LTDA - EPP</t>
        </is>
      </c>
      <c r="C297" s="57" t="inlineStr">
        <is>
          <t>SEM GRUPO</t>
        </is>
      </c>
      <c r="D297" s="61" t="inlineStr">
        <is>
          <t>LARISSA PADILHA</t>
        </is>
      </c>
      <c r="E297" s="30" t="inlineStr">
        <is>
          <t>.</t>
        </is>
      </c>
      <c r="F297" s="63" t="inlineStr"/>
      <c r="G297" s="179" t="inlineStr"/>
      <c r="H297" s="57" t="inlineStr"/>
      <c r="I297" s="57" t="inlineStr"/>
      <c r="J297" s="61" t="inlineStr"/>
      <c r="K297" s="30" t="inlineStr">
        <is>
          <t>.</t>
        </is>
      </c>
      <c r="L297" s="180" t="n">
        <v>3476.67</v>
      </c>
      <c r="M297" s="181" t="n">
        <v>244.32</v>
      </c>
      <c r="N297" s="181" t="n">
        <v>255.3</v>
      </c>
      <c r="O297" s="181" t="n">
        <v>261.45</v>
      </c>
      <c r="P297" s="181" t="n">
        <v>268.27</v>
      </c>
      <c r="Q297" s="181" t="n">
        <v>277.05</v>
      </c>
      <c r="R297" s="181" t="n">
        <v>284.3</v>
      </c>
      <c r="S297" s="181" t="n">
        <v>295.29</v>
      </c>
      <c r="T297" s="181" t="n">
        <v>302.54</v>
      </c>
      <c r="U297" s="181" t="n">
        <v>309.35</v>
      </c>
      <c r="V297" s="181" t="n">
        <v>317.04</v>
      </c>
      <c r="W297" s="181" t="n">
        <v>325.39</v>
      </c>
      <c r="X297" s="182" t="n">
        <v>336.37</v>
      </c>
      <c r="Y297" s="183" t="inlineStr">
        <is>
          <t>.</t>
        </is>
      </c>
      <c r="Z297" s="184">
        <f>SUM(AA297:AL297)</f>
        <v/>
      </c>
      <c r="AA297" s="185" t="n">
        <v>0</v>
      </c>
      <c r="AB297" s="185" t="n">
        <v>0</v>
      </c>
      <c r="AC297" s="185" t="n">
        <v>0</v>
      </c>
      <c r="AD297" s="185" t="n">
        <v>0</v>
      </c>
      <c r="AE297" s="185" t="n">
        <v>0</v>
      </c>
      <c r="AF297" s="185" t="n">
        <v>1396.15</v>
      </c>
      <c r="AG297" s="185" t="n">
        <v>0</v>
      </c>
      <c r="AH297" s="185" t="n">
        <v>0</v>
      </c>
      <c r="AI297" s="185" t="n">
        <v>0</v>
      </c>
      <c r="AJ297" s="185" t="n">
        <v>0</v>
      </c>
      <c r="AK297" s="185" t="n">
        <v>0</v>
      </c>
      <c r="AL297" s="186" t="n">
        <v>0</v>
      </c>
      <c r="AM297" s="30" t="inlineStr">
        <is>
          <t>.</t>
        </is>
      </c>
      <c r="AN297" s="187">
        <f>IF(L297=0,0,Z297/L297)</f>
        <v/>
      </c>
      <c r="AO297" s="57">
        <f>IF(AN297&gt;=1,"🟢",IF(AN297&gt;=0.7,"🟡",IF(AN297&gt;=0.4,"🟠","🔴")))</f>
        <v/>
      </c>
      <c r="AP297" s="185">
        <f>L297-Z297</f>
        <v/>
      </c>
      <c r="AQ297" s="55">
        <f>RANK(Z297,$Z$4:$Z$503,0)</f>
        <v/>
      </c>
      <c r="AR297" s="39" t="inlineStr">
        <is>
          <t>.</t>
        </is>
      </c>
      <c r="AS297" s="27" t="n"/>
      <c r="AT297" s="27" t="n"/>
      <c r="AU297" s="27" t="n"/>
      <c r="AV297" s="27" t="n"/>
      <c r="AW297" s="27" t="n"/>
      <c r="AX297" s="27" t="n"/>
      <c r="AY297" s="204" t="n"/>
      <c r="AZ297" s="204" t="n"/>
      <c r="BA297" s="38" t="inlineStr">
        <is>
          <t>.</t>
        </is>
      </c>
      <c r="BB297" s="190">
        <f>SUM(BC297:BN297)</f>
        <v/>
      </c>
      <c r="BC297" s="191">
        <f>L297*0.0702730030</f>
        <v/>
      </c>
      <c r="BD297" s="191">
        <f>L297*0.0734327604</f>
        <v/>
      </c>
      <c r="BE297" s="191">
        <f>L297*0.0752022245</f>
        <v/>
      </c>
      <c r="BF297" s="191">
        <f>L297*0.0771612740</f>
        <v/>
      </c>
      <c r="BG297" s="191">
        <f>L297*0.0796890799</f>
        <v/>
      </c>
      <c r="BH297" s="191">
        <f>L297*0.0817745197</f>
        <v/>
      </c>
      <c r="BI297" s="191">
        <f>L297*0.0849342770</f>
        <v/>
      </c>
      <c r="BJ297" s="191">
        <f>L297*0.0870197169</f>
        <v/>
      </c>
      <c r="BK297" s="191">
        <f>L297*0.0889787664</f>
        <v/>
      </c>
      <c r="BL297" s="191">
        <f>L297*0.0911905966</f>
        <v/>
      </c>
      <c r="BM297" s="191">
        <f>L297*0.0935920121</f>
        <v/>
      </c>
      <c r="BN297" s="192">
        <f>L297*0.0967517695</f>
        <v/>
      </c>
      <c r="BO297" s="36" t="inlineStr">
        <is>
          <t>.</t>
        </is>
      </c>
      <c r="BP297" s="193">
        <f>SUM(BQ297:CB297)</f>
        <v/>
      </c>
      <c r="BQ297" s="191">
        <f>MAX(0,BC297-AA297)</f>
        <v/>
      </c>
      <c r="BR297" s="191">
        <f>MAX(0,BD297-AB297)</f>
        <v/>
      </c>
      <c r="BS297" s="191">
        <f>MAX(0,BE297-AC297)</f>
        <v/>
      </c>
      <c r="BT297" s="191">
        <f>MAX(0,BF297-AD297)</f>
        <v/>
      </c>
      <c r="BU297" s="191">
        <f>MAX(0,BG297-AE297)</f>
        <v/>
      </c>
      <c r="BV297" s="191">
        <f>MAX(0,BH297-AF297)</f>
        <v/>
      </c>
      <c r="BW297" s="191">
        <f>MAX(0,BI297-AG297)</f>
        <v/>
      </c>
      <c r="BX297" s="191">
        <f>MAX(0,BJ297-AH297)</f>
        <v/>
      </c>
      <c r="BY297" s="191">
        <f>MAX(0,BK297-AI297)</f>
        <v/>
      </c>
      <c r="BZ297" s="191">
        <f>MAX(0,BL297-AJ297)</f>
        <v/>
      </c>
      <c r="CA297" s="191">
        <f>MAX(0,BM297-AK297)</f>
        <v/>
      </c>
      <c r="CB297" s="192">
        <f>MAX(0,BN297-AL297)</f>
        <v/>
      </c>
    </row>
    <row r="298">
      <c r="A298" s="64" t="inlineStr">
        <is>
          <t>81542144000171</t>
        </is>
      </c>
      <c r="B298" s="57" t="inlineStr">
        <is>
          <t>ERIVA S LANCHONETE LTDA - ME</t>
        </is>
      </c>
      <c r="C298" s="57" t="inlineStr">
        <is>
          <t>SEM GRUPO</t>
        </is>
      </c>
      <c r="D298" s="61" t="inlineStr">
        <is>
          <t>HEMANUELE DITZEL (MANU)</t>
        </is>
      </c>
      <c r="E298" s="30" t="inlineStr">
        <is>
          <t>.</t>
        </is>
      </c>
      <c r="F298" s="63" t="inlineStr"/>
      <c r="G298" s="179" t="inlineStr"/>
      <c r="H298" s="57" t="inlineStr"/>
      <c r="I298" s="57" t="inlineStr"/>
      <c r="J298" s="61" t="inlineStr"/>
      <c r="K298" s="30" t="inlineStr">
        <is>
          <t>.</t>
        </is>
      </c>
      <c r="L298" s="180" t="n">
        <v>3471.63</v>
      </c>
      <c r="M298" s="181" t="n">
        <v>243.96</v>
      </c>
      <c r="N298" s="181" t="n">
        <v>254.93</v>
      </c>
      <c r="O298" s="181" t="n">
        <v>261.07</v>
      </c>
      <c r="P298" s="181" t="n">
        <v>267.88</v>
      </c>
      <c r="Q298" s="181" t="n">
        <v>276.65</v>
      </c>
      <c r="R298" s="181" t="n">
        <v>283.89</v>
      </c>
      <c r="S298" s="181" t="n">
        <v>294.86</v>
      </c>
      <c r="T298" s="181" t="n">
        <v>302.1</v>
      </c>
      <c r="U298" s="181" t="n">
        <v>308.9</v>
      </c>
      <c r="V298" s="181" t="n">
        <v>316.58</v>
      </c>
      <c r="W298" s="181" t="n">
        <v>324.92</v>
      </c>
      <c r="X298" s="182" t="n">
        <v>335.89</v>
      </c>
      <c r="Y298" s="183" t="inlineStr">
        <is>
          <t>.</t>
        </is>
      </c>
      <c r="Z298" s="184">
        <f>SUM(AA298:AL298)</f>
        <v/>
      </c>
      <c r="AA298" s="185" t="n">
        <v>0</v>
      </c>
      <c r="AB298" s="185" t="n">
        <v>0</v>
      </c>
      <c r="AC298" s="185" t="n">
        <v>716.55</v>
      </c>
      <c r="AD298" s="185" t="n">
        <v>1170.18</v>
      </c>
      <c r="AE298" s="185" t="n">
        <v>0</v>
      </c>
      <c r="AF298" s="185" t="n">
        <v>0</v>
      </c>
      <c r="AG298" s="185" t="n">
        <v>0</v>
      </c>
      <c r="AH298" s="185" t="n">
        <v>0</v>
      </c>
      <c r="AI298" s="185" t="n">
        <v>0</v>
      </c>
      <c r="AJ298" s="185" t="n">
        <v>0</v>
      </c>
      <c r="AK298" s="185" t="n">
        <v>0</v>
      </c>
      <c r="AL298" s="186" t="n">
        <v>0</v>
      </c>
      <c r="AM298" s="30" t="inlineStr">
        <is>
          <t>.</t>
        </is>
      </c>
      <c r="AN298" s="187">
        <f>IF(L298=0,0,Z298/L298)</f>
        <v/>
      </c>
      <c r="AO298" s="57">
        <f>IF(AN298&gt;=1,"🟢",IF(AN298&gt;=0.7,"🟡",IF(AN298&gt;=0.4,"🟠","🔴")))</f>
        <v/>
      </c>
      <c r="AP298" s="185">
        <f>L298-Z298</f>
        <v/>
      </c>
      <c r="AQ298" s="55">
        <f>RANK(Z298,$Z$4:$Z$503,0)</f>
        <v/>
      </c>
      <c r="AR298" s="39" t="inlineStr">
        <is>
          <t>.</t>
        </is>
      </c>
      <c r="AS298" s="27" t="n"/>
      <c r="AT298" s="27" t="n"/>
      <c r="AU298" s="27" t="n"/>
      <c r="AV298" s="27" t="n"/>
      <c r="AW298" s="27" t="n"/>
      <c r="AX298" s="27" t="n"/>
      <c r="AY298" s="204" t="n"/>
      <c r="AZ298" s="204" t="n"/>
      <c r="BA298" s="38" t="inlineStr">
        <is>
          <t>.</t>
        </is>
      </c>
      <c r="BB298" s="190">
        <f>SUM(BC298:BN298)</f>
        <v/>
      </c>
      <c r="BC298" s="191">
        <f>L298*0.0702730030</f>
        <v/>
      </c>
      <c r="BD298" s="191">
        <f>L298*0.0734327604</f>
        <v/>
      </c>
      <c r="BE298" s="191">
        <f>L298*0.0752022245</f>
        <v/>
      </c>
      <c r="BF298" s="191">
        <f>L298*0.0771612740</f>
        <v/>
      </c>
      <c r="BG298" s="191">
        <f>L298*0.0796890799</f>
        <v/>
      </c>
      <c r="BH298" s="191">
        <f>L298*0.0817745197</f>
        <v/>
      </c>
      <c r="BI298" s="191">
        <f>L298*0.0849342770</f>
        <v/>
      </c>
      <c r="BJ298" s="191">
        <f>L298*0.0870197169</f>
        <v/>
      </c>
      <c r="BK298" s="191">
        <f>L298*0.0889787664</f>
        <v/>
      </c>
      <c r="BL298" s="191">
        <f>L298*0.0911905966</f>
        <v/>
      </c>
      <c r="BM298" s="191">
        <f>L298*0.0935920121</f>
        <v/>
      </c>
      <c r="BN298" s="192">
        <f>L298*0.0967517695</f>
        <v/>
      </c>
      <c r="BO298" s="36" t="inlineStr">
        <is>
          <t>.</t>
        </is>
      </c>
      <c r="BP298" s="193">
        <f>SUM(BQ298:CB298)</f>
        <v/>
      </c>
      <c r="BQ298" s="191">
        <f>MAX(0,BC298-AA298)</f>
        <v/>
      </c>
      <c r="BR298" s="191">
        <f>MAX(0,BD298-AB298)</f>
        <v/>
      </c>
      <c r="BS298" s="191">
        <f>MAX(0,BE298-AC298)</f>
        <v/>
      </c>
      <c r="BT298" s="191">
        <f>MAX(0,BF298-AD298)</f>
        <v/>
      </c>
      <c r="BU298" s="191">
        <f>MAX(0,BG298-AE298)</f>
        <v/>
      </c>
      <c r="BV298" s="191">
        <f>MAX(0,BH298-AF298)</f>
        <v/>
      </c>
      <c r="BW298" s="191">
        <f>MAX(0,BI298-AG298)</f>
        <v/>
      </c>
      <c r="BX298" s="191">
        <f>MAX(0,BJ298-AH298)</f>
        <v/>
      </c>
      <c r="BY298" s="191">
        <f>MAX(0,BK298-AI298)</f>
        <v/>
      </c>
      <c r="BZ298" s="191">
        <f>MAX(0,BL298-AJ298)</f>
        <v/>
      </c>
      <c r="CA298" s="191">
        <f>MAX(0,BM298-AK298)</f>
        <v/>
      </c>
      <c r="CB298" s="192">
        <f>MAX(0,BN298-AL298)</f>
        <v/>
      </c>
    </row>
    <row r="299">
      <c r="A299" s="64" t="inlineStr">
        <is>
          <t>60942822000113</t>
        </is>
      </c>
      <c r="B299" s="57" t="inlineStr">
        <is>
          <t>BMR COMERCIO DE ALIMENTOS LTDA - ME</t>
        </is>
      </c>
      <c r="C299" s="57" t="inlineStr">
        <is>
          <t>VIDA LEVE</t>
        </is>
      </c>
      <c r="D299" s="61" t="inlineStr">
        <is>
          <t>DAIANE STAVICKI</t>
        </is>
      </c>
      <c r="E299" s="30" t="inlineStr">
        <is>
          <t>.</t>
        </is>
      </c>
      <c r="F299" s="63" t="n">
        <v>81</v>
      </c>
      <c r="G299" s="179" t="n">
        <v>0.08</v>
      </c>
      <c r="H299" s="57" t="inlineStr">
        <is>
          <t>🔴 VERMELHO</t>
        </is>
      </c>
      <c r="I299" s="57" t="inlineStr">
        <is>
          <t>ATIVAÇÃO</t>
        </is>
      </c>
      <c r="J299" s="61" t="inlineStr">
        <is>
          <t>Reativar inativos + Prospectar</t>
        </is>
      </c>
      <c r="K299" s="30" t="inlineStr">
        <is>
          <t>.</t>
        </is>
      </c>
      <c r="L299" s="180" t="n">
        <v>3468.85</v>
      </c>
      <c r="M299" s="181" t="n">
        <v>243.77</v>
      </c>
      <c r="N299" s="181" t="n">
        <v>254.73</v>
      </c>
      <c r="O299" s="181" t="n">
        <v>260.86</v>
      </c>
      <c r="P299" s="181" t="n">
        <v>267.66</v>
      </c>
      <c r="Q299" s="181" t="n">
        <v>276.43</v>
      </c>
      <c r="R299" s="181" t="n">
        <v>283.66</v>
      </c>
      <c r="S299" s="181" t="n">
        <v>294.62</v>
      </c>
      <c r="T299" s="181" t="n">
        <v>301.86</v>
      </c>
      <c r="U299" s="181" t="n">
        <v>308.65</v>
      </c>
      <c r="V299" s="181" t="n">
        <v>316.33</v>
      </c>
      <c r="W299" s="181" t="n">
        <v>324.66</v>
      </c>
      <c r="X299" s="182" t="n">
        <v>335.62</v>
      </c>
      <c r="Y299" s="183" t="inlineStr">
        <is>
          <t>.</t>
        </is>
      </c>
      <c r="Z299" s="184">
        <f>SUM(AA299:AL299)</f>
        <v/>
      </c>
      <c r="AA299" s="185" t="n">
        <v>0</v>
      </c>
      <c r="AB299" s="185" t="n">
        <v>0</v>
      </c>
      <c r="AC299" s="185" t="n">
        <v>0</v>
      </c>
      <c r="AD299" s="185" t="n">
        <v>0</v>
      </c>
      <c r="AE299" s="185" t="n">
        <v>0</v>
      </c>
      <c r="AF299" s="185" t="n">
        <v>0</v>
      </c>
      <c r="AG299" s="185" t="n">
        <v>0</v>
      </c>
      <c r="AH299" s="185" t="n">
        <v>0</v>
      </c>
      <c r="AI299" s="185" t="n">
        <v>1571.27</v>
      </c>
      <c r="AJ299" s="185" t="n">
        <v>0</v>
      </c>
      <c r="AK299" s="185" t="n">
        <v>0</v>
      </c>
      <c r="AL299" s="186" t="n">
        <v>0</v>
      </c>
      <c r="AM299" s="30" t="inlineStr">
        <is>
          <t>.</t>
        </is>
      </c>
      <c r="AN299" s="187">
        <f>IF(L299=0,0,Z299/L299)</f>
        <v/>
      </c>
      <c r="AO299" s="57">
        <f>IF(AN299&gt;=1,"🟢",IF(AN299&gt;=0.7,"🟡",IF(AN299&gt;=0.4,"🟠","🔴")))</f>
        <v/>
      </c>
      <c r="AP299" s="185">
        <f>L299-Z299</f>
        <v/>
      </c>
      <c r="AQ299" s="55">
        <f>RANK(Z299,$Z$4:$Z$503,0)</f>
        <v/>
      </c>
      <c r="AR299" s="39" t="inlineStr">
        <is>
          <t>.</t>
        </is>
      </c>
      <c r="AS299" s="27" t="n"/>
      <c r="AT299" s="27" t="n"/>
      <c r="AU299" s="27" t="n"/>
      <c r="AV299" s="27" t="n"/>
      <c r="AW299" s="27" t="n"/>
      <c r="AX299" s="27" t="n"/>
      <c r="AY299" s="204" t="n"/>
      <c r="AZ299" s="204" t="n"/>
      <c r="BA299" s="38" t="inlineStr">
        <is>
          <t>.</t>
        </is>
      </c>
      <c r="BB299" s="190">
        <f>SUM(BC299:BN299)</f>
        <v/>
      </c>
      <c r="BC299" s="191">
        <f>L299*0.0702730030</f>
        <v/>
      </c>
      <c r="BD299" s="191">
        <f>L299*0.0734327604</f>
        <v/>
      </c>
      <c r="BE299" s="191">
        <f>L299*0.0752022245</f>
        <v/>
      </c>
      <c r="BF299" s="191">
        <f>L299*0.0771612740</f>
        <v/>
      </c>
      <c r="BG299" s="191">
        <f>L299*0.0796890799</f>
        <v/>
      </c>
      <c r="BH299" s="191">
        <f>L299*0.0817745197</f>
        <v/>
      </c>
      <c r="BI299" s="191">
        <f>L299*0.0849342770</f>
        <v/>
      </c>
      <c r="BJ299" s="191">
        <f>L299*0.0870197169</f>
        <v/>
      </c>
      <c r="BK299" s="191">
        <f>L299*0.0889787664</f>
        <v/>
      </c>
      <c r="BL299" s="191">
        <f>L299*0.0911905966</f>
        <v/>
      </c>
      <c r="BM299" s="191">
        <f>L299*0.0935920121</f>
        <v/>
      </c>
      <c r="BN299" s="192">
        <f>L299*0.0967517695</f>
        <v/>
      </c>
      <c r="BO299" s="36" t="inlineStr">
        <is>
          <t>.</t>
        </is>
      </c>
      <c r="BP299" s="193">
        <f>SUM(BQ299:CB299)</f>
        <v/>
      </c>
      <c r="BQ299" s="191">
        <f>MAX(0,BC299-AA299)</f>
        <v/>
      </c>
      <c r="BR299" s="191">
        <f>MAX(0,BD299-AB299)</f>
        <v/>
      </c>
      <c r="BS299" s="191">
        <f>MAX(0,BE299-AC299)</f>
        <v/>
      </c>
      <c r="BT299" s="191">
        <f>MAX(0,BF299-AD299)</f>
        <v/>
      </c>
      <c r="BU299" s="191">
        <f>MAX(0,BG299-AE299)</f>
        <v/>
      </c>
      <c r="BV299" s="191">
        <f>MAX(0,BH299-AF299)</f>
        <v/>
      </c>
      <c r="BW299" s="191">
        <f>MAX(0,BI299-AG299)</f>
        <v/>
      </c>
      <c r="BX299" s="191">
        <f>MAX(0,BJ299-AH299)</f>
        <v/>
      </c>
      <c r="BY299" s="191">
        <f>MAX(0,BK299-AI299)</f>
        <v/>
      </c>
      <c r="BZ299" s="191">
        <f>MAX(0,BL299-AJ299)</f>
        <v/>
      </c>
      <c r="CA299" s="191">
        <f>MAX(0,BM299-AK299)</f>
        <v/>
      </c>
      <c r="CB299" s="192">
        <f>MAX(0,BN299-AL299)</f>
        <v/>
      </c>
    </row>
    <row r="300">
      <c r="A300" s="64" t="inlineStr">
        <is>
          <t>81586596000155</t>
        </is>
      </c>
      <c r="B300" s="57" t="inlineStr">
        <is>
          <t>LILIANE GUERREIRO GONCALVES &amp; CIA LTDA -</t>
        </is>
      </c>
      <c r="C300" s="57" t="inlineStr">
        <is>
          <t>SEM GRUPO</t>
        </is>
      </c>
      <c r="D300" s="61" t="inlineStr">
        <is>
          <t>HEMANUELE DITZEL (MANU)</t>
        </is>
      </c>
      <c r="E300" s="30" t="inlineStr">
        <is>
          <t>.</t>
        </is>
      </c>
      <c r="F300" s="63" t="inlineStr"/>
      <c r="G300" s="179" t="inlineStr"/>
      <c r="H300" s="57" t="inlineStr"/>
      <c r="I300" s="57" t="inlineStr"/>
      <c r="J300" s="61" t="inlineStr"/>
      <c r="K300" s="30" t="inlineStr">
        <is>
          <t>.</t>
        </is>
      </c>
      <c r="L300" s="180" t="n">
        <v>3445.62</v>
      </c>
      <c r="M300" s="181" t="n">
        <v>242.13</v>
      </c>
      <c r="N300" s="181" t="n">
        <v>253.02</v>
      </c>
      <c r="O300" s="181" t="n">
        <v>259.12</v>
      </c>
      <c r="P300" s="181" t="n">
        <v>265.87</v>
      </c>
      <c r="Q300" s="181" t="n">
        <v>274.58</v>
      </c>
      <c r="R300" s="181" t="n">
        <v>281.76</v>
      </c>
      <c r="S300" s="181" t="n">
        <v>292.65</v>
      </c>
      <c r="T300" s="181" t="n">
        <v>299.84</v>
      </c>
      <c r="U300" s="181" t="n">
        <v>306.59</v>
      </c>
      <c r="V300" s="181" t="n">
        <v>314.21</v>
      </c>
      <c r="W300" s="181" t="n">
        <v>322.48</v>
      </c>
      <c r="X300" s="182" t="n">
        <v>333.37</v>
      </c>
      <c r="Y300" s="183" t="inlineStr">
        <is>
          <t>.</t>
        </is>
      </c>
      <c r="Z300" s="184">
        <f>SUM(AA300:AL300)</f>
        <v/>
      </c>
      <c r="AA300" s="185" t="n">
        <v>0</v>
      </c>
      <c r="AB300" s="185" t="n">
        <v>0</v>
      </c>
      <c r="AC300" s="185" t="n">
        <v>0</v>
      </c>
      <c r="AD300" s="185" t="n">
        <v>0</v>
      </c>
      <c r="AE300" s="185" t="n">
        <v>0</v>
      </c>
      <c r="AF300" s="185" t="n">
        <v>637.75</v>
      </c>
      <c r="AG300" s="185" t="n">
        <v>0</v>
      </c>
      <c r="AH300" s="185" t="n">
        <v>0</v>
      </c>
      <c r="AI300" s="185" t="n">
        <v>0</v>
      </c>
      <c r="AJ300" s="185" t="n">
        <v>0</v>
      </c>
      <c r="AK300" s="185" t="n">
        <v>990.83</v>
      </c>
      <c r="AL300" s="186" t="n">
        <v>0</v>
      </c>
      <c r="AM300" s="30" t="inlineStr">
        <is>
          <t>.</t>
        </is>
      </c>
      <c r="AN300" s="187">
        <f>IF(L300=0,0,Z300/L300)</f>
        <v/>
      </c>
      <c r="AO300" s="57">
        <f>IF(AN300&gt;=1,"🟢",IF(AN300&gt;=0.7,"🟡",IF(AN300&gt;=0.4,"🟠","🔴")))</f>
        <v/>
      </c>
      <c r="AP300" s="185">
        <f>L300-Z300</f>
        <v/>
      </c>
      <c r="AQ300" s="55">
        <f>RANK(Z300,$Z$4:$Z$503,0)</f>
        <v/>
      </c>
      <c r="AR300" s="39" t="inlineStr">
        <is>
          <t>.</t>
        </is>
      </c>
      <c r="AS300" s="27" t="n"/>
      <c r="AT300" s="27" t="n"/>
      <c r="AU300" s="27" t="n"/>
      <c r="AV300" s="27" t="n"/>
      <c r="AW300" s="27" t="n"/>
      <c r="AX300" s="27" t="n"/>
      <c r="AY300" s="204" t="n"/>
      <c r="AZ300" s="204" t="n"/>
      <c r="BA300" s="38" t="inlineStr">
        <is>
          <t>.</t>
        </is>
      </c>
      <c r="BB300" s="190">
        <f>SUM(BC300:BN300)</f>
        <v/>
      </c>
      <c r="BC300" s="191">
        <f>L300*0.0702730030</f>
        <v/>
      </c>
      <c r="BD300" s="191">
        <f>L300*0.0734327604</f>
        <v/>
      </c>
      <c r="BE300" s="191">
        <f>L300*0.0752022245</f>
        <v/>
      </c>
      <c r="BF300" s="191">
        <f>L300*0.0771612740</f>
        <v/>
      </c>
      <c r="BG300" s="191">
        <f>L300*0.0796890799</f>
        <v/>
      </c>
      <c r="BH300" s="191">
        <f>L300*0.0817745197</f>
        <v/>
      </c>
      <c r="BI300" s="191">
        <f>L300*0.0849342770</f>
        <v/>
      </c>
      <c r="BJ300" s="191">
        <f>L300*0.0870197169</f>
        <v/>
      </c>
      <c r="BK300" s="191">
        <f>L300*0.0889787664</f>
        <v/>
      </c>
      <c r="BL300" s="191">
        <f>L300*0.0911905966</f>
        <v/>
      </c>
      <c r="BM300" s="191">
        <f>L300*0.0935920121</f>
        <v/>
      </c>
      <c r="BN300" s="192">
        <f>L300*0.0967517695</f>
        <v/>
      </c>
      <c r="BO300" s="36" t="inlineStr">
        <is>
          <t>.</t>
        </is>
      </c>
      <c r="BP300" s="193">
        <f>SUM(BQ300:CB300)</f>
        <v/>
      </c>
      <c r="BQ300" s="191">
        <f>MAX(0,BC300-AA300)</f>
        <v/>
      </c>
      <c r="BR300" s="191">
        <f>MAX(0,BD300-AB300)</f>
        <v/>
      </c>
      <c r="BS300" s="191">
        <f>MAX(0,BE300-AC300)</f>
        <v/>
      </c>
      <c r="BT300" s="191">
        <f>MAX(0,BF300-AD300)</f>
        <v/>
      </c>
      <c r="BU300" s="191">
        <f>MAX(0,BG300-AE300)</f>
        <v/>
      </c>
      <c r="BV300" s="191">
        <f>MAX(0,BH300-AF300)</f>
        <v/>
      </c>
      <c r="BW300" s="191">
        <f>MAX(0,BI300-AG300)</f>
        <v/>
      </c>
      <c r="BX300" s="191">
        <f>MAX(0,BJ300-AH300)</f>
        <v/>
      </c>
      <c r="BY300" s="191">
        <f>MAX(0,BK300-AI300)</f>
        <v/>
      </c>
      <c r="BZ300" s="191">
        <f>MAX(0,BL300-AJ300)</f>
        <v/>
      </c>
      <c r="CA300" s="191">
        <f>MAX(0,BM300-AK300)</f>
        <v/>
      </c>
      <c r="CB300" s="192">
        <f>MAX(0,BN300-AL300)</f>
        <v/>
      </c>
    </row>
    <row r="301">
      <c r="A301" s="64" t="inlineStr">
        <is>
          <t>29271154000108</t>
        </is>
      </c>
      <c r="B301" s="57" t="inlineStr">
        <is>
          <t>DP VIDA PRODUTOS NATURAIS LTDA - ME</t>
        </is>
      </c>
      <c r="C301" s="57" t="inlineStr">
        <is>
          <t>CIA DA SAUDE</t>
        </is>
      </c>
      <c r="D301" s="61" t="inlineStr">
        <is>
          <t>JULIO GADRET</t>
        </is>
      </c>
      <c r="E301" s="30" t="inlineStr">
        <is>
          <t>.</t>
        </is>
      </c>
      <c r="F301" s="63" t="n">
        <v>163</v>
      </c>
      <c r="G301" s="179" t="n">
        <v>0.026</v>
      </c>
      <c r="H301" s="57" t="inlineStr">
        <is>
          <t>🔴 VERMELHO</t>
        </is>
      </c>
      <c r="I301" s="57" t="inlineStr">
        <is>
          <t>ATIVAÇÃO</t>
        </is>
      </c>
      <c r="J301" s="61" t="inlineStr">
        <is>
          <t>Reativar inativos + Prospectar</t>
        </is>
      </c>
      <c r="K301" s="30" t="inlineStr">
        <is>
          <t>.</t>
        </is>
      </c>
      <c r="L301" s="180" t="n">
        <v>3422.070000000001</v>
      </c>
      <c r="M301" s="181" t="n">
        <v>240.48</v>
      </c>
      <c r="N301" s="181" t="n">
        <v>251.29</v>
      </c>
      <c r="O301" s="181" t="n">
        <v>257.35</v>
      </c>
      <c r="P301" s="181" t="n">
        <v>264.05</v>
      </c>
      <c r="Q301" s="181" t="n">
        <v>272.7</v>
      </c>
      <c r="R301" s="181" t="n">
        <v>279.84</v>
      </c>
      <c r="S301" s="181" t="n">
        <v>290.65</v>
      </c>
      <c r="T301" s="181" t="n">
        <v>297.79</v>
      </c>
      <c r="U301" s="181" t="n">
        <v>304.49</v>
      </c>
      <c r="V301" s="181" t="n">
        <v>312.06</v>
      </c>
      <c r="W301" s="181" t="n">
        <v>320.28</v>
      </c>
      <c r="X301" s="182" t="n">
        <v>331.09</v>
      </c>
      <c r="Y301" s="183" t="inlineStr">
        <is>
          <t>.</t>
        </is>
      </c>
      <c r="Z301" s="184">
        <f>SUM(AA301:AL301)</f>
        <v/>
      </c>
      <c r="AA301" s="185" t="n">
        <v>0</v>
      </c>
      <c r="AB301" s="185" t="n">
        <v>0</v>
      </c>
      <c r="AC301" s="185" t="n">
        <v>0</v>
      </c>
      <c r="AD301" s="185" t="n">
        <v>0</v>
      </c>
      <c r="AE301" s="185" t="n">
        <v>0</v>
      </c>
      <c r="AF301" s="185" t="n">
        <v>0</v>
      </c>
      <c r="AG301" s="185" t="n">
        <v>0</v>
      </c>
      <c r="AH301" s="185" t="n">
        <v>0</v>
      </c>
      <c r="AI301" s="185" t="n">
        <v>0</v>
      </c>
      <c r="AJ301" s="185" t="n">
        <v>1946.68</v>
      </c>
      <c r="AK301" s="185" t="n">
        <v>0</v>
      </c>
      <c r="AL301" s="186" t="n">
        <v>0</v>
      </c>
      <c r="AM301" s="30" t="inlineStr">
        <is>
          <t>.</t>
        </is>
      </c>
      <c r="AN301" s="187">
        <f>IF(L301=0,0,Z301/L301)</f>
        <v/>
      </c>
      <c r="AO301" s="57">
        <f>IF(AN301&gt;=1,"🟢",IF(AN301&gt;=0.7,"🟡",IF(AN301&gt;=0.4,"🟠","🔴")))</f>
        <v/>
      </c>
      <c r="AP301" s="185">
        <f>L301-Z301</f>
        <v/>
      </c>
      <c r="AQ301" s="55">
        <f>RANK(Z301,$Z$4:$Z$503,0)</f>
        <v/>
      </c>
      <c r="AR301" s="39" t="inlineStr">
        <is>
          <t>.</t>
        </is>
      </c>
      <c r="AS301" s="27" t="n"/>
      <c r="AT301" s="27" t="n"/>
      <c r="AU301" s="27" t="n"/>
      <c r="AV301" s="27" t="n"/>
      <c r="AW301" s="27" t="n"/>
      <c r="AX301" s="27" t="n"/>
      <c r="AY301" s="204" t="n"/>
      <c r="AZ301" s="204" t="n"/>
      <c r="BA301" s="38" t="inlineStr">
        <is>
          <t>.</t>
        </is>
      </c>
      <c r="BB301" s="190">
        <f>SUM(BC301:BN301)</f>
        <v/>
      </c>
      <c r="BC301" s="191">
        <f>L301*0.0702730030</f>
        <v/>
      </c>
      <c r="BD301" s="191">
        <f>L301*0.0734327604</f>
        <v/>
      </c>
      <c r="BE301" s="191">
        <f>L301*0.0752022245</f>
        <v/>
      </c>
      <c r="BF301" s="191">
        <f>L301*0.0771612740</f>
        <v/>
      </c>
      <c r="BG301" s="191">
        <f>L301*0.0796890799</f>
        <v/>
      </c>
      <c r="BH301" s="191">
        <f>L301*0.0817745197</f>
        <v/>
      </c>
      <c r="BI301" s="191">
        <f>L301*0.0849342770</f>
        <v/>
      </c>
      <c r="BJ301" s="191">
        <f>L301*0.0870197169</f>
        <v/>
      </c>
      <c r="BK301" s="191">
        <f>L301*0.0889787664</f>
        <v/>
      </c>
      <c r="BL301" s="191">
        <f>L301*0.0911905966</f>
        <v/>
      </c>
      <c r="BM301" s="191">
        <f>L301*0.0935920121</f>
        <v/>
      </c>
      <c r="BN301" s="192">
        <f>L301*0.0967517695</f>
        <v/>
      </c>
      <c r="BO301" s="36" t="inlineStr">
        <is>
          <t>.</t>
        </is>
      </c>
      <c r="BP301" s="193">
        <f>SUM(BQ301:CB301)</f>
        <v/>
      </c>
      <c r="BQ301" s="191">
        <f>MAX(0,BC301-AA301)</f>
        <v/>
      </c>
      <c r="BR301" s="191">
        <f>MAX(0,BD301-AB301)</f>
        <v/>
      </c>
      <c r="BS301" s="191">
        <f>MAX(0,BE301-AC301)</f>
        <v/>
      </c>
      <c r="BT301" s="191">
        <f>MAX(0,BF301-AD301)</f>
        <v/>
      </c>
      <c r="BU301" s="191">
        <f>MAX(0,BG301-AE301)</f>
        <v/>
      </c>
      <c r="BV301" s="191">
        <f>MAX(0,BH301-AF301)</f>
        <v/>
      </c>
      <c r="BW301" s="191">
        <f>MAX(0,BI301-AG301)</f>
        <v/>
      </c>
      <c r="BX301" s="191">
        <f>MAX(0,BJ301-AH301)</f>
        <v/>
      </c>
      <c r="BY301" s="191">
        <f>MAX(0,BK301-AI301)</f>
        <v/>
      </c>
      <c r="BZ301" s="191">
        <f>MAX(0,BL301-AJ301)</f>
        <v/>
      </c>
      <c r="CA301" s="191">
        <f>MAX(0,BM301-AK301)</f>
        <v/>
      </c>
      <c r="CB301" s="192">
        <f>MAX(0,BN301-AL301)</f>
        <v/>
      </c>
    </row>
    <row r="302">
      <c r="A302" s="64" t="inlineStr">
        <is>
          <t>46013288000130</t>
        </is>
      </c>
      <c r="B302" s="57" t="inlineStr">
        <is>
          <t>ORIGENS EMPORIO NATURAL LTDA - ME</t>
        </is>
      </c>
      <c r="C302" s="57" t="inlineStr">
        <is>
          <t>CIA DA SAUDE</t>
        </is>
      </c>
      <c r="D302" s="61" t="inlineStr">
        <is>
          <t>JULIO GADRET</t>
        </is>
      </c>
      <c r="E302" s="30" t="inlineStr">
        <is>
          <t>.</t>
        </is>
      </c>
      <c r="F302" s="63" t="n">
        <v>163</v>
      </c>
      <c r="G302" s="179" t="n">
        <v>0.026</v>
      </c>
      <c r="H302" s="57" t="inlineStr">
        <is>
          <t>🔴 VERMELHO</t>
        </is>
      </c>
      <c r="I302" s="57" t="inlineStr">
        <is>
          <t>ATIVAÇÃO</t>
        </is>
      </c>
      <c r="J302" s="61" t="inlineStr">
        <is>
          <t>Reativar inativos + Prospectar</t>
        </is>
      </c>
      <c r="K302" s="30" t="inlineStr">
        <is>
          <t>.</t>
        </is>
      </c>
      <c r="L302" s="180" t="n">
        <v>3421.61</v>
      </c>
      <c r="M302" s="181" t="n">
        <v>240.45</v>
      </c>
      <c r="N302" s="181" t="n">
        <v>251.26</v>
      </c>
      <c r="O302" s="181" t="n">
        <v>257.31</v>
      </c>
      <c r="P302" s="181" t="n">
        <v>264.02</v>
      </c>
      <c r="Q302" s="181" t="n">
        <v>272.66</v>
      </c>
      <c r="R302" s="181" t="n">
        <v>279.8</v>
      </c>
      <c r="S302" s="181" t="n">
        <v>290.61</v>
      </c>
      <c r="T302" s="181" t="n">
        <v>297.75</v>
      </c>
      <c r="U302" s="181" t="n">
        <v>304.45</v>
      </c>
      <c r="V302" s="181" t="n">
        <v>312.02</v>
      </c>
      <c r="W302" s="181" t="n">
        <v>320.23</v>
      </c>
      <c r="X302" s="182" t="n">
        <v>331.05</v>
      </c>
      <c r="Y302" s="183" t="inlineStr">
        <is>
          <t>.</t>
        </is>
      </c>
      <c r="Z302" s="184">
        <f>SUM(AA302:AL302)</f>
        <v/>
      </c>
      <c r="AA302" s="185" t="n">
        <v>0</v>
      </c>
      <c r="AB302" s="185" t="n">
        <v>0</v>
      </c>
      <c r="AC302" s="185" t="n">
        <v>0</v>
      </c>
      <c r="AD302" s="185" t="n">
        <v>0</v>
      </c>
      <c r="AE302" s="185" t="n">
        <v>0</v>
      </c>
      <c r="AF302" s="185" t="n">
        <v>0</v>
      </c>
      <c r="AG302" s="185" t="n">
        <v>0</v>
      </c>
      <c r="AH302" s="185" t="n">
        <v>0</v>
      </c>
      <c r="AI302" s="185" t="n">
        <v>0</v>
      </c>
      <c r="AJ302" s="185" t="n">
        <v>0</v>
      </c>
      <c r="AK302" s="185" t="n">
        <v>1825.15</v>
      </c>
      <c r="AL302" s="186" t="n">
        <v>0</v>
      </c>
      <c r="AM302" s="30" t="inlineStr">
        <is>
          <t>.</t>
        </is>
      </c>
      <c r="AN302" s="187">
        <f>IF(L302=0,0,Z302/L302)</f>
        <v/>
      </c>
      <c r="AO302" s="57">
        <f>IF(AN302&gt;=1,"🟢",IF(AN302&gt;=0.7,"🟡",IF(AN302&gt;=0.4,"🟠","🔴")))</f>
        <v/>
      </c>
      <c r="AP302" s="185">
        <f>L302-Z302</f>
        <v/>
      </c>
      <c r="AQ302" s="55">
        <f>RANK(Z302,$Z$4:$Z$503,0)</f>
        <v/>
      </c>
      <c r="AR302" s="39" t="inlineStr">
        <is>
          <t>.</t>
        </is>
      </c>
      <c r="AS302" s="27" t="n"/>
      <c r="AT302" s="27" t="n"/>
      <c r="AU302" s="27" t="n"/>
      <c r="AV302" s="27" t="n"/>
      <c r="AW302" s="27" t="n"/>
      <c r="AX302" s="27" t="n"/>
      <c r="AY302" s="204" t="n"/>
      <c r="AZ302" s="204" t="n"/>
      <c r="BA302" s="38" t="inlineStr">
        <is>
          <t>.</t>
        </is>
      </c>
      <c r="BB302" s="190">
        <f>SUM(BC302:BN302)</f>
        <v/>
      </c>
      <c r="BC302" s="191">
        <f>L302*0.0702730030</f>
        <v/>
      </c>
      <c r="BD302" s="191">
        <f>L302*0.0734327604</f>
        <v/>
      </c>
      <c r="BE302" s="191">
        <f>L302*0.0752022245</f>
        <v/>
      </c>
      <c r="BF302" s="191">
        <f>L302*0.0771612740</f>
        <v/>
      </c>
      <c r="BG302" s="191">
        <f>L302*0.0796890799</f>
        <v/>
      </c>
      <c r="BH302" s="191">
        <f>L302*0.0817745197</f>
        <v/>
      </c>
      <c r="BI302" s="191">
        <f>L302*0.0849342770</f>
        <v/>
      </c>
      <c r="BJ302" s="191">
        <f>L302*0.0870197169</f>
        <v/>
      </c>
      <c r="BK302" s="191">
        <f>L302*0.0889787664</f>
        <v/>
      </c>
      <c r="BL302" s="191">
        <f>L302*0.0911905966</f>
        <v/>
      </c>
      <c r="BM302" s="191">
        <f>L302*0.0935920121</f>
        <v/>
      </c>
      <c r="BN302" s="192">
        <f>L302*0.0967517695</f>
        <v/>
      </c>
      <c r="BO302" s="36" t="inlineStr">
        <is>
          <t>.</t>
        </is>
      </c>
      <c r="BP302" s="193">
        <f>SUM(BQ302:CB302)</f>
        <v/>
      </c>
      <c r="BQ302" s="191">
        <f>MAX(0,BC302-AA302)</f>
        <v/>
      </c>
      <c r="BR302" s="191">
        <f>MAX(0,BD302-AB302)</f>
        <v/>
      </c>
      <c r="BS302" s="191">
        <f>MAX(0,BE302-AC302)</f>
        <v/>
      </c>
      <c r="BT302" s="191">
        <f>MAX(0,BF302-AD302)</f>
        <v/>
      </c>
      <c r="BU302" s="191">
        <f>MAX(0,BG302-AE302)</f>
        <v/>
      </c>
      <c r="BV302" s="191">
        <f>MAX(0,BH302-AF302)</f>
        <v/>
      </c>
      <c r="BW302" s="191">
        <f>MAX(0,BI302-AG302)</f>
        <v/>
      </c>
      <c r="BX302" s="191">
        <f>MAX(0,BJ302-AH302)</f>
        <v/>
      </c>
      <c r="BY302" s="191">
        <f>MAX(0,BK302-AI302)</f>
        <v/>
      </c>
      <c r="BZ302" s="191">
        <f>MAX(0,BL302-AJ302)</f>
        <v/>
      </c>
      <c r="CA302" s="191">
        <f>MAX(0,BM302-AK302)</f>
        <v/>
      </c>
      <c r="CB302" s="192">
        <f>MAX(0,BN302-AL302)</f>
        <v/>
      </c>
    </row>
    <row r="303">
      <c r="A303" s="64" t="inlineStr">
        <is>
          <t>28842901000140</t>
        </is>
      </c>
      <c r="B303" s="57" t="inlineStr">
        <is>
          <t>C&amp;L COMERCIO DE ALIMENTOS LTDA - ME</t>
        </is>
      </c>
      <c r="C303" s="57" t="inlineStr">
        <is>
          <t>SEM GRUPO</t>
        </is>
      </c>
      <c r="D303" s="61" t="inlineStr">
        <is>
          <t>LARISSA PADILHA</t>
        </is>
      </c>
      <c r="E303" s="30" t="inlineStr">
        <is>
          <t>.</t>
        </is>
      </c>
      <c r="F303" s="63" t="inlineStr"/>
      <c r="G303" s="179" t="inlineStr"/>
      <c r="H303" s="57" t="inlineStr"/>
      <c r="I303" s="57" t="inlineStr"/>
      <c r="J303" s="61" t="inlineStr"/>
      <c r="K303" s="30" t="inlineStr">
        <is>
          <t>.</t>
        </is>
      </c>
      <c r="L303" s="180" t="n">
        <v>3409.239999999999</v>
      </c>
      <c r="M303" s="181" t="n">
        <v>239.58</v>
      </c>
      <c r="N303" s="181" t="n">
        <v>250.35</v>
      </c>
      <c r="O303" s="181" t="n">
        <v>256.38</v>
      </c>
      <c r="P303" s="181" t="n">
        <v>263.06</v>
      </c>
      <c r="Q303" s="181" t="n">
        <v>271.68</v>
      </c>
      <c r="R303" s="181" t="n">
        <v>278.79</v>
      </c>
      <c r="S303" s="181" t="n">
        <v>289.56</v>
      </c>
      <c r="T303" s="181" t="n">
        <v>296.67</v>
      </c>
      <c r="U303" s="181" t="n">
        <v>303.35</v>
      </c>
      <c r="V303" s="181" t="n">
        <v>310.89</v>
      </c>
      <c r="W303" s="181" t="n">
        <v>319.08</v>
      </c>
      <c r="X303" s="182" t="n">
        <v>329.85</v>
      </c>
      <c r="Y303" s="183" t="inlineStr">
        <is>
          <t>.</t>
        </is>
      </c>
      <c r="Z303" s="184">
        <f>SUM(AA303:AL303)</f>
        <v/>
      </c>
      <c r="AA303" s="185" t="n">
        <v>0</v>
      </c>
      <c r="AB303" s="185" t="n">
        <v>0</v>
      </c>
      <c r="AC303" s="185" t="n">
        <v>0</v>
      </c>
      <c r="AD303" s="185" t="n">
        <v>0</v>
      </c>
      <c r="AE303" s="185" t="n">
        <v>0</v>
      </c>
      <c r="AF303" s="185" t="n">
        <v>0</v>
      </c>
      <c r="AG303" s="185" t="n">
        <v>0</v>
      </c>
      <c r="AH303" s="185" t="n">
        <v>0</v>
      </c>
      <c r="AI303" s="185" t="n">
        <v>0</v>
      </c>
      <c r="AJ303" s="185" t="n">
        <v>0</v>
      </c>
      <c r="AK303" s="185" t="n">
        <v>0</v>
      </c>
      <c r="AL303" s="186" t="n">
        <v>1502.56</v>
      </c>
      <c r="AM303" s="30" t="inlineStr">
        <is>
          <t>.</t>
        </is>
      </c>
      <c r="AN303" s="187">
        <f>IF(L303=0,0,Z303/L303)</f>
        <v/>
      </c>
      <c r="AO303" s="57">
        <f>IF(AN303&gt;=1,"🟢",IF(AN303&gt;=0.7,"🟡",IF(AN303&gt;=0.4,"🟠","🔴")))</f>
        <v/>
      </c>
      <c r="AP303" s="185">
        <f>L303-Z303</f>
        <v/>
      </c>
      <c r="AQ303" s="55">
        <f>RANK(Z303,$Z$4:$Z$503,0)</f>
        <v/>
      </c>
      <c r="AR303" s="39" t="inlineStr">
        <is>
          <t>.</t>
        </is>
      </c>
      <c r="AS303" s="27" t="n"/>
      <c r="AT303" s="27" t="n"/>
      <c r="AU303" s="27" t="n"/>
      <c r="AV303" s="27" t="n"/>
      <c r="AW303" s="27" t="n"/>
      <c r="AX303" s="27" t="n"/>
      <c r="AY303" s="204" t="n"/>
      <c r="AZ303" s="204" t="n"/>
      <c r="BA303" s="38" t="inlineStr">
        <is>
          <t>.</t>
        </is>
      </c>
      <c r="BB303" s="190">
        <f>SUM(BC303:BN303)</f>
        <v/>
      </c>
      <c r="BC303" s="191">
        <f>L303*0.0702730030</f>
        <v/>
      </c>
      <c r="BD303" s="191">
        <f>L303*0.0734327604</f>
        <v/>
      </c>
      <c r="BE303" s="191">
        <f>L303*0.0752022245</f>
        <v/>
      </c>
      <c r="BF303" s="191">
        <f>L303*0.0771612740</f>
        <v/>
      </c>
      <c r="BG303" s="191">
        <f>L303*0.0796890799</f>
        <v/>
      </c>
      <c r="BH303" s="191">
        <f>L303*0.0817745197</f>
        <v/>
      </c>
      <c r="BI303" s="191">
        <f>L303*0.0849342770</f>
        <v/>
      </c>
      <c r="BJ303" s="191">
        <f>L303*0.0870197169</f>
        <v/>
      </c>
      <c r="BK303" s="191">
        <f>L303*0.0889787664</f>
        <v/>
      </c>
      <c r="BL303" s="191">
        <f>L303*0.0911905966</f>
        <v/>
      </c>
      <c r="BM303" s="191">
        <f>L303*0.0935920121</f>
        <v/>
      </c>
      <c r="BN303" s="192">
        <f>L303*0.0967517695</f>
        <v/>
      </c>
      <c r="BO303" s="36" t="inlineStr">
        <is>
          <t>.</t>
        </is>
      </c>
      <c r="BP303" s="193">
        <f>SUM(BQ303:CB303)</f>
        <v/>
      </c>
      <c r="BQ303" s="191">
        <f>MAX(0,BC303-AA303)</f>
        <v/>
      </c>
      <c r="BR303" s="191">
        <f>MAX(0,BD303-AB303)</f>
        <v/>
      </c>
      <c r="BS303" s="191">
        <f>MAX(0,BE303-AC303)</f>
        <v/>
      </c>
      <c r="BT303" s="191">
        <f>MAX(0,BF303-AD303)</f>
        <v/>
      </c>
      <c r="BU303" s="191">
        <f>MAX(0,BG303-AE303)</f>
        <v/>
      </c>
      <c r="BV303" s="191">
        <f>MAX(0,BH303-AF303)</f>
        <v/>
      </c>
      <c r="BW303" s="191">
        <f>MAX(0,BI303-AG303)</f>
        <v/>
      </c>
      <c r="BX303" s="191">
        <f>MAX(0,BJ303-AH303)</f>
        <v/>
      </c>
      <c r="BY303" s="191">
        <f>MAX(0,BK303-AI303)</f>
        <v/>
      </c>
      <c r="BZ303" s="191">
        <f>MAX(0,BL303-AJ303)</f>
        <v/>
      </c>
      <c r="CA303" s="191">
        <f>MAX(0,BM303-AK303)</f>
        <v/>
      </c>
      <c r="CB303" s="192">
        <f>MAX(0,BN303-AL303)</f>
        <v/>
      </c>
    </row>
    <row r="304">
      <c r="A304" s="64" t="inlineStr">
        <is>
          <t>61746555000171</t>
        </is>
      </c>
      <c r="B304" s="57" t="inlineStr">
        <is>
          <t>MARILIA RAFAELA FERREIRA DA LUZ LTDA</t>
        </is>
      </c>
      <c r="C304" s="57" t="inlineStr">
        <is>
          <t>SEM GRUPO</t>
        </is>
      </c>
      <c r="D304" s="61" t="inlineStr">
        <is>
          <t>HEMANUELE DITZEL (MANU)</t>
        </is>
      </c>
      <c r="E304" s="30" t="inlineStr">
        <is>
          <t>.</t>
        </is>
      </c>
      <c r="F304" s="63" t="inlineStr"/>
      <c r="G304" s="179" t="inlineStr"/>
      <c r="H304" s="57" t="inlineStr"/>
      <c r="I304" s="57" t="inlineStr"/>
      <c r="J304" s="61" t="inlineStr"/>
      <c r="K304" s="30" t="inlineStr">
        <is>
          <t>.</t>
        </is>
      </c>
      <c r="L304" s="180" t="n">
        <v>3409.150000000001</v>
      </c>
      <c r="M304" s="181" t="n">
        <v>239.57</v>
      </c>
      <c r="N304" s="181" t="n">
        <v>250.34</v>
      </c>
      <c r="O304" s="181" t="n">
        <v>256.38</v>
      </c>
      <c r="P304" s="181" t="n">
        <v>263.06</v>
      </c>
      <c r="Q304" s="181" t="n">
        <v>271.67</v>
      </c>
      <c r="R304" s="181" t="n">
        <v>278.78</v>
      </c>
      <c r="S304" s="181" t="n">
        <v>289.56</v>
      </c>
      <c r="T304" s="181" t="n">
        <v>296.66</v>
      </c>
      <c r="U304" s="181" t="n">
        <v>303.34</v>
      </c>
      <c r="V304" s="181" t="n">
        <v>310.88</v>
      </c>
      <c r="W304" s="181" t="n">
        <v>319.07</v>
      </c>
      <c r="X304" s="182" t="n">
        <v>329.84</v>
      </c>
      <c r="Y304" s="183" t="inlineStr">
        <is>
          <t>.</t>
        </is>
      </c>
      <c r="Z304" s="184">
        <f>SUM(AA304:AL304)</f>
        <v/>
      </c>
      <c r="AA304" s="185" t="n">
        <v>0</v>
      </c>
      <c r="AB304" s="185" t="n">
        <v>0</v>
      </c>
      <c r="AC304" s="185" t="n">
        <v>0</v>
      </c>
      <c r="AD304" s="185" t="n">
        <v>0</v>
      </c>
      <c r="AE304" s="185" t="n">
        <v>0</v>
      </c>
      <c r="AF304" s="185" t="n">
        <v>0</v>
      </c>
      <c r="AG304" s="185" t="n">
        <v>0</v>
      </c>
      <c r="AH304" s="185" t="n">
        <v>722.4299999999999</v>
      </c>
      <c r="AI304" s="185" t="n">
        <v>767.64</v>
      </c>
      <c r="AJ304" s="185" t="n">
        <v>0</v>
      </c>
      <c r="AK304" s="185" t="n">
        <v>0</v>
      </c>
      <c r="AL304" s="186" t="n">
        <v>0</v>
      </c>
      <c r="AM304" s="30" t="inlineStr">
        <is>
          <t>.</t>
        </is>
      </c>
      <c r="AN304" s="187">
        <f>IF(L304=0,0,Z304/L304)</f>
        <v/>
      </c>
      <c r="AO304" s="57">
        <f>IF(AN304&gt;=1,"🟢",IF(AN304&gt;=0.7,"🟡",IF(AN304&gt;=0.4,"🟠","🔴")))</f>
        <v/>
      </c>
      <c r="AP304" s="185">
        <f>L304-Z304</f>
        <v/>
      </c>
      <c r="AQ304" s="55">
        <f>RANK(Z304,$Z$4:$Z$503,0)</f>
        <v/>
      </c>
      <c r="AR304" s="39" t="inlineStr">
        <is>
          <t>.</t>
        </is>
      </c>
      <c r="AS304" s="27" t="n"/>
      <c r="AT304" s="27" t="n"/>
      <c r="AU304" s="27" t="n"/>
      <c r="AV304" s="27" t="n"/>
      <c r="AW304" s="27" t="n"/>
      <c r="AX304" s="27" t="n"/>
      <c r="AY304" s="204" t="n"/>
      <c r="AZ304" s="204" t="n"/>
      <c r="BA304" s="38" t="inlineStr">
        <is>
          <t>.</t>
        </is>
      </c>
      <c r="BB304" s="190">
        <f>SUM(BC304:BN304)</f>
        <v/>
      </c>
      <c r="BC304" s="191">
        <f>L304*0.0702730030</f>
        <v/>
      </c>
      <c r="BD304" s="191">
        <f>L304*0.0734327604</f>
        <v/>
      </c>
      <c r="BE304" s="191">
        <f>L304*0.0752022245</f>
        <v/>
      </c>
      <c r="BF304" s="191">
        <f>L304*0.0771612740</f>
        <v/>
      </c>
      <c r="BG304" s="191">
        <f>L304*0.0796890799</f>
        <v/>
      </c>
      <c r="BH304" s="191">
        <f>L304*0.0817745197</f>
        <v/>
      </c>
      <c r="BI304" s="191">
        <f>L304*0.0849342770</f>
        <v/>
      </c>
      <c r="BJ304" s="191">
        <f>L304*0.0870197169</f>
        <v/>
      </c>
      <c r="BK304" s="191">
        <f>L304*0.0889787664</f>
        <v/>
      </c>
      <c r="BL304" s="191">
        <f>L304*0.0911905966</f>
        <v/>
      </c>
      <c r="BM304" s="191">
        <f>L304*0.0935920121</f>
        <v/>
      </c>
      <c r="BN304" s="192">
        <f>L304*0.0967517695</f>
        <v/>
      </c>
      <c r="BO304" s="36" t="inlineStr">
        <is>
          <t>.</t>
        </is>
      </c>
      <c r="BP304" s="193">
        <f>SUM(BQ304:CB304)</f>
        <v/>
      </c>
      <c r="BQ304" s="191">
        <f>MAX(0,BC304-AA304)</f>
        <v/>
      </c>
      <c r="BR304" s="191">
        <f>MAX(0,BD304-AB304)</f>
        <v/>
      </c>
      <c r="BS304" s="191">
        <f>MAX(0,BE304-AC304)</f>
        <v/>
      </c>
      <c r="BT304" s="191">
        <f>MAX(0,BF304-AD304)</f>
        <v/>
      </c>
      <c r="BU304" s="191">
        <f>MAX(0,BG304-AE304)</f>
        <v/>
      </c>
      <c r="BV304" s="191">
        <f>MAX(0,BH304-AF304)</f>
        <v/>
      </c>
      <c r="BW304" s="191">
        <f>MAX(0,BI304-AG304)</f>
        <v/>
      </c>
      <c r="BX304" s="191">
        <f>MAX(0,BJ304-AH304)</f>
        <v/>
      </c>
      <c r="BY304" s="191">
        <f>MAX(0,BK304-AI304)</f>
        <v/>
      </c>
      <c r="BZ304" s="191">
        <f>MAX(0,BL304-AJ304)</f>
        <v/>
      </c>
      <c r="CA304" s="191">
        <f>MAX(0,BM304-AK304)</f>
        <v/>
      </c>
      <c r="CB304" s="192">
        <f>MAX(0,BN304-AL304)</f>
        <v/>
      </c>
    </row>
    <row r="305">
      <c r="A305" s="64" t="inlineStr">
        <is>
          <t>52923234000104</t>
        </is>
      </c>
      <c r="B305" s="57" t="inlineStr">
        <is>
          <t>S&amp;P NUTRICAO VIDA E SAUDE LTDA - ME</t>
        </is>
      </c>
      <c r="C305" s="57" t="inlineStr">
        <is>
          <t>FITLAND</t>
        </is>
      </c>
      <c r="D305" s="61" t="inlineStr">
        <is>
          <t>JULIO GADRET</t>
        </is>
      </c>
      <c r="E305" s="30" t="inlineStr">
        <is>
          <t>.</t>
        </is>
      </c>
      <c r="F305" s="63" t="n">
        <v>89</v>
      </c>
      <c r="G305" s="179" t="n">
        <v>0.298</v>
      </c>
      <c r="H305" s="57" t="inlineStr">
        <is>
          <t>🔴 VERMELHO</t>
        </is>
      </c>
      <c r="I305" s="57" t="inlineStr">
        <is>
          <t>POSITIVAÇÃO</t>
        </is>
      </c>
      <c r="J305" s="61" t="inlineStr">
        <is>
          <t>Aumentar frequência + Expandir base</t>
        </is>
      </c>
      <c r="K305" s="30" t="inlineStr">
        <is>
          <t>.</t>
        </is>
      </c>
      <c r="L305" s="180" t="n">
        <v>3380.93</v>
      </c>
      <c r="M305" s="181" t="n">
        <v>237.59</v>
      </c>
      <c r="N305" s="181" t="n">
        <v>248.27</v>
      </c>
      <c r="O305" s="181" t="n">
        <v>254.25</v>
      </c>
      <c r="P305" s="181" t="n">
        <v>260.88</v>
      </c>
      <c r="Q305" s="181" t="n">
        <v>269.42</v>
      </c>
      <c r="R305" s="181" t="n">
        <v>276.47</v>
      </c>
      <c r="S305" s="181" t="n">
        <v>287.16</v>
      </c>
      <c r="T305" s="181" t="n">
        <v>294.21</v>
      </c>
      <c r="U305" s="181" t="n">
        <v>300.83</v>
      </c>
      <c r="V305" s="181" t="n">
        <v>308.31</v>
      </c>
      <c r="W305" s="181" t="n">
        <v>316.43</v>
      </c>
      <c r="X305" s="182" t="n">
        <v>327.11</v>
      </c>
      <c r="Y305" s="183" t="inlineStr">
        <is>
          <t>.</t>
        </is>
      </c>
      <c r="Z305" s="184">
        <f>SUM(AA305:AL305)</f>
        <v/>
      </c>
      <c r="AA305" s="185" t="n">
        <v>0</v>
      </c>
      <c r="AB305" s="185" t="n">
        <v>0</v>
      </c>
      <c r="AC305" s="185" t="n">
        <v>0</v>
      </c>
      <c r="AD305" s="185" t="n">
        <v>0</v>
      </c>
      <c r="AE305" s="185" t="n">
        <v>0</v>
      </c>
      <c r="AF305" s="185" t="n">
        <v>0</v>
      </c>
      <c r="AG305" s="185" t="n">
        <v>1714.86</v>
      </c>
      <c r="AH305" s="185" t="n">
        <v>0</v>
      </c>
      <c r="AI305" s="185" t="n">
        <v>0</v>
      </c>
      <c r="AJ305" s="185" t="n">
        <v>0</v>
      </c>
      <c r="AK305" s="185" t="n">
        <v>0</v>
      </c>
      <c r="AL305" s="186" t="n">
        <v>0</v>
      </c>
      <c r="AM305" s="30" t="inlineStr">
        <is>
          <t>.</t>
        </is>
      </c>
      <c r="AN305" s="187">
        <f>IF(L305=0,0,Z305/L305)</f>
        <v/>
      </c>
      <c r="AO305" s="57">
        <f>IF(AN305&gt;=1,"🟢",IF(AN305&gt;=0.7,"🟡",IF(AN305&gt;=0.4,"🟠","🔴")))</f>
        <v/>
      </c>
      <c r="AP305" s="185">
        <f>L305-Z305</f>
        <v/>
      </c>
      <c r="AQ305" s="55">
        <f>RANK(Z305,$Z$4:$Z$503,0)</f>
        <v/>
      </c>
      <c r="AR305" s="39" t="inlineStr">
        <is>
          <t>.</t>
        </is>
      </c>
      <c r="AS305" s="27" t="n"/>
      <c r="AT305" s="27" t="n"/>
      <c r="AU305" s="27" t="n"/>
      <c r="AV305" s="27" t="n"/>
      <c r="AW305" s="27" t="n"/>
      <c r="AX305" s="27" t="n"/>
      <c r="AY305" s="204" t="n"/>
      <c r="AZ305" s="204" t="n"/>
      <c r="BA305" s="38" t="inlineStr">
        <is>
          <t>.</t>
        </is>
      </c>
      <c r="BB305" s="190">
        <f>SUM(BC305:BN305)</f>
        <v/>
      </c>
      <c r="BC305" s="191">
        <f>L305*0.0702730030</f>
        <v/>
      </c>
      <c r="BD305" s="191">
        <f>L305*0.0734327604</f>
        <v/>
      </c>
      <c r="BE305" s="191">
        <f>L305*0.0752022245</f>
        <v/>
      </c>
      <c r="BF305" s="191">
        <f>L305*0.0771612740</f>
        <v/>
      </c>
      <c r="BG305" s="191">
        <f>L305*0.0796890799</f>
        <v/>
      </c>
      <c r="BH305" s="191">
        <f>L305*0.0817745197</f>
        <v/>
      </c>
      <c r="BI305" s="191">
        <f>L305*0.0849342770</f>
        <v/>
      </c>
      <c r="BJ305" s="191">
        <f>L305*0.0870197169</f>
        <v/>
      </c>
      <c r="BK305" s="191">
        <f>L305*0.0889787664</f>
        <v/>
      </c>
      <c r="BL305" s="191">
        <f>L305*0.0911905966</f>
        <v/>
      </c>
      <c r="BM305" s="191">
        <f>L305*0.0935920121</f>
        <v/>
      </c>
      <c r="BN305" s="192">
        <f>L305*0.0967517695</f>
        <v/>
      </c>
      <c r="BO305" s="36" t="inlineStr">
        <is>
          <t>.</t>
        </is>
      </c>
      <c r="BP305" s="193">
        <f>SUM(BQ305:CB305)</f>
        <v/>
      </c>
      <c r="BQ305" s="191">
        <f>MAX(0,BC305-AA305)</f>
        <v/>
      </c>
      <c r="BR305" s="191">
        <f>MAX(0,BD305-AB305)</f>
        <v/>
      </c>
      <c r="BS305" s="191">
        <f>MAX(0,BE305-AC305)</f>
        <v/>
      </c>
      <c r="BT305" s="191">
        <f>MAX(0,BF305-AD305)</f>
        <v/>
      </c>
      <c r="BU305" s="191">
        <f>MAX(0,BG305-AE305)</f>
        <v/>
      </c>
      <c r="BV305" s="191">
        <f>MAX(0,BH305-AF305)</f>
        <v/>
      </c>
      <c r="BW305" s="191">
        <f>MAX(0,BI305-AG305)</f>
        <v/>
      </c>
      <c r="BX305" s="191">
        <f>MAX(0,BJ305-AH305)</f>
        <v/>
      </c>
      <c r="BY305" s="191">
        <f>MAX(0,BK305-AI305)</f>
        <v/>
      </c>
      <c r="BZ305" s="191">
        <f>MAX(0,BL305-AJ305)</f>
        <v/>
      </c>
      <c r="CA305" s="191">
        <f>MAX(0,BM305-AK305)</f>
        <v/>
      </c>
      <c r="CB305" s="192">
        <f>MAX(0,BN305-AL305)</f>
        <v/>
      </c>
    </row>
    <row r="306">
      <c r="A306" s="64" t="inlineStr">
        <is>
          <t>40724765000199</t>
        </is>
      </c>
      <c r="B306" s="57" t="inlineStr">
        <is>
          <t>BIO BUENO LTDA - ME</t>
        </is>
      </c>
      <c r="C306" s="57" t="inlineStr">
        <is>
          <t>BIO MUNDO</t>
        </is>
      </c>
      <c r="D306" s="61" t="inlineStr">
        <is>
          <t>DAIANE STAVICKI</t>
        </is>
      </c>
      <c r="E306" s="30" t="inlineStr">
        <is>
          <t>.</t>
        </is>
      </c>
      <c r="F306" s="63" t="n">
        <v>167</v>
      </c>
      <c r="G306" s="179" t="n">
        <v>0.014</v>
      </c>
      <c r="H306" s="57" t="inlineStr">
        <is>
          <t>🔴 VERMELHO</t>
        </is>
      </c>
      <c r="I306" s="57" t="inlineStr">
        <is>
          <t>ATIVAÇÃO</t>
        </is>
      </c>
      <c r="J306" s="61" t="inlineStr">
        <is>
          <t>Reativar inativos + Prospectar</t>
        </is>
      </c>
      <c r="K306" s="30" t="inlineStr">
        <is>
          <t>.</t>
        </is>
      </c>
      <c r="L306" s="180" t="n">
        <v>3374.45</v>
      </c>
      <c r="M306" s="181" t="n">
        <v>237.13</v>
      </c>
      <c r="N306" s="181" t="n">
        <v>247.8</v>
      </c>
      <c r="O306" s="181" t="n">
        <v>253.77</v>
      </c>
      <c r="P306" s="181" t="n">
        <v>260.38</v>
      </c>
      <c r="Q306" s="181" t="n">
        <v>268.91</v>
      </c>
      <c r="R306" s="181" t="n">
        <v>275.94</v>
      </c>
      <c r="S306" s="181" t="n">
        <v>286.61</v>
      </c>
      <c r="T306" s="181" t="n">
        <v>293.64</v>
      </c>
      <c r="U306" s="181" t="n">
        <v>300.25</v>
      </c>
      <c r="V306" s="181" t="n">
        <v>307.72</v>
      </c>
      <c r="W306" s="181" t="n">
        <v>315.82</v>
      </c>
      <c r="X306" s="182" t="n">
        <v>326.48</v>
      </c>
      <c r="Y306" s="183" t="inlineStr">
        <is>
          <t>.</t>
        </is>
      </c>
      <c r="Z306" s="184">
        <f>SUM(AA306:AL306)</f>
        <v/>
      </c>
      <c r="AA306" s="185" t="n">
        <v>0</v>
      </c>
      <c r="AB306" s="185" t="n">
        <v>0</v>
      </c>
      <c r="AC306" s="185" t="n">
        <v>0</v>
      </c>
      <c r="AD306" s="185" t="n">
        <v>1196.49</v>
      </c>
      <c r="AE306" s="185" t="n">
        <v>0</v>
      </c>
      <c r="AF306" s="185" t="n">
        <v>0</v>
      </c>
      <c r="AG306" s="185" t="n">
        <v>0</v>
      </c>
      <c r="AH306" s="185" t="n">
        <v>0</v>
      </c>
      <c r="AI306" s="185" t="n">
        <v>0</v>
      </c>
      <c r="AJ306" s="185" t="n">
        <v>0</v>
      </c>
      <c r="AK306" s="185" t="n">
        <v>0</v>
      </c>
      <c r="AL306" s="186" t="n">
        <v>0</v>
      </c>
      <c r="AM306" s="30" t="inlineStr">
        <is>
          <t>.</t>
        </is>
      </c>
      <c r="AN306" s="187">
        <f>IF(L306=0,0,Z306/L306)</f>
        <v/>
      </c>
      <c r="AO306" s="57">
        <f>IF(AN306&gt;=1,"🟢",IF(AN306&gt;=0.7,"🟡",IF(AN306&gt;=0.4,"🟠","🔴")))</f>
        <v/>
      </c>
      <c r="AP306" s="185">
        <f>L306-Z306</f>
        <v/>
      </c>
      <c r="AQ306" s="55">
        <f>RANK(Z306,$Z$4:$Z$503,0)</f>
        <v/>
      </c>
      <c r="AR306" s="39" t="inlineStr">
        <is>
          <t>.</t>
        </is>
      </c>
      <c r="AS306" s="27" t="n"/>
      <c r="AT306" s="27" t="n"/>
      <c r="AU306" s="27" t="n"/>
      <c r="AV306" s="27" t="n"/>
      <c r="AW306" s="27" t="n"/>
      <c r="AX306" s="27" t="n"/>
      <c r="AY306" s="204" t="n"/>
      <c r="AZ306" s="204" t="n"/>
      <c r="BA306" s="38" t="inlineStr">
        <is>
          <t>.</t>
        </is>
      </c>
      <c r="BB306" s="190">
        <f>SUM(BC306:BN306)</f>
        <v/>
      </c>
      <c r="BC306" s="191">
        <f>L306*0.0702730030</f>
        <v/>
      </c>
      <c r="BD306" s="191">
        <f>L306*0.0734327604</f>
        <v/>
      </c>
      <c r="BE306" s="191">
        <f>L306*0.0752022245</f>
        <v/>
      </c>
      <c r="BF306" s="191">
        <f>L306*0.0771612740</f>
        <v/>
      </c>
      <c r="BG306" s="191">
        <f>L306*0.0796890799</f>
        <v/>
      </c>
      <c r="BH306" s="191">
        <f>L306*0.0817745197</f>
        <v/>
      </c>
      <c r="BI306" s="191">
        <f>L306*0.0849342770</f>
        <v/>
      </c>
      <c r="BJ306" s="191">
        <f>L306*0.0870197169</f>
        <v/>
      </c>
      <c r="BK306" s="191">
        <f>L306*0.0889787664</f>
        <v/>
      </c>
      <c r="BL306" s="191">
        <f>L306*0.0911905966</f>
        <v/>
      </c>
      <c r="BM306" s="191">
        <f>L306*0.0935920121</f>
        <v/>
      </c>
      <c r="BN306" s="192">
        <f>L306*0.0967517695</f>
        <v/>
      </c>
      <c r="BO306" s="36" t="inlineStr">
        <is>
          <t>.</t>
        </is>
      </c>
      <c r="BP306" s="193">
        <f>SUM(BQ306:CB306)</f>
        <v/>
      </c>
      <c r="BQ306" s="191">
        <f>MAX(0,BC306-AA306)</f>
        <v/>
      </c>
      <c r="BR306" s="191">
        <f>MAX(0,BD306-AB306)</f>
        <v/>
      </c>
      <c r="BS306" s="191">
        <f>MAX(0,BE306-AC306)</f>
        <v/>
      </c>
      <c r="BT306" s="191">
        <f>MAX(0,BF306-AD306)</f>
        <v/>
      </c>
      <c r="BU306" s="191">
        <f>MAX(0,BG306-AE306)</f>
        <v/>
      </c>
      <c r="BV306" s="191">
        <f>MAX(0,BH306-AF306)</f>
        <v/>
      </c>
      <c r="BW306" s="191">
        <f>MAX(0,BI306-AG306)</f>
        <v/>
      </c>
      <c r="BX306" s="191">
        <f>MAX(0,BJ306-AH306)</f>
        <v/>
      </c>
      <c r="BY306" s="191">
        <f>MAX(0,BK306-AI306)</f>
        <v/>
      </c>
      <c r="BZ306" s="191">
        <f>MAX(0,BL306-AJ306)</f>
        <v/>
      </c>
      <c r="CA306" s="191">
        <f>MAX(0,BM306-AK306)</f>
        <v/>
      </c>
      <c r="CB306" s="192">
        <f>MAX(0,BN306-AL306)</f>
        <v/>
      </c>
    </row>
    <row r="307">
      <c r="A307" s="64" t="inlineStr">
        <is>
          <t>62738337000158</t>
        </is>
      </c>
      <c r="B307" s="57" t="inlineStr">
        <is>
          <t>YES COMERCIO DE PRODUTOS NATURAIS LTDA-</t>
        </is>
      </c>
      <c r="C307" s="57" t="inlineStr">
        <is>
          <t>CIA DA SAUDE</t>
        </is>
      </c>
      <c r="D307" s="61" t="inlineStr">
        <is>
          <t>JULIO GADRET</t>
        </is>
      </c>
      <c r="E307" s="30" t="inlineStr">
        <is>
          <t>.</t>
        </is>
      </c>
      <c r="F307" s="63" t="n">
        <v>163</v>
      </c>
      <c r="G307" s="179" t="n">
        <v>0.026</v>
      </c>
      <c r="H307" s="57" t="inlineStr">
        <is>
          <t>🔴 VERMELHO</t>
        </is>
      </c>
      <c r="I307" s="57" t="inlineStr">
        <is>
          <t>ATIVAÇÃO</t>
        </is>
      </c>
      <c r="J307" s="61" t="inlineStr">
        <is>
          <t>Reativar inativos + Prospectar</t>
        </is>
      </c>
      <c r="K307" s="30" t="inlineStr">
        <is>
          <t>.</t>
        </is>
      </c>
      <c r="L307" s="180" t="n">
        <v>3373.72</v>
      </c>
      <c r="M307" s="181" t="n">
        <v>237.08</v>
      </c>
      <c r="N307" s="181" t="n">
        <v>247.74</v>
      </c>
      <c r="O307" s="181" t="n">
        <v>253.71</v>
      </c>
      <c r="P307" s="181" t="n">
        <v>260.32</v>
      </c>
      <c r="Q307" s="181" t="n">
        <v>268.85</v>
      </c>
      <c r="R307" s="181" t="n">
        <v>275.89</v>
      </c>
      <c r="S307" s="181" t="n">
        <v>286.55</v>
      </c>
      <c r="T307" s="181" t="n">
        <v>293.58</v>
      </c>
      <c r="U307" s="181" t="n">
        <v>300.19</v>
      </c>
      <c r="V307" s="181" t="n">
        <v>307.65</v>
      </c>
      <c r="W307" s="181" t="n">
        <v>315.75</v>
      </c>
      <c r="X307" s="182" t="n">
        <v>326.41</v>
      </c>
      <c r="Y307" s="183" t="inlineStr">
        <is>
          <t>.</t>
        </is>
      </c>
      <c r="Z307" s="184">
        <f>SUM(AA307:AL307)</f>
        <v/>
      </c>
      <c r="AA307" s="185" t="n">
        <v>0</v>
      </c>
      <c r="AB307" s="185" t="n">
        <v>0</v>
      </c>
      <c r="AC307" s="185" t="n">
        <v>0</v>
      </c>
      <c r="AD307" s="185" t="n">
        <v>0</v>
      </c>
      <c r="AE307" s="185" t="n">
        <v>0</v>
      </c>
      <c r="AF307" s="185" t="n">
        <v>0</v>
      </c>
      <c r="AG307" s="185" t="n">
        <v>0</v>
      </c>
      <c r="AH307" s="185" t="n">
        <v>0</v>
      </c>
      <c r="AI307" s="185" t="n">
        <v>0</v>
      </c>
      <c r="AJ307" s="185" t="n">
        <v>0</v>
      </c>
      <c r="AK307" s="185" t="n">
        <v>1799.62</v>
      </c>
      <c r="AL307" s="186" t="n">
        <v>0</v>
      </c>
      <c r="AM307" s="30" t="inlineStr">
        <is>
          <t>.</t>
        </is>
      </c>
      <c r="AN307" s="187">
        <f>IF(L307=0,0,Z307/L307)</f>
        <v/>
      </c>
      <c r="AO307" s="57">
        <f>IF(AN307&gt;=1,"🟢",IF(AN307&gt;=0.7,"🟡",IF(AN307&gt;=0.4,"🟠","🔴")))</f>
        <v/>
      </c>
      <c r="AP307" s="185">
        <f>L307-Z307</f>
        <v/>
      </c>
      <c r="AQ307" s="55">
        <f>RANK(Z307,$Z$4:$Z$503,0)</f>
        <v/>
      </c>
      <c r="AR307" s="39" t="inlineStr">
        <is>
          <t>.</t>
        </is>
      </c>
      <c r="AS307" s="27" t="n"/>
      <c r="AT307" s="27" t="n"/>
      <c r="AU307" s="27" t="n"/>
      <c r="AV307" s="27" t="n"/>
      <c r="AW307" s="27" t="n"/>
      <c r="AX307" s="27" t="n"/>
      <c r="AY307" s="204" t="n"/>
      <c r="AZ307" s="204" t="n"/>
      <c r="BA307" s="38" t="inlineStr">
        <is>
          <t>.</t>
        </is>
      </c>
      <c r="BB307" s="190">
        <f>SUM(BC307:BN307)</f>
        <v/>
      </c>
      <c r="BC307" s="191">
        <f>L307*0.0702730030</f>
        <v/>
      </c>
      <c r="BD307" s="191">
        <f>L307*0.0734327604</f>
        <v/>
      </c>
      <c r="BE307" s="191">
        <f>L307*0.0752022245</f>
        <v/>
      </c>
      <c r="BF307" s="191">
        <f>L307*0.0771612740</f>
        <v/>
      </c>
      <c r="BG307" s="191">
        <f>L307*0.0796890799</f>
        <v/>
      </c>
      <c r="BH307" s="191">
        <f>L307*0.0817745197</f>
        <v/>
      </c>
      <c r="BI307" s="191">
        <f>L307*0.0849342770</f>
        <v/>
      </c>
      <c r="BJ307" s="191">
        <f>L307*0.0870197169</f>
        <v/>
      </c>
      <c r="BK307" s="191">
        <f>L307*0.0889787664</f>
        <v/>
      </c>
      <c r="BL307" s="191">
        <f>L307*0.0911905966</f>
        <v/>
      </c>
      <c r="BM307" s="191">
        <f>L307*0.0935920121</f>
        <v/>
      </c>
      <c r="BN307" s="192">
        <f>L307*0.0967517695</f>
        <v/>
      </c>
      <c r="BO307" s="36" t="inlineStr">
        <is>
          <t>.</t>
        </is>
      </c>
      <c r="BP307" s="193">
        <f>SUM(BQ307:CB307)</f>
        <v/>
      </c>
      <c r="BQ307" s="191">
        <f>MAX(0,BC307-AA307)</f>
        <v/>
      </c>
      <c r="BR307" s="191">
        <f>MAX(0,BD307-AB307)</f>
        <v/>
      </c>
      <c r="BS307" s="191">
        <f>MAX(0,BE307-AC307)</f>
        <v/>
      </c>
      <c r="BT307" s="191">
        <f>MAX(0,BF307-AD307)</f>
        <v/>
      </c>
      <c r="BU307" s="191">
        <f>MAX(0,BG307-AE307)</f>
        <v/>
      </c>
      <c r="BV307" s="191">
        <f>MAX(0,BH307-AF307)</f>
        <v/>
      </c>
      <c r="BW307" s="191">
        <f>MAX(0,BI307-AG307)</f>
        <v/>
      </c>
      <c r="BX307" s="191">
        <f>MAX(0,BJ307-AH307)</f>
        <v/>
      </c>
      <c r="BY307" s="191">
        <f>MAX(0,BK307-AI307)</f>
        <v/>
      </c>
      <c r="BZ307" s="191">
        <f>MAX(0,BL307-AJ307)</f>
        <v/>
      </c>
      <c r="CA307" s="191">
        <f>MAX(0,BM307-AK307)</f>
        <v/>
      </c>
      <c r="CB307" s="192">
        <f>MAX(0,BN307-AL307)</f>
        <v/>
      </c>
    </row>
    <row r="308">
      <c r="A308" s="64" t="inlineStr">
        <is>
          <t>17039758000136</t>
        </is>
      </c>
      <c r="B308" s="57" t="inlineStr">
        <is>
          <t>MARCOS HENRIQUE RODRIGUES HERTZOG LTDA -</t>
        </is>
      </c>
      <c r="C308" s="57" t="inlineStr">
        <is>
          <t>SEM GRUPO</t>
        </is>
      </c>
      <c r="D308" s="61" t="inlineStr">
        <is>
          <t>HEMANUELE DITZEL (MANU)</t>
        </is>
      </c>
      <c r="E308" s="30" t="inlineStr">
        <is>
          <t>.</t>
        </is>
      </c>
      <c r="F308" s="63" t="inlineStr"/>
      <c r="G308" s="179" t="inlineStr"/>
      <c r="H308" s="57" t="inlineStr"/>
      <c r="I308" s="57" t="inlineStr"/>
      <c r="J308" s="61" t="inlineStr"/>
      <c r="K308" s="30" t="inlineStr">
        <is>
          <t>.</t>
        </is>
      </c>
      <c r="L308" s="180" t="n">
        <v>3365.2</v>
      </c>
      <c r="M308" s="181" t="n">
        <v>236.48</v>
      </c>
      <c r="N308" s="181" t="n">
        <v>247.12</v>
      </c>
      <c r="O308" s="181" t="n">
        <v>253.07</v>
      </c>
      <c r="P308" s="181" t="n">
        <v>259.66</v>
      </c>
      <c r="Q308" s="181" t="n">
        <v>268.17</v>
      </c>
      <c r="R308" s="181" t="n">
        <v>275.19</v>
      </c>
      <c r="S308" s="181" t="n">
        <v>285.82</v>
      </c>
      <c r="T308" s="181" t="n">
        <v>292.84</v>
      </c>
      <c r="U308" s="181" t="n">
        <v>299.43</v>
      </c>
      <c r="V308" s="181" t="n">
        <v>306.87</v>
      </c>
      <c r="W308" s="181" t="n">
        <v>314.96</v>
      </c>
      <c r="X308" s="182" t="n">
        <v>325.59</v>
      </c>
      <c r="Y308" s="183" t="inlineStr">
        <is>
          <t>.</t>
        </is>
      </c>
      <c r="Z308" s="184">
        <f>SUM(AA308:AL308)</f>
        <v/>
      </c>
      <c r="AA308" s="185" t="n">
        <v>0</v>
      </c>
      <c r="AB308" s="185" t="n">
        <v>0</v>
      </c>
      <c r="AC308" s="185" t="n">
        <v>0</v>
      </c>
      <c r="AD308" s="185" t="n">
        <v>0</v>
      </c>
      <c r="AE308" s="185" t="n">
        <v>0</v>
      </c>
      <c r="AF308" s="185" t="n">
        <v>0</v>
      </c>
      <c r="AG308" s="185" t="n">
        <v>0</v>
      </c>
      <c r="AH308" s="185" t="n">
        <v>0</v>
      </c>
      <c r="AI308" s="185" t="n">
        <v>1524.33</v>
      </c>
      <c r="AJ308" s="185" t="n">
        <v>0</v>
      </c>
      <c r="AK308" s="185" t="n">
        <v>0</v>
      </c>
      <c r="AL308" s="186" t="n">
        <v>0</v>
      </c>
      <c r="AM308" s="30" t="inlineStr">
        <is>
          <t>.</t>
        </is>
      </c>
      <c r="AN308" s="187">
        <f>IF(L308=0,0,Z308/L308)</f>
        <v/>
      </c>
      <c r="AO308" s="57">
        <f>IF(AN308&gt;=1,"🟢",IF(AN308&gt;=0.7,"🟡",IF(AN308&gt;=0.4,"🟠","🔴")))</f>
        <v/>
      </c>
      <c r="AP308" s="185">
        <f>L308-Z308</f>
        <v/>
      </c>
      <c r="AQ308" s="55">
        <f>RANK(Z308,$Z$4:$Z$503,0)</f>
        <v/>
      </c>
      <c r="AR308" s="39" t="inlineStr">
        <is>
          <t>.</t>
        </is>
      </c>
      <c r="AS308" s="27" t="n"/>
      <c r="AT308" s="27" t="n"/>
      <c r="AU308" s="27" t="n"/>
      <c r="AV308" s="27" t="n"/>
      <c r="AW308" s="27" t="n"/>
      <c r="AX308" s="27" t="n"/>
      <c r="AY308" s="204" t="n"/>
      <c r="AZ308" s="204" t="n"/>
      <c r="BA308" s="38" t="inlineStr">
        <is>
          <t>.</t>
        </is>
      </c>
      <c r="BB308" s="190">
        <f>SUM(BC308:BN308)</f>
        <v/>
      </c>
      <c r="BC308" s="191">
        <f>L308*0.0702730030</f>
        <v/>
      </c>
      <c r="BD308" s="191">
        <f>L308*0.0734327604</f>
        <v/>
      </c>
      <c r="BE308" s="191">
        <f>L308*0.0752022245</f>
        <v/>
      </c>
      <c r="BF308" s="191">
        <f>L308*0.0771612740</f>
        <v/>
      </c>
      <c r="BG308" s="191">
        <f>L308*0.0796890799</f>
        <v/>
      </c>
      <c r="BH308" s="191">
        <f>L308*0.0817745197</f>
        <v/>
      </c>
      <c r="BI308" s="191">
        <f>L308*0.0849342770</f>
        <v/>
      </c>
      <c r="BJ308" s="191">
        <f>L308*0.0870197169</f>
        <v/>
      </c>
      <c r="BK308" s="191">
        <f>L308*0.0889787664</f>
        <v/>
      </c>
      <c r="BL308" s="191">
        <f>L308*0.0911905966</f>
        <v/>
      </c>
      <c r="BM308" s="191">
        <f>L308*0.0935920121</f>
        <v/>
      </c>
      <c r="BN308" s="192">
        <f>L308*0.0967517695</f>
        <v/>
      </c>
      <c r="BO308" s="36" t="inlineStr">
        <is>
          <t>.</t>
        </is>
      </c>
      <c r="BP308" s="193">
        <f>SUM(BQ308:CB308)</f>
        <v/>
      </c>
      <c r="BQ308" s="191">
        <f>MAX(0,BC308-AA308)</f>
        <v/>
      </c>
      <c r="BR308" s="191">
        <f>MAX(0,BD308-AB308)</f>
        <v/>
      </c>
      <c r="BS308" s="191">
        <f>MAX(0,BE308-AC308)</f>
        <v/>
      </c>
      <c r="BT308" s="191">
        <f>MAX(0,BF308-AD308)</f>
        <v/>
      </c>
      <c r="BU308" s="191">
        <f>MAX(0,BG308-AE308)</f>
        <v/>
      </c>
      <c r="BV308" s="191">
        <f>MAX(0,BH308-AF308)</f>
        <v/>
      </c>
      <c r="BW308" s="191">
        <f>MAX(0,BI308-AG308)</f>
        <v/>
      </c>
      <c r="BX308" s="191">
        <f>MAX(0,BJ308-AH308)</f>
        <v/>
      </c>
      <c r="BY308" s="191">
        <f>MAX(0,BK308-AI308)</f>
        <v/>
      </c>
      <c r="BZ308" s="191">
        <f>MAX(0,BL308-AJ308)</f>
        <v/>
      </c>
      <c r="CA308" s="191">
        <f>MAX(0,BM308-AK308)</f>
        <v/>
      </c>
      <c r="CB308" s="192">
        <f>MAX(0,BN308-AL308)</f>
        <v/>
      </c>
    </row>
    <row r="309">
      <c r="A309" s="64" t="inlineStr">
        <is>
          <t>58258680000128</t>
        </is>
      </c>
      <c r="B309" s="57" t="inlineStr">
        <is>
          <t>C J LIFE LTDA - ME</t>
        </is>
      </c>
      <c r="C309" s="57" t="inlineStr">
        <is>
          <t>VIDA LEVE</t>
        </is>
      </c>
      <c r="D309" s="61" t="inlineStr">
        <is>
          <t>DAIANE STAVICKI</t>
        </is>
      </c>
      <c r="E309" s="30" t="inlineStr">
        <is>
          <t>.</t>
        </is>
      </c>
      <c r="F309" s="63" t="n">
        <v>81</v>
      </c>
      <c r="G309" s="179" t="n">
        <v>0.08</v>
      </c>
      <c r="H309" s="57" t="inlineStr">
        <is>
          <t>🔴 VERMELHO</t>
        </is>
      </c>
      <c r="I309" s="57" t="inlineStr">
        <is>
          <t>ATIVAÇÃO</t>
        </is>
      </c>
      <c r="J309" s="61" t="inlineStr">
        <is>
          <t>Reativar inativos + Prospectar</t>
        </is>
      </c>
      <c r="K309" s="30" t="inlineStr">
        <is>
          <t>.</t>
        </is>
      </c>
      <c r="L309" s="180" t="n">
        <v>3356.92</v>
      </c>
      <c r="M309" s="181" t="n">
        <v>235.9</v>
      </c>
      <c r="N309" s="181" t="n">
        <v>246.51</v>
      </c>
      <c r="O309" s="181" t="n">
        <v>252.45</v>
      </c>
      <c r="P309" s="181" t="n">
        <v>259.02</v>
      </c>
      <c r="Q309" s="181" t="n">
        <v>267.51</v>
      </c>
      <c r="R309" s="181" t="n">
        <v>274.51</v>
      </c>
      <c r="S309" s="181" t="n">
        <v>285.12</v>
      </c>
      <c r="T309" s="181" t="n">
        <v>292.12</v>
      </c>
      <c r="U309" s="181" t="n">
        <v>298.69</v>
      </c>
      <c r="V309" s="181" t="n">
        <v>306.12</v>
      </c>
      <c r="W309" s="181" t="n">
        <v>314.18</v>
      </c>
      <c r="X309" s="182" t="n">
        <v>324.79</v>
      </c>
      <c r="Y309" s="183" t="inlineStr">
        <is>
          <t>.</t>
        </is>
      </c>
      <c r="Z309" s="184">
        <f>SUM(AA309:AL309)</f>
        <v/>
      </c>
      <c r="AA309" s="185" t="n">
        <v>0</v>
      </c>
      <c r="AB309" s="185" t="n">
        <v>0</v>
      </c>
      <c r="AC309" s="185" t="n">
        <v>0</v>
      </c>
      <c r="AD309" s="185" t="n">
        <v>0</v>
      </c>
      <c r="AE309" s="185" t="n">
        <v>0</v>
      </c>
      <c r="AF309" s="185" t="n">
        <v>0</v>
      </c>
      <c r="AG309" s="185" t="n">
        <v>0</v>
      </c>
      <c r="AH309" s="185" t="n">
        <v>0</v>
      </c>
      <c r="AI309" s="185" t="n">
        <v>0</v>
      </c>
      <c r="AJ309" s="185" t="n">
        <v>1909.62</v>
      </c>
      <c r="AK309" s="185" t="n">
        <v>0</v>
      </c>
      <c r="AL309" s="186" t="n">
        <v>0</v>
      </c>
      <c r="AM309" s="30" t="inlineStr">
        <is>
          <t>.</t>
        </is>
      </c>
      <c r="AN309" s="187">
        <f>IF(L309=0,0,Z309/L309)</f>
        <v/>
      </c>
      <c r="AO309" s="57">
        <f>IF(AN309&gt;=1,"🟢",IF(AN309&gt;=0.7,"🟡",IF(AN309&gt;=0.4,"🟠","🔴")))</f>
        <v/>
      </c>
      <c r="AP309" s="185">
        <f>L309-Z309</f>
        <v/>
      </c>
      <c r="AQ309" s="55">
        <f>RANK(Z309,$Z$4:$Z$503,0)</f>
        <v/>
      </c>
      <c r="AR309" s="39" t="inlineStr">
        <is>
          <t>.</t>
        </is>
      </c>
      <c r="AS309" s="27" t="n"/>
      <c r="AT309" s="27" t="n"/>
      <c r="AU309" s="27" t="n"/>
      <c r="AV309" s="27" t="n"/>
      <c r="AW309" s="27" t="n"/>
      <c r="AX309" s="27" t="n"/>
      <c r="AY309" s="204" t="n"/>
      <c r="AZ309" s="204" t="n"/>
      <c r="BA309" s="38" t="inlineStr">
        <is>
          <t>.</t>
        </is>
      </c>
      <c r="BB309" s="190">
        <f>SUM(BC309:BN309)</f>
        <v/>
      </c>
      <c r="BC309" s="191">
        <f>L309*0.0702730030</f>
        <v/>
      </c>
      <c r="BD309" s="191">
        <f>L309*0.0734327604</f>
        <v/>
      </c>
      <c r="BE309" s="191">
        <f>L309*0.0752022245</f>
        <v/>
      </c>
      <c r="BF309" s="191">
        <f>L309*0.0771612740</f>
        <v/>
      </c>
      <c r="BG309" s="191">
        <f>L309*0.0796890799</f>
        <v/>
      </c>
      <c r="BH309" s="191">
        <f>L309*0.0817745197</f>
        <v/>
      </c>
      <c r="BI309" s="191">
        <f>L309*0.0849342770</f>
        <v/>
      </c>
      <c r="BJ309" s="191">
        <f>L309*0.0870197169</f>
        <v/>
      </c>
      <c r="BK309" s="191">
        <f>L309*0.0889787664</f>
        <v/>
      </c>
      <c r="BL309" s="191">
        <f>L309*0.0911905966</f>
        <v/>
      </c>
      <c r="BM309" s="191">
        <f>L309*0.0935920121</f>
        <v/>
      </c>
      <c r="BN309" s="192">
        <f>L309*0.0967517695</f>
        <v/>
      </c>
      <c r="BO309" s="36" t="inlineStr">
        <is>
          <t>.</t>
        </is>
      </c>
      <c r="BP309" s="193">
        <f>SUM(BQ309:CB309)</f>
        <v/>
      </c>
      <c r="BQ309" s="191">
        <f>MAX(0,BC309-AA309)</f>
        <v/>
      </c>
      <c r="BR309" s="191">
        <f>MAX(0,BD309-AB309)</f>
        <v/>
      </c>
      <c r="BS309" s="191">
        <f>MAX(0,BE309-AC309)</f>
        <v/>
      </c>
      <c r="BT309" s="191">
        <f>MAX(0,BF309-AD309)</f>
        <v/>
      </c>
      <c r="BU309" s="191">
        <f>MAX(0,BG309-AE309)</f>
        <v/>
      </c>
      <c r="BV309" s="191">
        <f>MAX(0,BH309-AF309)</f>
        <v/>
      </c>
      <c r="BW309" s="191">
        <f>MAX(0,BI309-AG309)</f>
        <v/>
      </c>
      <c r="BX309" s="191">
        <f>MAX(0,BJ309-AH309)</f>
        <v/>
      </c>
      <c r="BY309" s="191">
        <f>MAX(0,BK309-AI309)</f>
        <v/>
      </c>
      <c r="BZ309" s="191">
        <f>MAX(0,BL309-AJ309)</f>
        <v/>
      </c>
      <c r="CA309" s="191">
        <f>MAX(0,BM309-AK309)</f>
        <v/>
      </c>
      <c r="CB309" s="192">
        <f>MAX(0,BN309-AL309)</f>
        <v/>
      </c>
    </row>
    <row r="310">
      <c r="A310" s="64" t="inlineStr">
        <is>
          <t>47058031000167</t>
        </is>
      </c>
      <c r="B310" s="57" t="inlineStr">
        <is>
          <t>TAILANA DA SILVA TOLEDO LTDA - ME</t>
        </is>
      </c>
      <c r="C310" s="57" t="inlineStr">
        <is>
          <t>SEM GRUPO</t>
        </is>
      </c>
      <c r="D310" s="61" t="inlineStr">
        <is>
          <t>HEMANUELE DITZEL (MANU)</t>
        </is>
      </c>
      <c r="E310" s="30" t="inlineStr">
        <is>
          <t>.</t>
        </is>
      </c>
      <c r="F310" s="63" t="inlineStr"/>
      <c r="G310" s="179" t="inlineStr"/>
      <c r="H310" s="57" t="inlineStr"/>
      <c r="I310" s="57" t="inlineStr"/>
      <c r="J310" s="61" t="inlineStr"/>
      <c r="K310" s="30" t="inlineStr">
        <is>
          <t>.</t>
        </is>
      </c>
      <c r="L310" s="180" t="n">
        <v>3351.05</v>
      </c>
      <c r="M310" s="181" t="n">
        <v>235.49</v>
      </c>
      <c r="N310" s="181" t="n">
        <v>246.08</v>
      </c>
      <c r="O310" s="181" t="n">
        <v>252.01</v>
      </c>
      <c r="P310" s="181" t="n">
        <v>258.57</v>
      </c>
      <c r="Q310" s="181" t="n">
        <v>267.04</v>
      </c>
      <c r="R310" s="181" t="n">
        <v>274.03</v>
      </c>
      <c r="S310" s="181" t="n">
        <v>284.62</v>
      </c>
      <c r="T310" s="181" t="n">
        <v>291.61</v>
      </c>
      <c r="U310" s="181" t="n">
        <v>298.17</v>
      </c>
      <c r="V310" s="181" t="n">
        <v>305.58</v>
      </c>
      <c r="W310" s="181" t="n">
        <v>313.63</v>
      </c>
      <c r="X310" s="182" t="n">
        <v>324.22</v>
      </c>
      <c r="Y310" s="183" t="inlineStr">
        <is>
          <t>.</t>
        </is>
      </c>
      <c r="Z310" s="184">
        <f>SUM(AA310:AL310)</f>
        <v/>
      </c>
      <c r="AA310" s="185" t="n">
        <v>0</v>
      </c>
      <c r="AB310" s="185" t="n">
        <v>0</v>
      </c>
      <c r="AC310" s="185" t="n">
        <v>0</v>
      </c>
      <c r="AD310" s="185" t="n">
        <v>0</v>
      </c>
      <c r="AE310" s="185" t="n">
        <v>0</v>
      </c>
      <c r="AF310" s="185" t="n">
        <v>0</v>
      </c>
      <c r="AG310" s="185" t="n">
        <v>0</v>
      </c>
      <c r="AH310" s="185" t="n">
        <v>0</v>
      </c>
      <c r="AI310" s="185" t="n">
        <v>0</v>
      </c>
      <c r="AJ310" s="185" t="n">
        <v>0</v>
      </c>
      <c r="AK310" s="185" t="n">
        <v>1787.52</v>
      </c>
      <c r="AL310" s="186" t="n">
        <v>0</v>
      </c>
      <c r="AM310" s="222" t="n">
        <v>964.59</v>
      </c>
      <c r="AN310" s="187">
        <f>IF(L310=0,0,Z310/L310)</f>
        <v/>
      </c>
      <c r="AO310" s="57">
        <f>IF(AN310&gt;=1,"🟢",IF(AN310&gt;=0.7,"🟡",IF(AN310&gt;=0.4,"🟠","🔴")))</f>
        <v/>
      </c>
      <c r="AP310" s="185">
        <f>L310-Z310</f>
        <v/>
      </c>
      <c r="AQ310" s="55">
        <f>RANK(Z310,$Z$4:$Z$503,0)</f>
        <v/>
      </c>
      <c r="AR310" s="39" t="inlineStr">
        <is>
          <t>.</t>
        </is>
      </c>
      <c r="AS310" s="27" t="n"/>
      <c r="AT310" s="27" t="n"/>
      <c r="AU310" s="27" t="n"/>
      <c r="AV310" s="27" t="n"/>
      <c r="AW310" s="27" t="n"/>
      <c r="AX310" s="27" t="n"/>
      <c r="AY310" s="204" t="n"/>
      <c r="AZ310" s="204" t="n"/>
      <c r="BA310" s="38" t="inlineStr">
        <is>
          <t>.</t>
        </is>
      </c>
      <c r="BB310" s="190">
        <f>SUM(BC310:BN310)</f>
        <v/>
      </c>
      <c r="BC310" s="191">
        <f>L310*0.0702730030</f>
        <v/>
      </c>
      <c r="BD310" s="191">
        <f>L310*0.0734327604</f>
        <v/>
      </c>
      <c r="BE310" s="191">
        <f>L310*0.0752022245</f>
        <v/>
      </c>
      <c r="BF310" s="191">
        <f>L310*0.0771612740</f>
        <v/>
      </c>
      <c r="BG310" s="191">
        <f>L310*0.0796890799</f>
        <v/>
      </c>
      <c r="BH310" s="191">
        <f>L310*0.0817745197</f>
        <v/>
      </c>
      <c r="BI310" s="191">
        <f>L310*0.0849342770</f>
        <v/>
      </c>
      <c r="BJ310" s="191">
        <f>L310*0.0870197169</f>
        <v/>
      </c>
      <c r="BK310" s="191">
        <f>L310*0.0889787664</f>
        <v/>
      </c>
      <c r="BL310" s="191">
        <f>L310*0.0911905966</f>
        <v/>
      </c>
      <c r="BM310" s="191">
        <f>L310*0.0935920121</f>
        <v/>
      </c>
      <c r="BN310" s="192">
        <f>L310*0.0967517695</f>
        <v/>
      </c>
      <c r="BO310" s="36" t="inlineStr">
        <is>
          <t>.</t>
        </is>
      </c>
      <c r="BP310" s="193">
        <f>SUM(BQ310:CB310)</f>
        <v/>
      </c>
      <c r="BQ310" s="191">
        <f>MAX(0,BC310-AA310)</f>
        <v/>
      </c>
      <c r="BR310" s="191">
        <f>MAX(0,BD310-AB310)</f>
        <v/>
      </c>
      <c r="BS310" s="191">
        <f>MAX(0,BE310-AC310)</f>
        <v/>
      </c>
      <c r="BT310" s="191">
        <f>MAX(0,BF310-AD310)</f>
        <v/>
      </c>
      <c r="BU310" s="191">
        <f>MAX(0,BG310-AE310)</f>
        <v/>
      </c>
      <c r="BV310" s="191">
        <f>MAX(0,BH310-AF310)</f>
        <v/>
      </c>
      <c r="BW310" s="191">
        <f>MAX(0,BI310-AG310)</f>
        <v/>
      </c>
      <c r="BX310" s="191">
        <f>MAX(0,BJ310-AH310)</f>
        <v/>
      </c>
      <c r="BY310" s="191">
        <f>MAX(0,BK310-AI310)</f>
        <v/>
      </c>
      <c r="BZ310" s="191">
        <f>MAX(0,BL310-AJ310)</f>
        <v/>
      </c>
      <c r="CA310" s="191">
        <f>MAX(0,BM310-AK310)</f>
        <v/>
      </c>
      <c r="CB310" s="192">
        <f>MAX(0,BN310-AL310)</f>
        <v/>
      </c>
    </row>
    <row r="311">
      <c r="A311" s="64" t="inlineStr">
        <is>
          <t>28180051000161</t>
        </is>
      </c>
      <c r="B311" s="57" t="inlineStr">
        <is>
          <t>EMPORIO GAIA PRODUTOS NATURAIS LTDA - EP</t>
        </is>
      </c>
      <c r="C311" s="57" t="inlineStr">
        <is>
          <t>SEM GRUPO</t>
        </is>
      </c>
      <c r="D311" s="61" t="inlineStr">
        <is>
          <t>HEMANUELE DITZEL (MANU)</t>
        </is>
      </c>
      <c r="E311" s="30" t="inlineStr">
        <is>
          <t>.</t>
        </is>
      </c>
      <c r="F311" s="63" t="inlineStr"/>
      <c r="G311" s="179" t="inlineStr"/>
      <c r="H311" s="57" t="inlineStr"/>
      <c r="I311" s="57" t="inlineStr"/>
      <c r="J311" s="61" t="inlineStr"/>
      <c r="K311" s="30" t="inlineStr">
        <is>
          <t>.</t>
        </is>
      </c>
      <c r="L311" s="180" t="n">
        <v>3342.13</v>
      </c>
      <c r="M311" s="181" t="n">
        <v>234.86</v>
      </c>
      <c r="N311" s="181" t="n">
        <v>245.42</v>
      </c>
      <c r="O311" s="181" t="n">
        <v>251.34</v>
      </c>
      <c r="P311" s="181" t="n">
        <v>257.88</v>
      </c>
      <c r="Q311" s="181" t="n">
        <v>266.33</v>
      </c>
      <c r="R311" s="181" t="n">
        <v>273.3</v>
      </c>
      <c r="S311" s="181" t="n">
        <v>283.86</v>
      </c>
      <c r="T311" s="181" t="n">
        <v>290.83</v>
      </c>
      <c r="U311" s="181" t="n">
        <v>297.38</v>
      </c>
      <c r="V311" s="181" t="n">
        <v>304.77</v>
      </c>
      <c r="W311" s="181" t="n">
        <v>312.8</v>
      </c>
      <c r="X311" s="182" t="n">
        <v>323.36</v>
      </c>
      <c r="Y311" s="183" t="inlineStr">
        <is>
          <t>.</t>
        </is>
      </c>
      <c r="Z311" s="184">
        <f>SUM(AA311:AL311)</f>
        <v/>
      </c>
      <c r="AA311" s="185" t="n">
        <v>0</v>
      </c>
      <c r="AB311" s="185" t="n">
        <v>0</v>
      </c>
      <c r="AC311" s="185" t="n">
        <v>0</v>
      </c>
      <c r="AD311" s="185" t="n">
        <v>0</v>
      </c>
      <c r="AE311" s="185" t="n">
        <v>0</v>
      </c>
      <c r="AF311" s="185" t="n">
        <v>689.39</v>
      </c>
      <c r="AG311" s="185" t="n">
        <v>0</v>
      </c>
      <c r="AH311" s="185" t="n">
        <v>0</v>
      </c>
      <c r="AI311" s="185" t="n">
        <v>736.27</v>
      </c>
      <c r="AJ311" s="185" t="n">
        <v>0</v>
      </c>
      <c r="AK311" s="185" t="n">
        <v>0</v>
      </c>
      <c r="AL311" s="186" t="n">
        <v>0</v>
      </c>
      <c r="AM311" s="30" t="inlineStr">
        <is>
          <t>.</t>
        </is>
      </c>
      <c r="AN311" s="187">
        <f>IF(L311=0,0,Z311/L311)</f>
        <v/>
      </c>
      <c r="AO311" s="57">
        <f>IF(AN311&gt;=1,"🟢",IF(AN311&gt;=0.7,"🟡",IF(AN311&gt;=0.4,"🟠","🔴")))</f>
        <v/>
      </c>
      <c r="AP311" s="185">
        <f>L311-Z311</f>
        <v/>
      </c>
      <c r="AQ311" s="55">
        <f>RANK(Z311,$Z$4:$Z$503,0)</f>
        <v/>
      </c>
      <c r="AR311" s="39" t="inlineStr">
        <is>
          <t>.</t>
        </is>
      </c>
      <c r="AS311" s="27" t="n"/>
      <c r="AT311" s="27" t="n"/>
      <c r="AU311" s="27" t="n"/>
      <c r="AV311" s="27" t="n"/>
      <c r="AW311" s="27" t="n"/>
      <c r="AX311" s="27" t="n"/>
      <c r="AY311" s="204" t="n"/>
      <c r="AZ311" s="204" t="n"/>
      <c r="BA311" s="38" t="inlineStr">
        <is>
          <t>.</t>
        </is>
      </c>
      <c r="BB311" s="190">
        <f>SUM(BC311:BN311)</f>
        <v/>
      </c>
      <c r="BC311" s="191">
        <f>L311*0.0702730030</f>
        <v/>
      </c>
      <c r="BD311" s="191">
        <f>L311*0.0734327604</f>
        <v/>
      </c>
      <c r="BE311" s="191">
        <f>L311*0.0752022245</f>
        <v/>
      </c>
      <c r="BF311" s="191">
        <f>L311*0.0771612740</f>
        <v/>
      </c>
      <c r="BG311" s="191">
        <f>L311*0.0796890799</f>
        <v/>
      </c>
      <c r="BH311" s="191">
        <f>L311*0.0817745197</f>
        <v/>
      </c>
      <c r="BI311" s="191">
        <f>L311*0.0849342770</f>
        <v/>
      </c>
      <c r="BJ311" s="191">
        <f>L311*0.0870197169</f>
        <v/>
      </c>
      <c r="BK311" s="191">
        <f>L311*0.0889787664</f>
        <v/>
      </c>
      <c r="BL311" s="191">
        <f>L311*0.0911905966</f>
        <v/>
      </c>
      <c r="BM311" s="191">
        <f>L311*0.0935920121</f>
        <v/>
      </c>
      <c r="BN311" s="192">
        <f>L311*0.0967517695</f>
        <v/>
      </c>
      <c r="BO311" s="36" t="inlineStr">
        <is>
          <t>.</t>
        </is>
      </c>
      <c r="BP311" s="193">
        <f>SUM(BQ311:CB311)</f>
        <v/>
      </c>
      <c r="BQ311" s="191">
        <f>MAX(0,BC311-AA311)</f>
        <v/>
      </c>
      <c r="BR311" s="191">
        <f>MAX(0,BD311-AB311)</f>
        <v/>
      </c>
      <c r="BS311" s="191">
        <f>MAX(0,BE311-AC311)</f>
        <v/>
      </c>
      <c r="BT311" s="191">
        <f>MAX(0,BF311-AD311)</f>
        <v/>
      </c>
      <c r="BU311" s="191">
        <f>MAX(0,BG311-AE311)</f>
        <v/>
      </c>
      <c r="BV311" s="191">
        <f>MAX(0,BH311-AF311)</f>
        <v/>
      </c>
      <c r="BW311" s="191">
        <f>MAX(0,BI311-AG311)</f>
        <v/>
      </c>
      <c r="BX311" s="191">
        <f>MAX(0,BJ311-AH311)</f>
        <v/>
      </c>
      <c r="BY311" s="191">
        <f>MAX(0,BK311-AI311)</f>
        <v/>
      </c>
      <c r="BZ311" s="191">
        <f>MAX(0,BL311-AJ311)</f>
        <v/>
      </c>
      <c r="CA311" s="191">
        <f>MAX(0,BM311-AK311)</f>
        <v/>
      </c>
      <c r="CB311" s="192">
        <f>MAX(0,BN311-AL311)</f>
        <v/>
      </c>
    </row>
    <row r="312">
      <c r="A312" s="64" t="inlineStr">
        <is>
          <t>47766246000132</t>
        </is>
      </c>
      <c r="B312" s="57" t="inlineStr">
        <is>
          <t>FIT PELOTAS COMERCIO DE SUPLEMENTOS EPRO</t>
        </is>
      </c>
      <c r="C312" s="57" t="inlineStr">
        <is>
          <t>FITLAND</t>
        </is>
      </c>
      <c r="D312" s="61" t="inlineStr">
        <is>
          <t>JULIO GADRET</t>
        </is>
      </c>
      <c r="E312" s="30" t="inlineStr">
        <is>
          <t>.</t>
        </is>
      </c>
      <c r="F312" s="63" t="n">
        <v>89</v>
      </c>
      <c r="G312" s="179" t="n">
        <v>0.298</v>
      </c>
      <c r="H312" s="57" t="inlineStr">
        <is>
          <t>🔴 VERMELHO</t>
        </is>
      </c>
      <c r="I312" s="57" t="inlineStr">
        <is>
          <t>POSITIVAÇÃO</t>
        </is>
      </c>
      <c r="J312" s="61" t="inlineStr">
        <is>
          <t>Aumentar frequência + Expandir base</t>
        </is>
      </c>
      <c r="K312" s="30" t="inlineStr">
        <is>
          <t>.</t>
        </is>
      </c>
      <c r="L312" s="180" t="n">
        <v>3333.16</v>
      </c>
      <c r="M312" s="181" t="n">
        <v>234.23</v>
      </c>
      <c r="N312" s="181" t="n">
        <v>244.76</v>
      </c>
      <c r="O312" s="181" t="n">
        <v>250.66</v>
      </c>
      <c r="P312" s="181" t="n">
        <v>257.19</v>
      </c>
      <c r="Q312" s="181" t="n">
        <v>265.62</v>
      </c>
      <c r="R312" s="181" t="n">
        <v>272.57</v>
      </c>
      <c r="S312" s="181" t="n">
        <v>283.1</v>
      </c>
      <c r="T312" s="181" t="n">
        <v>290.05</v>
      </c>
      <c r="U312" s="181" t="n">
        <v>296.58</v>
      </c>
      <c r="V312" s="181" t="n">
        <v>303.95</v>
      </c>
      <c r="W312" s="181" t="n">
        <v>311.96</v>
      </c>
      <c r="X312" s="182" t="n">
        <v>322.49</v>
      </c>
      <c r="Y312" s="183" t="inlineStr">
        <is>
          <t>.</t>
        </is>
      </c>
      <c r="Z312" s="184">
        <f>SUM(AA312:AL312)</f>
        <v/>
      </c>
      <c r="AA312" s="185" t="n">
        <v>0</v>
      </c>
      <c r="AB312" s="185" t="n">
        <v>0</v>
      </c>
      <c r="AC312" s="185" t="n">
        <v>263.55</v>
      </c>
      <c r="AD312" s="185" t="n">
        <v>0</v>
      </c>
      <c r="AE312" s="185" t="n">
        <v>0</v>
      </c>
      <c r="AF312" s="185" t="n">
        <v>0</v>
      </c>
      <c r="AG312" s="185" t="n">
        <v>0</v>
      </c>
      <c r="AH312" s="185" t="n">
        <v>644.39</v>
      </c>
      <c r="AI312" s="185" t="n">
        <v>0</v>
      </c>
      <c r="AJ312" s="185" t="n">
        <v>967.55</v>
      </c>
      <c r="AK312" s="185" t="n">
        <v>0</v>
      </c>
      <c r="AL312" s="186" t="n">
        <v>0</v>
      </c>
      <c r="AM312" s="30" t="inlineStr">
        <is>
          <t>.</t>
        </is>
      </c>
      <c r="AN312" s="187">
        <f>IF(L312=0,0,Z312/L312)</f>
        <v/>
      </c>
      <c r="AO312" s="57">
        <f>IF(AN312&gt;=1,"🟢",IF(AN312&gt;=0.7,"🟡",IF(AN312&gt;=0.4,"🟠","🔴")))</f>
        <v/>
      </c>
      <c r="AP312" s="185">
        <f>L312-Z312</f>
        <v/>
      </c>
      <c r="AQ312" s="55">
        <f>RANK(Z312,$Z$4:$Z$503,0)</f>
        <v/>
      </c>
      <c r="AR312" s="39" t="inlineStr">
        <is>
          <t>.</t>
        </is>
      </c>
      <c r="AS312" s="27" t="n"/>
      <c r="AT312" s="27" t="n"/>
      <c r="AU312" s="27" t="n"/>
      <c r="AV312" s="27" t="n"/>
      <c r="AW312" s="27" t="n"/>
      <c r="AX312" s="27" t="n"/>
      <c r="AY312" s="204" t="n"/>
      <c r="AZ312" s="204" t="n"/>
      <c r="BA312" s="38" t="inlineStr">
        <is>
          <t>.</t>
        </is>
      </c>
      <c r="BB312" s="190">
        <f>SUM(BC312:BN312)</f>
        <v/>
      </c>
      <c r="BC312" s="191">
        <f>L312*0.0702730030</f>
        <v/>
      </c>
      <c r="BD312" s="191">
        <f>L312*0.0734327604</f>
        <v/>
      </c>
      <c r="BE312" s="191">
        <f>L312*0.0752022245</f>
        <v/>
      </c>
      <c r="BF312" s="191">
        <f>L312*0.0771612740</f>
        <v/>
      </c>
      <c r="BG312" s="191">
        <f>L312*0.0796890799</f>
        <v/>
      </c>
      <c r="BH312" s="191">
        <f>L312*0.0817745197</f>
        <v/>
      </c>
      <c r="BI312" s="191">
        <f>L312*0.0849342770</f>
        <v/>
      </c>
      <c r="BJ312" s="191">
        <f>L312*0.0870197169</f>
        <v/>
      </c>
      <c r="BK312" s="191">
        <f>L312*0.0889787664</f>
        <v/>
      </c>
      <c r="BL312" s="191">
        <f>L312*0.0911905966</f>
        <v/>
      </c>
      <c r="BM312" s="191">
        <f>L312*0.0935920121</f>
        <v/>
      </c>
      <c r="BN312" s="192">
        <f>L312*0.0967517695</f>
        <v/>
      </c>
      <c r="BO312" s="36" t="inlineStr">
        <is>
          <t>.</t>
        </is>
      </c>
      <c r="BP312" s="193">
        <f>SUM(BQ312:CB312)</f>
        <v/>
      </c>
      <c r="BQ312" s="191">
        <f>MAX(0,BC312-AA312)</f>
        <v/>
      </c>
      <c r="BR312" s="191">
        <f>MAX(0,BD312-AB312)</f>
        <v/>
      </c>
      <c r="BS312" s="191">
        <f>MAX(0,BE312-AC312)</f>
        <v/>
      </c>
      <c r="BT312" s="191">
        <f>MAX(0,BF312-AD312)</f>
        <v/>
      </c>
      <c r="BU312" s="191">
        <f>MAX(0,BG312-AE312)</f>
        <v/>
      </c>
      <c r="BV312" s="191">
        <f>MAX(0,BH312-AF312)</f>
        <v/>
      </c>
      <c r="BW312" s="191">
        <f>MAX(0,BI312-AG312)</f>
        <v/>
      </c>
      <c r="BX312" s="191">
        <f>MAX(0,BJ312-AH312)</f>
        <v/>
      </c>
      <c r="BY312" s="191">
        <f>MAX(0,BK312-AI312)</f>
        <v/>
      </c>
      <c r="BZ312" s="191">
        <f>MAX(0,BL312-AJ312)</f>
        <v/>
      </c>
      <c r="CA312" s="191">
        <f>MAX(0,BM312-AK312)</f>
        <v/>
      </c>
      <c r="CB312" s="192">
        <f>MAX(0,BN312-AL312)</f>
        <v/>
      </c>
    </row>
    <row r="313">
      <c r="A313" s="64" t="inlineStr">
        <is>
          <t>57480928000138</t>
        </is>
      </c>
      <c r="B313" s="57" t="inlineStr">
        <is>
          <t>57.480.928 WESLLEY APARECIDO COSTA DA SI</t>
        </is>
      </c>
      <c r="C313" s="57" t="inlineStr">
        <is>
          <t>SEM GRUPO</t>
        </is>
      </c>
      <c r="D313" s="61" t="inlineStr">
        <is>
          <t>LARISSA PADILHA</t>
        </is>
      </c>
      <c r="E313" s="30" t="inlineStr">
        <is>
          <t>.</t>
        </is>
      </c>
      <c r="F313" s="63" t="inlineStr"/>
      <c r="G313" s="179" t="inlineStr"/>
      <c r="H313" s="57" t="inlineStr"/>
      <c r="I313" s="57" t="inlineStr"/>
      <c r="J313" s="61" t="inlineStr"/>
      <c r="K313" s="30" t="inlineStr">
        <is>
          <t>.</t>
        </is>
      </c>
      <c r="L313" s="180" t="n">
        <v>3322.429999999999</v>
      </c>
      <c r="M313" s="181" t="n">
        <v>233.48</v>
      </c>
      <c r="N313" s="181" t="n">
        <v>243.98</v>
      </c>
      <c r="O313" s="181" t="n">
        <v>249.85</v>
      </c>
      <c r="P313" s="181" t="n">
        <v>256.36</v>
      </c>
      <c r="Q313" s="181" t="n">
        <v>264.76</v>
      </c>
      <c r="R313" s="181" t="n">
        <v>271.69</v>
      </c>
      <c r="S313" s="181" t="n">
        <v>282.19</v>
      </c>
      <c r="T313" s="181" t="n">
        <v>289.12</v>
      </c>
      <c r="U313" s="181" t="n">
        <v>295.63</v>
      </c>
      <c r="V313" s="181" t="n">
        <v>302.97</v>
      </c>
      <c r="W313" s="181" t="n">
        <v>310.95</v>
      </c>
      <c r="X313" s="182" t="n">
        <v>321.45</v>
      </c>
      <c r="Y313" s="183" t="inlineStr">
        <is>
          <t>.</t>
        </is>
      </c>
      <c r="Z313" s="184">
        <f>SUM(AA313:AL313)</f>
        <v/>
      </c>
      <c r="AA313" s="185" t="n">
        <v>0</v>
      </c>
      <c r="AB313" s="185" t="n">
        <v>0</v>
      </c>
      <c r="AC313" s="185" t="n">
        <v>0</v>
      </c>
      <c r="AD313" s="185" t="n">
        <v>0</v>
      </c>
      <c r="AE313" s="185" t="n">
        <v>440.01</v>
      </c>
      <c r="AF313" s="185" t="n">
        <v>898.72</v>
      </c>
      <c r="AG313" s="185" t="n">
        <v>0</v>
      </c>
      <c r="AH313" s="185" t="n">
        <v>0</v>
      </c>
      <c r="AI313" s="185" t="n">
        <v>0</v>
      </c>
      <c r="AJ313" s="185" t="n">
        <v>0</v>
      </c>
      <c r="AK313" s="185" t="n">
        <v>0</v>
      </c>
      <c r="AL313" s="186" t="n">
        <v>0</v>
      </c>
      <c r="AM313" s="30" t="inlineStr">
        <is>
          <t>.</t>
        </is>
      </c>
      <c r="AN313" s="187">
        <f>IF(L313=0,0,Z313/L313)</f>
        <v/>
      </c>
      <c r="AO313" s="57">
        <f>IF(AN313&gt;=1,"🟢",IF(AN313&gt;=0.7,"🟡",IF(AN313&gt;=0.4,"🟠","🔴")))</f>
        <v/>
      </c>
      <c r="AP313" s="185">
        <f>L313-Z313</f>
        <v/>
      </c>
      <c r="AQ313" s="55">
        <f>RANK(Z313,$Z$4:$Z$503,0)</f>
        <v/>
      </c>
      <c r="AR313" s="39" t="inlineStr">
        <is>
          <t>.</t>
        </is>
      </c>
      <c r="AS313" s="27" t="n"/>
      <c r="AT313" s="27" t="n"/>
      <c r="AU313" s="27" t="n"/>
      <c r="AV313" s="27" t="n"/>
      <c r="AW313" s="27" t="n"/>
      <c r="AX313" s="27" t="n"/>
      <c r="AY313" s="204" t="n"/>
      <c r="AZ313" s="204" t="n"/>
      <c r="BA313" s="38" t="inlineStr">
        <is>
          <t>.</t>
        </is>
      </c>
      <c r="BB313" s="190">
        <f>SUM(BC313:BN313)</f>
        <v/>
      </c>
      <c r="BC313" s="191">
        <f>L313*0.0702730030</f>
        <v/>
      </c>
      <c r="BD313" s="191">
        <f>L313*0.0734327604</f>
        <v/>
      </c>
      <c r="BE313" s="191">
        <f>L313*0.0752022245</f>
        <v/>
      </c>
      <c r="BF313" s="191">
        <f>L313*0.0771612740</f>
        <v/>
      </c>
      <c r="BG313" s="191">
        <f>L313*0.0796890799</f>
        <v/>
      </c>
      <c r="BH313" s="191">
        <f>L313*0.0817745197</f>
        <v/>
      </c>
      <c r="BI313" s="191">
        <f>L313*0.0849342770</f>
        <v/>
      </c>
      <c r="BJ313" s="191">
        <f>L313*0.0870197169</f>
        <v/>
      </c>
      <c r="BK313" s="191">
        <f>L313*0.0889787664</f>
        <v/>
      </c>
      <c r="BL313" s="191">
        <f>L313*0.0911905966</f>
        <v/>
      </c>
      <c r="BM313" s="191">
        <f>L313*0.0935920121</f>
        <v/>
      </c>
      <c r="BN313" s="192">
        <f>L313*0.0967517695</f>
        <v/>
      </c>
      <c r="BO313" s="36" t="inlineStr">
        <is>
          <t>.</t>
        </is>
      </c>
      <c r="BP313" s="193">
        <f>SUM(BQ313:CB313)</f>
        <v/>
      </c>
      <c r="BQ313" s="191">
        <f>MAX(0,BC313-AA313)</f>
        <v/>
      </c>
      <c r="BR313" s="191">
        <f>MAX(0,BD313-AB313)</f>
        <v/>
      </c>
      <c r="BS313" s="191">
        <f>MAX(0,BE313-AC313)</f>
        <v/>
      </c>
      <c r="BT313" s="191">
        <f>MAX(0,BF313-AD313)</f>
        <v/>
      </c>
      <c r="BU313" s="191">
        <f>MAX(0,BG313-AE313)</f>
        <v/>
      </c>
      <c r="BV313" s="191">
        <f>MAX(0,BH313-AF313)</f>
        <v/>
      </c>
      <c r="BW313" s="191">
        <f>MAX(0,BI313-AG313)</f>
        <v/>
      </c>
      <c r="BX313" s="191">
        <f>MAX(0,BJ313-AH313)</f>
        <v/>
      </c>
      <c r="BY313" s="191">
        <f>MAX(0,BK313-AI313)</f>
        <v/>
      </c>
      <c r="BZ313" s="191">
        <f>MAX(0,BL313-AJ313)</f>
        <v/>
      </c>
      <c r="CA313" s="191">
        <f>MAX(0,BM313-AK313)</f>
        <v/>
      </c>
      <c r="CB313" s="192">
        <f>MAX(0,BN313-AL313)</f>
        <v/>
      </c>
    </row>
    <row r="314">
      <c r="A314" s="64" t="inlineStr">
        <is>
          <t>37266276000126</t>
        </is>
      </c>
      <c r="B314" s="57" t="inlineStr">
        <is>
          <t>SONIA IOLANDA DUARTE 33558442091 - ME</t>
        </is>
      </c>
      <c r="C314" s="57" t="inlineStr">
        <is>
          <t>SEM GRUPO</t>
        </is>
      </c>
      <c r="D314" s="61" t="inlineStr">
        <is>
          <t>HEMANUELE DITZEL (MANU)</t>
        </is>
      </c>
      <c r="E314" s="30" t="inlineStr">
        <is>
          <t>.</t>
        </is>
      </c>
      <c r="F314" s="63" t="inlineStr"/>
      <c r="G314" s="179" t="inlineStr"/>
      <c r="H314" s="57" t="inlineStr"/>
      <c r="I314" s="57" t="inlineStr"/>
      <c r="J314" s="61" t="inlineStr"/>
      <c r="K314" s="30" t="inlineStr">
        <is>
          <t>.</t>
        </is>
      </c>
      <c r="L314" s="180" t="n">
        <v>3321.07</v>
      </c>
      <c r="M314" s="181" t="n">
        <v>233.38</v>
      </c>
      <c r="N314" s="181" t="n">
        <v>243.88</v>
      </c>
      <c r="O314" s="181" t="n">
        <v>249.75</v>
      </c>
      <c r="P314" s="181" t="n">
        <v>256.26</v>
      </c>
      <c r="Q314" s="181" t="n">
        <v>264.65</v>
      </c>
      <c r="R314" s="181" t="n">
        <v>271.58</v>
      </c>
      <c r="S314" s="181" t="n">
        <v>282.07</v>
      </c>
      <c r="T314" s="181" t="n">
        <v>289</v>
      </c>
      <c r="U314" s="181" t="n">
        <v>295.5</v>
      </c>
      <c r="V314" s="181" t="n">
        <v>302.85</v>
      </c>
      <c r="W314" s="181" t="n">
        <v>310.83</v>
      </c>
      <c r="X314" s="182" t="n">
        <v>321.32</v>
      </c>
      <c r="Y314" s="183" t="inlineStr">
        <is>
          <t>.</t>
        </is>
      </c>
      <c r="Z314" s="184">
        <f>SUM(AA314:AL314)</f>
        <v/>
      </c>
      <c r="AA314" s="185" t="n">
        <v>0</v>
      </c>
      <c r="AB314" s="185" t="n">
        <v>0</v>
      </c>
      <c r="AC314" s="185" t="n">
        <v>0</v>
      </c>
      <c r="AD314" s="185" t="n">
        <v>0</v>
      </c>
      <c r="AE314" s="185" t="n">
        <v>702.79</v>
      </c>
      <c r="AF314" s="185" t="n">
        <v>0</v>
      </c>
      <c r="AG314" s="185" t="n">
        <v>0</v>
      </c>
      <c r="AH314" s="185" t="n">
        <v>669.54</v>
      </c>
      <c r="AI314" s="185" t="n">
        <v>0</v>
      </c>
      <c r="AJ314" s="185" t="n">
        <v>0</v>
      </c>
      <c r="AK314" s="185" t="n">
        <v>0</v>
      </c>
      <c r="AL314" s="186" t="n">
        <v>0</v>
      </c>
      <c r="AM314" s="30" t="inlineStr">
        <is>
          <t>.</t>
        </is>
      </c>
      <c r="AN314" s="187">
        <f>IF(L314=0,0,Z314/L314)</f>
        <v/>
      </c>
      <c r="AO314" s="57">
        <f>IF(AN314&gt;=1,"🟢",IF(AN314&gt;=0.7,"🟡",IF(AN314&gt;=0.4,"🟠","🔴")))</f>
        <v/>
      </c>
      <c r="AP314" s="185">
        <f>L314-Z314</f>
        <v/>
      </c>
      <c r="AQ314" s="55">
        <f>RANK(Z314,$Z$4:$Z$503,0)</f>
        <v/>
      </c>
      <c r="AR314" s="39" t="inlineStr">
        <is>
          <t>.</t>
        </is>
      </c>
      <c r="AS314" s="27" t="n"/>
      <c r="AT314" s="27" t="n"/>
      <c r="AU314" s="27" t="n"/>
      <c r="AV314" s="27" t="n"/>
      <c r="AW314" s="27" t="n"/>
      <c r="AX314" s="27" t="n"/>
      <c r="AY314" s="204" t="n"/>
      <c r="AZ314" s="204" t="n"/>
      <c r="BA314" s="38" t="inlineStr">
        <is>
          <t>.</t>
        </is>
      </c>
      <c r="BB314" s="190">
        <f>SUM(BC314:BN314)</f>
        <v/>
      </c>
      <c r="BC314" s="191">
        <f>L314*0.0702730030</f>
        <v/>
      </c>
      <c r="BD314" s="191">
        <f>L314*0.0734327604</f>
        <v/>
      </c>
      <c r="BE314" s="191">
        <f>L314*0.0752022245</f>
        <v/>
      </c>
      <c r="BF314" s="191">
        <f>L314*0.0771612740</f>
        <v/>
      </c>
      <c r="BG314" s="191">
        <f>L314*0.0796890799</f>
        <v/>
      </c>
      <c r="BH314" s="191">
        <f>L314*0.0817745197</f>
        <v/>
      </c>
      <c r="BI314" s="191">
        <f>L314*0.0849342770</f>
        <v/>
      </c>
      <c r="BJ314" s="191">
        <f>L314*0.0870197169</f>
        <v/>
      </c>
      <c r="BK314" s="191">
        <f>L314*0.0889787664</f>
        <v/>
      </c>
      <c r="BL314" s="191">
        <f>L314*0.0911905966</f>
        <v/>
      </c>
      <c r="BM314" s="191">
        <f>L314*0.0935920121</f>
        <v/>
      </c>
      <c r="BN314" s="192">
        <f>L314*0.0967517695</f>
        <v/>
      </c>
      <c r="BO314" s="36" t="inlineStr">
        <is>
          <t>.</t>
        </is>
      </c>
      <c r="BP314" s="193">
        <f>SUM(BQ314:CB314)</f>
        <v/>
      </c>
      <c r="BQ314" s="191">
        <f>MAX(0,BC314-AA314)</f>
        <v/>
      </c>
      <c r="BR314" s="191">
        <f>MAX(0,BD314-AB314)</f>
        <v/>
      </c>
      <c r="BS314" s="191">
        <f>MAX(0,BE314-AC314)</f>
        <v/>
      </c>
      <c r="BT314" s="191">
        <f>MAX(0,BF314-AD314)</f>
        <v/>
      </c>
      <c r="BU314" s="191">
        <f>MAX(0,BG314-AE314)</f>
        <v/>
      </c>
      <c r="BV314" s="191">
        <f>MAX(0,BH314-AF314)</f>
        <v/>
      </c>
      <c r="BW314" s="191">
        <f>MAX(0,BI314-AG314)</f>
        <v/>
      </c>
      <c r="BX314" s="191">
        <f>MAX(0,BJ314-AH314)</f>
        <v/>
      </c>
      <c r="BY314" s="191">
        <f>MAX(0,BK314-AI314)</f>
        <v/>
      </c>
      <c r="BZ314" s="191">
        <f>MAX(0,BL314-AJ314)</f>
        <v/>
      </c>
      <c r="CA314" s="191">
        <f>MAX(0,BM314-AK314)</f>
        <v/>
      </c>
      <c r="CB314" s="192">
        <f>MAX(0,BN314-AL314)</f>
        <v/>
      </c>
    </row>
    <row r="315">
      <c r="A315" s="64" t="inlineStr">
        <is>
          <t>16693613000353</t>
        </is>
      </c>
      <c r="B315" s="57" t="inlineStr">
        <is>
          <t>SUPERMERCADO TIO ANTONIO LTDA</t>
        </is>
      </c>
      <c r="C315" s="57" t="inlineStr">
        <is>
          <t>SEM GRUPO</t>
        </is>
      </c>
      <c r="D315" s="61" t="inlineStr">
        <is>
          <t>LARISSA PADILHA</t>
        </is>
      </c>
      <c r="E315" s="30" t="inlineStr">
        <is>
          <t>.</t>
        </is>
      </c>
      <c r="F315" s="63" t="inlineStr"/>
      <c r="G315" s="179" t="inlineStr"/>
      <c r="H315" s="57" t="inlineStr"/>
      <c r="I315" s="57" t="inlineStr"/>
      <c r="J315" s="61" t="inlineStr"/>
      <c r="K315" s="30" t="inlineStr">
        <is>
          <t>.</t>
        </is>
      </c>
      <c r="L315" s="180" t="n">
        <v>3303.72</v>
      </c>
      <c r="M315" s="181" t="n">
        <v>232.16</v>
      </c>
      <c r="N315" s="181" t="n">
        <v>242.6</v>
      </c>
      <c r="O315" s="181" t="n">
        <v>248.45</v>
      </c>
      <c r="P315" s="181" t="n">
        <v>254.92</v>
      </c>
      <c r="Q315" s="181" t="n">
        <v>263.27</v>
      </c>
      <c r="R315" s="181" t="n">
        <v>270.16</v>
      </c>
      <c r="S315" s="181" t="n">
        <v>280.6</v>
      </c>
      <c r="T315" s="181" t="n">
        <v>287.49</v>
      </c>
      <c r="U315" s="181" t="n">
        <v>293.96</v>
      </c>
      <c r="V315" s="181" t="n">
        <v>301.27</v>
      </c>
      <c r="W315" s="181" t="n">
        <v>309.2</v>
      </c>
      <c r="X315" s="182" t="n">
        <v>319.64</v>
      </c>
      <c r="Y315" s="183" t="inlineStr">
        <is>
          <t>.</t>
        </is>
      </c>
      <c r="Z315" s="184">
        <f>SUM(AA315:AL315)</f>
        <v/>
      </c>
      <c r="AA315" s="185" t="n">
        <v>0</v>
      </c>
      <c r="AB315" s="185" t="n">
        <v>0</v>
      </c>
      <c r="AC315" s="185" t="n">
        <v>0</v>
      </c>
      <c r="AD315" s="185" t="n">
        <v>0</v>
      </c>
      <c r="AE315" s="185" t="n">
        <v>1340.45</v>
      </c>
      <c r="AF315" s="185" t="n">
        <v>0</v>
      </c>
      <c r="AG315" s="185" t="n">
        <v>0</v>
      </c>
      <c r="AH315" s="185" t="n">
        <v>0</v>
      </c>
      <c r="AI315" s="185" t="n">
        <v>0</v>
      </c>
      <c r="AJ315" s="185" t="n">
        <v>0</v>
      </c>
      <c r="AK315" s="185" t="n">
        <v>0</v>
      </c>
      <c r="AL315" s="186" t="n">
        <v>0</v>
      </c>
      <c r="AM315" s="30" t="inlineStr">
        <is>
          <t>.</t>
        </is>
      </c>
      <c r="AN315" s="187">
        <f>IF(L315=0,0,Z315/L315)</f>
        <v/>
      </c>
      <c r="AO315" s="57">
        <f>IF(AN315&gt;=1,"🟢",IF(AN315&gt;=0.7,"🟡",IF(AN315&gt;=0.4,"🟠","🔴")))</f>
        <v/>
      </c>
      <c r="AP315" s="185">
        <f>L315-Z315</f>
        <v/>
      </c>
      <c r="AQ315" s="55">
        <f>RANK(Z315,$Z$4:$Z$503,0)</f>
        <v/>
      </c>
      <c r="AR315" s="39" t="inlineStr">
        <is>
          <t>.</t>
        </is>
      </c>
      <c r="AS315" s="27" t="n"/>
      <c r="AT315" s="27" t="n"/>
      <c r="AU315" s="27" t="n"/>
      <c r="AV315" s="27" t="n"/>
      <c r="AW315" s="27" t="n"/>
      <c r="AX315" s="27" t="n"/>
      <c r="AY315" s="204" t="n"/>
      <c r="AZ315" s="204" t="n"/>
      <c r="BA315" s="38" t="inlineStr">
        <is>
          <t>.</t>
        </is>
      </c>
      <c r="BB315" s="190">
        <f>SUM(BC315:BN315)</f>
        <v/>
      </c>
      <c r="BC315" s="191">
        <f>L315*0.0702730030</f>
        <v/>
      </c>
      <c r="BD315" s="191">
        <f>L315*0.0734327604</f>
        <v/>
      </c>
      <c r="BE315" s="191">
        <f>L315*0.0752022245</f>
        <v/>
      </c>
      <c r="BF315" s="191">
        <f>L315*0.0771612740</f>
        <v/>
      </c>
      <c r="BG315" s="191">
        <f>L315*0.0796890799</f>
        <v/>
      </c>
      <c r="BH315" s="191">
        <f>L315*0.0817745197</f>
        <v/>
      </c>
      <c r="BI315" s="191">
        <f>L315*0.0849342770</f>
        <v/>
      </c>
      <c r="BJ315" s="191">
        <f>L315*0.0870197169</f>
        <v/>
      </c>
      <c r="BK315" s="191">
        <f>L315*0.0889787664</f>
        <v/>
      </c>
      <c r="BL315" s="191">
        <f>L315*0.0911905966</f>
        <v/>
      </c>
      <c r="BM315" s="191">
        <f>L315*0.0935920121</f>
        <v/>
      </c>
      <c r="BN315" s="192">
        <f>L315*0.0967517695</f>
        <v/>
      </c>
      <c r="BO315" s="36" t="inlineStr">
        <is>
          <t>.</t>
        </is>
      </c>
      <c r="BP315" s="193">
        <f>SUM(BQ315:CB315)</f>
        <v/>
      </c>
      <c r="BQ315" s="191">
        <f>MAX(0,BC315-AA315)</f>
        <v/>
      </c>
      <c r="BR315" s="191">
        <f>MAX(0,BD315-AB315)</f>
        <v/>
      </c>
      <c r="BS315" s="191">
        <f>MAX(0,BE315-AC315)</f>
        <v/>
      </c>
      <c r="BT315" s="191">
        <f>MAX(0,BF315-AD315)</f>
        <v/>
      </c>
      <c r="BU315" s="191">
        <f>MAX(0,BG315-AE315)</f>
        <v/>
      </c>
      <c r="BV315" s="191">
        <f>MAX(0,BH315-AF315)</f>
        <v/>
      </c>
      <c r="BW315" s="191">
        <f>MAX(0,BI315-AG315)</f>
        <v/>
      </c>
      <c r="BX315" s="191">
        <f>MAX(0,BJ315-AH315)</f>
        <v/>
      </c>
      <c r="BY315" s="191">
        <f>MAX(0,BK315-AI315)</f>
        <v/>
      </c>
      <c r="BZ315" s="191">
        <f>MAX(0,BL315-AJ315)</f>
        <v/>
      </c>
      <c r="CA315" s="191">
        <f>MAX(0,BM315-AK315)</f>
        <v/>
      </c>
      <c r="CB315" s="192">
        <f>MAX(0,BN315-AL315)</f>
        <v/>
      </c>
    </row>
    <row r="316">
      <c r="A316" s="64" t="inlineStr">
        <is>
          <t>50772174000140</t>
        </is>
      </c>
      <c r="B316" s="57" t="inlineStr">
        <is>
          <t>FRANCIELE PELISSARI COMERCIO DE ALIMENTO</t>
        </is>
      </c>
      <c r="C316" s="57" t="inlineStr">
        <is>
          <t>DIVINA TERRA</t>
        </is>
      </c>
      <c r="D316" s="61" t="inlineStr">
        <is>
          <t>DAIANE STAVICKI</t>
        </is>
      </c>
      <c r="E316" s="30" t="inlineStr">
        <is>
          <t>.</t>
        </is>
      </c>
      <c r="F316" s="63" t="n">
        <v>85</v>
      </c>
      <c r="G316" s="179" t="n">
        <v>0.1</v>
      </c>
      <c r="H316" s="57" t="inlineStr">
        <is>
          <t>🔴 VERMELHO</t>
        </is>
      </c>
      <c r="I316" s="57" t="inlineStr">
        <is>
          <t>POSITIVAÇÃO</t>
        </is>
      </c>
      <c r="J316" s="61" t="inlineStr">
        <is>
          <t>Aumentar frequência + Expandir base</t>
        </is>
      </c>
      <c r="K316" s="30" t="inlineStr">
        <is>
          <t>.</t>
        </is>
      </c>
      <c r="L316" s="180" t="n">
        <v>3192.82</v>
      </c>
      <c r="M316" s="181" t="n">
        <v>224.37</v>
      </c>
      <c r="N316" s="181" t="n">
        <v>234.46</v>
      </c>
      <c r="O316" s="181" t="n">
        <v>240.11</v>
      </c>
      <c r="P316" s="181" t="n">
        <v>246.36</v>
      </c>
      <c r="Q316" s="181" t="n">
        <v>254.43</v>
      </c>
      <c r="R316" s="181" t="n">
        <v>261.09</v>
      </c>
      <c r="S316" s="181" t="n">
        <v>271.18</v>
      </c>
      <c r="T316" s="181" t="n">
        <v>277.84</v>
      </c>
      <c r="U316" s="181" t="n">
        <v>284.09</v>
      </c>
      <c r="V316" s="181" t="n">
        <v>291.16</v>
      </c>
      <c r="W316" s="181" t="n">
        <v>298.82</v>
      </c>
      <c r="X316" s="182" t="n">
        <v>308.91</v>
      </c>
      <c r="Y316" s="183" t="inlineStr">
        <is>
          <t>.</t>
        </is>
      </c>
      <c r="Z316" s="184">
        <f>SUM(AA316:AL316)</f>
        <v/>
      </c>
      <c r="AA316" s="185" t="n">
        <v>0</v>
      </c>
      <c r="AB316" s="185" t="n">
        <v>0</v>
      </c>
      <c r="AC316" s="185" t="n">
        <v>0</v>
      </c>
      <c r="AD316" s="185" t="n">
        <v>0</v>
      </c>
      <c r="AE316" s="185" t="n">
        <v>0</v>
      </c>
      <c r="AF316" s="185" t="n">
        <v>0</v>
      </c>
      <c r="AG316" s="185" t="n">
        <v>0</v>
      </c>
      <c r="AH316" s="185" t="n">
        <v>1345.37</v>
      </c>
      <c r="AI316" s="185" t="n">
        <v>0</v>
      </c>
      <c r="AJ316" s="185" t="n">
        <v>0</v>
      </c>
      <c r="AK316" s="185" t="n">
        <v>0</v>
      </c>
      <c r="AL316" s="186" t="n">
        <v>0</v>
      </c>
      <c r="AM316" s="30" t="inlineStr">
        <is>
          <t>.</t>
        </is>
      </c>
      <c r="AN316" s="187">
        <f>IF(L316=0,0,Z316/L316)</f>
        <v/>
      </c>
      <c r="AO316" s="57">
        <f>IF(AN316&gt;=1,"🟢",IF(AN316&gt;=0.7,"🟡",IF(AN316&gt;=0.4,"🟠","🔴")))</f>
        <v/>
      </c>
      <c r="AP316" s="185">
        <f>L316-Z316</f>
        <v/>
      </c>
      <c r="AQ316" s="55">
        <f>RANK(Z316,$Z$4:$Z$503,0)</f>
        <v/>
      </c>
      <c r="AR316" s="39" t="inlineStr">
        <is>
          <t>.</t>
        </is>
      </c>
      <c r="AS316" s="27" t="n"/>
      <c r="AT316" s="27" t="n"/>
      <c r="AU316" s="27" t="n"/>
      <c r="AV316" s="27" t="n"/>
      <c r="AW316" s="27" t="n"/>
      <c r="AX316" s="27" t="n"/>
      <c r="AY316" s="204" t="n"/>
      <c r="AZ316" s="204" t="n"/>
      <c r="BA316" s="38" t="inlineStr">
        <is>
          <t>.</t>
        </is>
      </c>
      <c r="BB316" s="190">
        <f>SUM(BC316:BN316)</f>
        <v/>
      </c>
      <c r="BC316" s="191">
        <f>L316*0.0702730030</f>
        <v/>
      </c>
      <c r="BD316" s="191">
        <f>L316*0.0734327604</f>
        <v/>
      </c>
      <c r="BE316" s="191">
        <f>L316*0.0752022245</f>
        <v/>
      </c>
      <c r="BF316" s="191">
        <f>L316*0.0771612740</f>
        <v/>
      </c>
      <c r="BG316" s="191">
        <f>L316*0.0796890799</f>
        <v/>
      </c>
      <c r="BH316" s="191">
        <f>L316*0.0817745197</f>
        <v/>
      </c>
      <c r="BI316" s="191">
        <f>L316*0.0849342770</f>
        <v/>
      </c>
      <c r="BJ316" s="191">
        <f>L316*0.0870197169</f>
        <v/>
      </c>
      <c r="BK316" s="191">
        <f>L316*0.0889787664</f>
        <v/>
      </c>
      <c r="BL316" s="191">
        <f>L316*0.0911905966</f>
        <v/>
      </c>
      <c r="BM316" s="191">
        <f>L316*0.0935920121</f>
        <v/>
      </c>
      <c r="BN316" s="192">
        <f>L316*0.0967517695</f>
        <v/>
      </c>
      <c r="BO316" s="36" t="inlineStr">
        <is>
          <t>.</t>
        </is>
      </c>
      <c r="BP316" s="193">
        <f>SUM(BQ316:CB316)</f>
        <v/>
      </c>
      <c r="BQ316" s="191">
        <f>MAX(0,BC316-AA316)</f>
        <v/>
      </c>
      <c r="BR316" s="191">
        <f>MAX(0,BD316-AB316)</f>
        <v/>
      </c>
      <c r="BS316" s="191">
        <f>MAX(0,BE316-AC316)</f>
        <v/>
      </c>
      <c r="BT316" s="191">
        <f>MAX(0,BF316-AD316)</f>
        <v/>
      </c>
      <c r="BU316" s="191">
        <f>MAX(0,BG316-AE316)</f>
        <v/>
      </c>
      <c r="BV316" s="191">
        <f>MAX(0,BH316-AF316)</f>
        <v/>
      </c>
      <c r="BW316" s="191">
        <f>MAX(0,BI316-AG316)</f>
        <v/>
      </c>
      <c r="BX316" s="191">
        <f>MAX(0,BJ316-AH316)</f>
        <v/>
      </c>
      <c r="BY316" s="191">
        <f>MAX(0,BK316-AI316)</f>
        <v/>
      </c>
      <c r="BZ316" s="191">
        <f>MAX(0,BL316-AJ316)</f>
        <v/>
      </c>
      <c r="CA316" s="191">
        <f>MAX(0,BM316-AK316)</f>
        <v/>
      </c>
      <c r="CB316" s="192">
        <f>MAX(0,BN316-AL316)</f>
        <v/>
      </c>
    </row>
    <row r="317">
      <c r="A317" s="64" t="inlineStr">
        <is>
          <t>63501653000174</t>
        </is>
      </c>
      <c r="B317" s="57" t="inlineStr">
        <is>
          <t>DSC SAUDE E NUTRICAO LTDA - EPP</t>
        </is>
      </c>
      <c r="C317" s="57" t="inlineStr">
        <is>
          <t>SEM GRUPO</t>
        </is>
      </c>
      <c r="D317" s="61" t="inlineStr">
        <is>
          <t>HEMANUELE DITZEL (MANU)</t>
        </is>
      </c>
      <c r="E317" s="30" t="inlineStr">
        <is>
          <t>.</t>
        </is>
      </c>
      <c r="F317" s="63" t="inlineStr"/>
      <c r="G317" s="179" t="inlineStr"/>
      <c r="H317" s="57" t="inlineStr"/>
      <c r="I317" s="57" t="inlineStr"/>
      <c r="J317" s="61" t="inlineStr"/>
      <c r="K317" s="30" t="inlineStr">
        <is>
          <t>.</t>
        </is>
      </c>
      <c r="L317" s="180" t="n">
        <v>3165.179999999999</v>
      </c>
      <c r="M317" s="181" t="n">
        <v>222.43</v>
      </c>
      <c r="N317" s="181" t="n">
        <v>232.43</v>
      </c>
      <c r="O317" s="181" t="n">
        <v>238.03</v>
      </c>
      <c r="P317" s="181" t="n">
        <v>244.23</v>
      </c>
      <c r="Q317" s="181" t="n">
        <v>252.23</v>
      </c>
      <c r="R317" s="181" t="n">
        <v>258.83</v>
      </c>
      <c r="S317" s="181" t="n">
        <v>268.83</v>
      </c>
      <c r="T317" s="181" t="n">
        <v>275.43</v>
      </c>
      <c r="U317" s="181" t="n">
        <v>281.63</v>
      </c>
      <c r="V317" s="181" t="n">
        <v>288.63</v>
      </c>
      <c r="W317" s="181" t="n">
        <v>296.24</v>
      </c>
      <c r="X317" s="182" t="n">
        <v>306.24</v>
      </c>
      <c r="Y317" s="183" t="inlineStr">
        <is>
          <t>.</t>
        </is>
      </c>
      <c r="Z317" s="184">
        <f>SUM(AA317:AL317)</f>
        <v/>
      </c>
      <c r="AA317" s="185" t="n">
        <v>0</v>
      </c>
      <c r="AB317" s="185" t="n">
        <v>0</v>
      </c>
      <c r="AC317" s="185" t="n">
        <v>0</v>
      </c>
      <c r="AD317" s="185" t="n">
        <v>0</v>
      </c>
      <c r="AE317" s="185" t="n">
        <v>0</v>
      </c>
      <c r="AF317" s="185" t="n">
        <v>0</v>
      </c>
      <c r="AG317" s="185" t="n">
        <v>0</v>
      </c>
      <c r="AH317" s="185" t="n">
        <v>0</v>
      </c>
      <c r="AI317" s="185" t="n">
        <v>0</v>
      </c>
      <c r="AJ317" s="185" t="n">
        <v>0</v>
      </c>
      <c r="AK317" s="185" t="n">
        <v>0</v>
      </c>
      <c r="AL317" s="186" t="n">
        <v>1394.99</v>
      </c>
      <c r="AM317" s="30" t="inlineStr">
        <is>
          <t>.</t>
        </is>
      </c>
      <c r="AN317" s="187">
        <f>IF(L317=0,0,Z317/L317)</f>
        <v/>
      </c>
      <c r="AO317" s="57">
        <f>IF(AN317&gt;=1,"🟢",IF(AN317&gt;=0.7,"🟡",IF(AN317&gt;=0.4,"🟠","🔴")))</f>
        <v/>
      </c>
      <c r="AP317" s="185">
        <f>L317-Z317</f>
        <v/>
      </c>
      <c r="AQ317" s="55">
        <f>RANK(Z317,$Z$4:$Z$503,0)</f>
        <v/>
      </c>
      <c r="AR317" s="39" t="inlineStr">
        <is>
          <t>.</t>
        </is>
      </c>
      <c r="AS317" s="27" t="n"/>
      <c r="AT317" s="27" t="n"/>
      <c r="AU317" s="27" t="n"/>
      <c r="AV317" s="27" t="n"/>
      <c r="AW317" s="27" t="n"/>
      <c r="AX317" s="27" t="n"/>
      <c r="AY317" s="204" t="n"/>
      <c r="AZ317" s="204" t="n"/>
      <c r="BA317" s="38" t="inlineStr">
        <is>
          <t>.</t>
        </is>
      </c>
      <c r="BB317" s="190">
        <f>SUM(BC317:BN317)</f>
        <v/>
      </c>
      <c r="BC317" s="191">
        <f>L317*0.0702730030</f>
        <v/>
      </c>
      <c r="BD317" s="191">
        <f>L317*0.0734327604</f>
        <v/>
      </c>
      <c r="BE317" s="191">
        <f>L317*0.0752022245</f>
        <v/>
      </c>
      <c r="BF317" s="191">
        <f>L317*0.0771612740</f>
        <v/>
      </c>
      <c r="BG317" s="191">
        <f>L317*0.0796890799</f>
        <v/>
      </c>
      <c r="BH317" s="191">
        <f>L317*0.0817745197</f>
        <v/>
      </c>
      <c r="BI317" s="191">
        <f>L317*0.0849342770</f>
        <v/>
      </c>
      <c r="BJ317" s="191">
        <f>L317*0.0870197169</f>
        <v/>
      </c>
      <c r="BK317" s="191">
        <f>L317*0.0889787664</f>
        <v/>
      </c>
      <c r="BL317" s="191">
        <f>L317*0.0911905966</f>
        <v/>
      </c>
      <c r="BM317" s="191">
        <f>L317*0.0935920121</f>
        <v/>
      </c>
      <c r="BN317" s="192">
        <f>L317*0.0967517695</f>
        <v/>
      </c>
      <c r="BO317" s="36" t="inlineStr">
        <is>
          <t>.</t>
        </is>
      </c>
      <c r="BP317" s="193">
        <f>SUM(BQ317:CB317)</f>
        <v/>
      </c>
      <c r="BQ317" s="191">
        <f>MAX(0,BC317-AA317)</f>
        <v/>
      </c>
      <c r="BR317" s="191">
        <f>MAX(0,BD317-AB317)</f>
        <v/>
      </c>
      <c r="BS317" s="191">
        <f>MAX(0,BE317-AC317)</f>
        <v/>
      </c>
      <c r="BT317" s="191">
        <f>MAX(0,BF317-AD317)</f>
        <v/>
      </c>
      <c r="BU317" s="191">
        <f>MAX(0,BG317-AE317)</f>
        <v/>
      </c>
      <c r="BV317" s="191">
        <f>MAX(0,BH317-AF317)</f>
        <v/>
      </c>
      <c r="BW317" s="191">
        <f>MAX(0,BI317-AG317)</f>
        <v/>
      </c>
      <c r="BX317" s="191">
        <f>MAX(0,BJ317-AH317)</f>
        <v/>
      </c>
      <c r="BY317" s="191">
        <f>MAX(0,BK317-AI317)</f>
        <v/>
      </c>
      <c r="BZ317" s="191">
        <f>MAX(0,BL317-AJ317)</f>
        <v/>
      </c>
      <c r="CA317" s="191">
        <f>MAX(0,BM317-AK317)</f>
        <v/>
      </c>
      <c r="CB317" s="192">
        <f>MAX(0,BN317-AL317)</f>
        <v/>
      </c>
    </row>
    <row r="318">
      <c r="A318" s="64" t="inlineStr">
        <is>
          <t>53918909000190</t>
        </is>
      </c>
      <c r="B318" s="57" t="inlineStr">
        <is>
          <t>LF NUTRI VIDA LTDA - ME</t>
        </is>
      </c>
      <c r="C318" s="57" t="inlineStr">
        <is>
          <t>FITLAND</t>
        </is>
      </c>
      <c r="D318" s="61" t="inlineStr">
        <is>
          <t>JULIO GADRET</t>
        </is>
      </c>
      <c r="E318" s="30" t="inlineStr">
        <is>
          <t>.</t>
        </is>
      </c>
      <c r="F318" s="63" t="n">
        <v>89</v>
      </c>
      <c r="G318" s="179" t="n">
        <v>0.298</v>
      </c>
      <c r="H318" s="57" t="inlineStr">
        <is>
          <t>🔴 VERMELHO</t>
        </is>
      </c>
      <c r="I318" s="57" t="inlineStr">
        <is>
          <t>POSITIVAÇÃO</t>
        </is>
      </c>
      <c r="J318" s="61" t="inlineStr">
        <is>
          <t>Aumentar frequência + Expandir base</t>
        </is>
      </c>
      <c r="K318" s="30" t="inlineStr">
        <is>
          <t>.</t>
        </is>
      </c>
      <c r="L318" s="180" t="n">
        <v>3160.77</v>
      </c>
      <c r="M318" s="181" t="n">
        <v>222.12</v>
      </c>
      <c r="N318" s="181" t="n">
        <v>232.1</v>
      </c>
      <c r="O318" s="181" t="n">
        <v>237.7</v>
      </c>
      <c r="P318" s="181" t="n">
        <v>243.89</v>
      </c>
      <c r="Q318" s="181" t="n">
        <v>251.88</v>
      </c>
      <c r="R318" s="181" t="n">
        <v>258.47</v>
      </c>
      <c r="S318" s="181" t="n">
        <v>268.46</v>
      </c>
      <c r="T318" s="181" t="n">
        <v>275.05</v>
      </c>
      <c r="U318" s="181" t="n">
        <v>281.24</v>
      </c>
      <c r="V318" s="181" t="n">
        <v>288.23</v>
      </c>
      <c r="W318" s="181" t="n">
        <v>295.82</v>
      </c>
      <c r="X318" s="182" t="n">
        <v>305.81</v>
      </c>
      <c r="Y318" s="183" t="inlineStr">
        <is>
          <t>.</t>
        </is>
      </c>
      <c r="Z318" s="184">
        <f>SUM(AA318:AL318)</f>
        <v/>
      </c>
      <c r="AA318" s="185" t="n">
        <v>0</v>
      </c>
      <c r="AB318" s="185" t="n">
        <v>0</v>
      </c>
      <c r="AC318" s="185" t="n">
        <v>0</v>
      </c>
      <c r="AD318" s="185" t="n">
        <v>0</v>
      </c>
      <c r="AE318" s="185" t="n">
        <v>0</v>
      </c>
      <c r="AF318" s="185" t="n">
        <v>635.4299999999999</v>
      </c>
      <c r="AG318" s="185" t="n">
        <v>0</v>
      </c>
      <c r="AH318" s="185" t="n">
        <v>0</v>
      </c>
      <c r="AI318" s="185" t="n">
        <v>0</v>
      </c>
      <c r="AJ318" s="185" t="n">
        <v>897.91</v>
      </c>
      <c r="AK318" s="185" t="n">
        <v>0</v>
      </c>
      <c r="AL318" s="186" t="n">
        <v>0</v>
      </c>
      <c r="AM318" s="30" t="inlineStr">
        <is>
          <t>.</t>
        </is>
      </c>
      <c r="AN318" s="187">
        <f>IF(L318=0,0,Z318/L318)</f>
        <v/>
      </c>
      <c r="AO318" s="57">
        <f>IF(AN318&gt;=1,"🟢",IF(AN318&gt;=0.7,"🟡",IF(AN318&gt;=0.4,"🟠","🔴")))</f>
        <v/>
      </c>
      <c r="AP318" s="185">
        <f>L318-Z318</f>
        <v/>
      </c>
      <c r="AQ318" s="55">
        <f>RANK(Z318,$Z$4:$Z$503,0)</f>
        <v/>
      </c>
      <c r="AR318" s="39" t="inlineStr">
        <is>
          <t>.</t>
        </is>
      </c>
      <c r="AS318" s="27" t="n"/>
      <c r="AT318" s="27" t="n"/>
      <c r="AU318" s="27" t="n"/>
      <c r="AV318" s="27" t="n"/>
      <c r="AW318" s="27" t="n"/>
      <c r="AX318" s="27" t="n"/>
      <c r="AY318" s="204" t="n"/>
      <c r="AZ318" s="204" t="n"/>
      <c r="BA318" s="38" t="inlineStr">
        <is>
          <t>.</t>
        </is>
      </c>
      <c r="BB318" s="190">
        <f>SUM(BC318:BN318)</f>
        <v/>
      </c>
      <c r="BC318" s="191">
        <f>L318*0.0702730030</f>
        <v/>
      </c>
      <c r="BD318" s="191">
        <f>L318*0.0734327604</f>
        <v/>
      </c>
      <c r="BE318" s="191">
        <f>L318*0.0752022245</f>
        <v/>
      </c>
      <c r="BF318" s="191">
        <f>L318*0.0771612740</f>
        <v/>
      </c>
      <c r="BG318" s="191">
        <f>L318*0.0796890799</f>
        <v/>
      </c>
      <c r="BH318" s="191">
        <f>L318*0.0817745197</f>
        <v/>
      </c>
      <c r="BI318" s="191">
        <f>L318*0.0849342770</f>
        <v/>
      </c>
      <c r="BJ318" s="191">
        <f>L318*0.0870197169</f>
        <v/>
      </c>
      <c r="BK318" s="191">
        <f>L318*0.0889787664</f>
        <v/>
      </c>
      <c r="BL318" s="191">
        <f>L318*0.0911905966</f>
        <v/>
      </c>
      <c r="BM318" s="191">
        <f>L318*0.0935920121</f>
        <v/>
      </c>
      <c r="BN318" s="192">
        <f>L318*0.0967517695</f>
        <v/>
      </c>
      <c r="BO318" s="36" t="inlineStr">
        <is>
          <t>.</t>
        </is>
      </c>
      <c r="BP318" s="193">
        <f>SUM(BQ318:CB318)</f>
        <v/>
      </c>
      <c r="BQ318" s="191">
        <f>MAX(0,BC318-AA318)</f>
        <v/>
      </c>
      <c r="BR318" s="191">
        <f>MAX(0,BD318-AB318)</f>
        <v/>
      </c>
      <c r="BS318" s="191">
        <f>MAX(0,BE318-AC318)</f>
        <v/>
      </c>
      <c r="BT318" s="191">
        <f>MAX(0,BF318-AD318)</f>
        <v/>
      </c>
      <c r="BU318" s="191">
        <f>MAX(0,BG318-AE318)</f>
        <v/>
      </c>
      <c r="BV318" s="191">
        <f>MAX(0,BH318-AF318)</f>
        <v/>
      </c>
      <c r="BW318" s="191">
        <f>MAX(0,BI318-AG318)</f>
        <v/>
      </c>
      <c r="BX318" s="191">
        <f>MAX(0,BJ318-AH318)</f>
        <v/>
      </c>
      <c r="BY318" s="191">
        <f>MAX(0,BK318-AI318)</f>
        <v/>
      </c>
      <c r="BZ318" s="191">
        <f>MAX(0,BL318-AJ318)</f>
        <v/>
      </c>
      <c r="CA318" s="191">
        <f>MAX(0,BM318-AK318)</f>
        <v/>
      </c>
      <c r="CB318" s="192">
        <f>MAX(0,BN318-AL318)</f>
        <v/>
      </c>
    </row>
    <row r="319">
      <c r="A319" s="64" t="inlineStr">
        <is>
          <t>61819408000184</t>
        </is>
      </c>
      <c r="B319" s="57" t="inlineStr">
        <is>
          <t>61.819.408 RAYNARA PAULINA ROCHA FRANCO</t>
        </is>
      </c>
      <c r="C319" s="57" t="inlineStr">
        <is>
          <t>SEM GRUPO</t>
        </is>
      </c>
      <c r="D319" s="61" t="inlineStr">
        <is>
          <t>LARISSA PADILHA</t>
        </is>
      </c>
      <c r="E319" s="30" t="inlineStr">
        <is>
          <t>.</t>
        </is>
      </c>
      <c r="F319" s="63" t="inlineStr"/>
      <c r="G319" s="179" t="inlineStr"/>
      <c r="H319" s="57" t="inlineStr"/>
      <c r="I319" s="57" t="inlineStr"/>
      <c r="J319" s="61" t="inlineStr"/>
      <c r="K319" s="30" t="inlineStr">
        <is>
          <t>.</t>
        </is>
      </c>
      <c r="L319" s="180" t="n">
        <v>3153.65</v>
      </c>
      <c r="M319" s="181" t="n">
        <v>221.62</v>
      </c>
      <c r="N319" s="181" t="n">
        <v>231.58</v>
      </c>
      <c r="O319" s="181" t="n">
        <v>237.16</v>
      </c>
      <c r="P319" s="181" t="n">
        <v>243.34</v>
      </c>
      <c r="Q319" s="181" t="n">
        <v>251.31</v>
      </c>
      <c r="R319" s="181" t="n">
        <v>257.89</v>
      </c>
      <c r="S319" s="181" t="n">
        <v>267.85</v>
      </c>
      <c r="T319" s="181" t="n">
        <v>274.43</v>
      </c>
      <c r="U319" s="181" t="n">
        <v>280.61</v>
      </c>
      <c r="V319" s="181" t="n">
        <v>287.58</v>
      </c>
      <c r="W319" s="181" t="n">
        <v>295.16</v>
      </c>
      <c r="X319" s="182" t="n">
        <v>305.12</v>
      </c>
      <c r="Y319" s="183" t="inlineStr">
        <is>
          <t>.</t>
        </is>
      </c>
      <c r="Z319" s="184">
        <f>SUM(AA319:AL319)</f>
        <v/>
      </c>
      <c r="AA319" s="185" t="n">
        <v>0</v>
      </c>
      <c r="AB319" s="185" t="n">
        <v>0</v>
      </c>
      <c r="AC319" s="185" t="n">
        <v>0</v>
      </c>
      <c r="AD319" s="185" t="n">
        <v>0</v>
      </c>
      <c r="AE319" s="185" t="n">
        <v>0</v>
      </c>
      <c r="AF319" s="185" t="n">
        <v>0</v>
      </c>
      <c r="AG319" s="185" t="n">
        <v>0</v>
      </c>
      <c r="AH319" s="185" t="n">
        <v>629.46</v>
      </c>
      <c r="AI319" s="185" t="n">
        <v>751.85</v>
      </c>
      <c r="AJ319" s="185" t="n">
        <v>0</v>
      </c>
      <c r="AK319" s="185" t="n">
        <v>0</v>
      </c>
      <c r="AL319" s="186" t="n">
        <v>0</v>
      </c>
      <c r="AM319" s="30" t="inlineStr">
        <is>
          <t>.</t>
        </is>
      </c>
      <c r="AN319" s="187">
        <f>IF(L319=0,0,Z319/L319)</f>
        <v/>
      </c>
      <c r="AO319" s="57">
        <f>IF(AN319&gt;=1,"🟢",IF(AN319&gt;=0.7,"🟡",IF(AN319&gt;=0.4,"🟠","🔴")))</f>
        <v/>
      </c>
      <c r="AP319" s="185">
        <f>L319-Z319</f>
        <v/>
      </c>
      <c r="AQ319" s="55">
        <f>RANK(Z319,$Z$4:$Z$503,0)</f>
        <v/>
      </c>
      <c r="AR319" s="39" t="inlineStr">
        <is>
          <t>.</t>
        </is>
      </c>
      <c r="AS319" s="27" t="n"/>
      <c r="AT319" s="27" t="n"/>
      <c r="AU319" s="27" t="n"/>
      <c r="AV319" s="27" t="n"/>
      <c r="AW319" s="27" t="n"/>
      <c r="AX319" s="27" t="n"/>
      <c r="AY319" s="204" t="n"/>
      <c r="AZ319" s="204" t="n"/>
      <c r="BA319" s="38" t="inlineStr">
        <is>
          <t>.</t>
        </is>
      </c>
      <c r="BB319" s="190">
        <f>SUM(BC319:BN319)</f>
        <v/>
      </c>
      <c r="BC319" s="191">
        <f>L319*0.0702730030</f>
        <v/>
      </c>
      <c r="BD319" s="191">
        <f>L319*0.0734327604</f>
        <v/>
      </c>
      <c r="BE319" s="191">
        <f>L319*0.0752022245</f>
        <v/>
      </c>
      <c r="BF319" s="191">
        <f>L319*0.0771612740</f>
        <v/>
      </c>
      <c r="BG319" s="191">
        <f>L319*0.0796890799</f>
        <v/>
      </c>
      <c r="BH319" s="191">
        <f>L319*0.0817745197</f>
        <v/>
      </c>
      <c r="BI319" s="191">
        <f>L319*0.0849342770</f>
        <v/>
      </c>
      <c r="BJ319" s="191">
        <f>L319*0.0870197169</f>
        <v/>
      </c>
      <c r="BK319" s="191">
        <f>L319*0.0889787664</f>
        <v/>
      </c>
      <c r="BL319" s="191">
        <f>L319*0.0911905966</f>
        <v/>
      </c>
      <c r="BM319" s="191">
        <f>L319*0.0935920121</f>
        <v/>
      </c>
      <c r="BN319" s="192">
        <f>L319*0.0967517695</f>
        <v/>
      </c>
      <c r="BO319" s="36" t="inlineStr">
        <is>
          <t>.</t>
        </is>
      </c>
      <c r="BP319" s="193">
        <f>SUM(BQ319:CB319)</f>
        <v/>
      </c>
      <c r="BQ319" s="191">
        <f>MAX(0,BC319-AA319)</f>
        <v/>
      </c>
      <c r="BR319" s="191">
        <f>MAX(0,BD319-AB319)</f>
        <v/>
      </c>
      <c r="BS319" s="191">
        <f>MAX(0,BE319-AC319)</f>
        <v/>
      </c>
      <c r="BT319" s="191">
        <f>MAX(0,BF319-AD319)</f>
        <v/>
      </c>
      <c r="BU319" s="191">
        <f>MAX(0,BG319-AE319)</f>
        <v/>
      </c>
      <c r="BV319" s="191">
        <f>MAX(0,BH319-AF319)</f>
        <v/>
      </c>
      <c r="BW319" s="191">
        <f>MAX(0,BI319-AG319)</f>
        <v/>
      </c>
      <c r="BX319" s="191">
        <f>MAX(0,BJ319-AH319)</f>
        <v/>
      </c>
      <c r="BY319" s="191">
        <f>MAX(0,BK319-AI319)</f>
        <v/>
      </c>
      <c r="BZ319" s="191">
        <f>MAX(0,BL319-AJ319)</f>
        <v/>
      </c>
      <c r="CA319" s="191">
        <f>MAX(0,BM319-AK319)</f>
        <v/>
      </c>
      <c r="CB319" s="192">
        <f>MAX(0,BN319-AL319)</f>
        <v/>
      </c>
    </row>
    <row r="320">
      <c r="A320" s="64" t="inlineStr">
        <is>
          <t>76900463002972</t>
        </is>
      </c>
      <c r="B320" s="57" t="inlineStr">
        <is>
          <t>RISOTOLANDIA INDUSTRIA E COMERCIO DE ALI</t>
        </is>
      </c>
      <c r="C320" s="57" t="inlineStr">
        <is>
          <t>SEM GRUPO</t>
        </is>
      </c>
      <c r="D320" s="61" t="inlineStr">
        <is>
          <t>HEMANUELE DITZEL (MANU)</t>
        </is>
      </c>
      <c r="E320" s="30" t="inlineStr">
        <is>
          <t>.</t>
        </is>
      </c>
      <c r="F320" s="63" t="inlineStr"/>
      <c r="G320" s="179" t="inlineStr"/>
      <c r="H320" s="57" t="inlineStr"/>
      <c r="I320" s="57" t="inlineStr"/>
      <c r="J320" s="61" t="inlineStr"/>
      <c r="K320" s="30" t="inlineStr">
        <is>
          <t>.</t>
        </is>
      </c>
      <c r="L320" s="180" t="n">
        <v>3145.090000000001</v>
      </c>
      <c r="M320" s="181" t="n">
        <v>221.01</v>
      </c>
      <c r="N320" s="181" t="n">
        <v>230.95</v>
      </c>
      <c r="O320" s="181" t="n">
        <v>236.52</v>
      </c>
      <c r="P320" s="181" t="n">
        <v>242.68</v>
      </c>
      <c r="Q320" s="181" t="n">
        <v>250.63</v>
      </c>
      <c r="R320" s="181" t="n">
        <v>257.19</v>
      </c>
      <c r="S320" s="181" t="n">
        <v>267.13</v>
      </c>
      <c r="T320" s="181" t="n">
        <v>273.68</v>
      </c>
      <c r="U320" s="181" t="n">
        <v>279.85</v>
      </c>
      <c r="V320" s="181" t="n">
        <v>286.8</v>
      </c>
      <c r="W320" s="181" t="n">
        <v>294.36</v>
      </c>
      <c r="X320" s="182" t="n">
        <v>304.29</v>
      </c>
      <c r="Y320" s="183" t="inlineStr">
        <is>
          <t>.</t>
        </is>
      </c>
      <c r="Z320" s="184">
        <f>SUM(AA320:AL320)</f>
        <v/>
      </c>
      <c r="AA320" s="185" t="n">
        <v>1100.55</v>
      </c>
      <c r="AB320" s="185" t="n">
        <v>0</v>
      </c>
      <c r="AC320" s="185" t="n">
        <v>655</v>
      </c>
      <c r="AD320" s="185" t="n">
        <v>0</v>
      </c>
      <c r="AE320" s="185" t="n">
        <v>0</v>
      </c>
      <c r="AF320" s="185" t="n">
        <v>0</v>
      </c>
      <c r="AG320" s="185" t="n">
        <v>0</v>
      </c>
      <c r="AH320" s="185" t="n">
        <v>0</v>
      </c>
      <c r="AI320" s="185" t="n">
        <v>0</v>
      </c>
      <c r="AJ320" s="185" t="n">
        <v>0</v>
      </c>
      <c r="AK320" s="185" t="n">
        <v>0</v>
      </c>
      <c r="AL320" s="186" t="n">
        <v>0</v>
      </c>
      <c r="AM320" s="30" t="inlineStr">
        <is>
          <t>.</t>
        </is>
      </c>
      <c r="AN320" s="187">
        <f>IF(L320=0,0,Z320/L320)</f>
        <v/>
      </c>
      <c r="AO320" s="57">
        <f>IF(AN320&gt;=1,"🟢",IF(AN320&gt;=0.7,"🟡",IF(AN320&gt;=0.4,"🟠","🔴")))</f>
        <v/>
      </c>
      <c r="AP320" s="185">
        <f>L320-Z320</f>
        <v/>
      </c>
      <c r="AQ320" s="55">
        <f>RANK(Z320,$Z$4:$Z$503,0)</f>
        <v/>
      </c>
      <c r="AR320" s="39" t="inlineStr">
        <is>
          <t>.</t>
        </is>
      </c>
      <c r="AS320" s="27" t="n"/>
      <c r="AT320" s="27" t="n"/>
      <c r="AU320" s="27" t="n"/>
      <c r="AV320" s="27" t="n"/>
      <c r="AW320" s="27" t="n"/>
      <c r="AX320" s="27" t="n"/>
      <c r="AY320" s="204" t="n"/>
      <c r="AZ320" s="204" t="n"/>
      <c r="BA320" s="38" t="inlineStr">
        <is>
          <t>.</t>
        </is>
      </c>
      <c r="BB320" s="190">
        <f>SUM(BC320:BN320)</f>
        <v/>
      </c>
      <c r="BC320" s="191">
        <f>L320*0.0702730030</f>
        <v/>
      </c>
      <c r="BD320" s="191">
        <f>L320*0.0734327604</f>
        <v/>
      </c>
      <c r="BE320" s="191">
        <f>L320*0.0752022245</f>
        <v/>
      </c>
      <c r="BF320" s="191">
        <f>L320*0.0771612740</f>
        <v/>
      </c>
      <c r="BG320" s="191">
        <f>L320*0.0796890799</f>
        <v/>
      </c>
      <c r="BH320" s="191">
        <f>L320*0.0817745197</f>
        <v/>
      </c>
      <c r="BI320" s="191">
        <f>L320*0.0849342770</f>
        <v/>
      </c>
      <c r="BJ320" s="191">
        <f>L320*0.0870197169</f>
        <v/>
      </c>
      <c r="BK320" s="191">
        <f>L320*0.0889787664</f>
        <v/>
      </c>
      <c r="BL320" s="191">
        <f>L320*0.0911905966</f>
        <v/>
      </c>
      <c r="BM320" s="191">
        <f>L320*0.0935920121</f>
        <v/>
      </c>
      <c r="BN320" s="192">
        <f>L320*0.0967517695</f>
        <v/>
      </c>
      <c r="BO320" s="36" t="inlineStr">
        <is>
          <t>.</t>
        </is>
      </c>
      <c r="BP320" s="193">
        <f>SUM(BQ320:CB320)</f>
        <v/>
      </c>
      <c r="BQ320" s="191">
        <f>MAX(0,BC320-AA320)</f>
        <v/>
      </c>
      <c r="BR320" s="191">
        <f>MAX(0,BD320-AB320)</f>
        <v/>
      </c>
      <c r="BS320" s="191">
        <f>MAX(0,BE320-AC320)</f>
        <v/>
      </c>
      <c r="BT320" s="191">
        <f>MAX(0,BF320-AD320)</f>
        <v/>
      </c>
      <c r="BU320" s="191">
        <f>MAX(0,BG320-AE320)</f>
        <v/>
      </c>
      <c r="BV320" s="191">
        <f>MAX(0,BH320-AF320)</f>
        <v/>
      </c>
      <c r="BW320" s="191">
        <f>MAX(0,BI320-AG320)</f>
        <v/>
      </c>
      <c r="BX320" s="191">
        <f>MAX(0,BJ320-AH320)</f>
        <v/>
      </c>
      <c r="BY320" s="191">
        <f>MAX(0,BK320-AI320)</f>
        <v/>
      </c>
      <c r="BZ320" s="191">
        <f>MAX(0,BL320-AJ320)</f>
        <v/>
      </c>
      <c r="CA320" s="191">
        <f>MAX(0,BM320-AK320)</f>
        <v/>
      </c>
      <c r="CB320" s="192">
        <f>MAX(0,BN320-AL320)</f>
        <v/>
      </c>
    </row>
    <row r="321">
      <c r="A321" s="64" t="inlineStr">
        <is>
          <t>60670819000198</t>
        </is>
      </c>
      <c r="B321" s="57" t="inlineStr">
        <is>
          <t>MJ PRODUTOS NATURAIS SAO LOURENCO DO OES</t>
        </is>
      </c>
      <c r="C321" s="57" t="inlineStr">
        <is>
          <t>VIDA LEVE</t>
        </is>
      </c>
      <c r="D321" s="61" t="inlineStr">
        <is>
          <t>DAIANE STAVICKI</t>
        </is>
      </c>
      <c r="E321" s="30" t="inlineStr">
        <is>
          <t>.</t>
        </is>
      </c>
      <c r="F321" s="63" t="n">
        <v>81</v>
      </c>
      <c r="G321" s="179" t="n">
        <v>0.08</v>
      </c>
      <c r="H321" s="57" t="inlineStr">
        <is>
          <t>🔴 VERMELHO</t>
        </is>
      </c>
      <c r="I321" s="57" t="inlineStr">
        <is>
          <t>ATIVAÇÃO</t>
        </is>
      </c>
      <c r="J321" s="61" t="inlineStr">
        <is>
          <t>Reativar inativos + Prospectar</t>
        </is>
      </c>
      <c r="K321" s="30" t="inlineStr">
        <is>
          <t>.</t>
        </is>
      </c>
      <c r="L321" s="180" t="n">
        <v>3094.2</v>
      </c>
      <c r="M321" s="181" t="n">
        <v>217.44</v>
      </c>
      <c r="N321" s="181" t="n">
        <v>227.22</v>
      </c>
      <c r="O321" s="181" t="n">
        <v>232.69</v>
      </c>
      <c r="P321" s="181" t="n">
        <v>238.75</v>
      </c>
      <c r="Q321" s="181" t="n">
        <v>246.57</v>
      </c>
      <c r="R321" s="181" t="n">
        <v>253.03</v>
      </c>
      <c r="S321" s="181" t="n">
        <v>262.8</v>
      </c>
      <c r="T321" s="181" t="n">
        <v>269.26</v>
      </c>
      <c r="U321" s="181" t="n">
        <v>275.32</v>
      </c>
      <c r="V321" s="181" t="n">
        <v>282.16</v>
      </c>
      <c r="W321" s="181" t="n">
        <v>289.59</v>
      </c>
      <c r="X321" s="182" t="n">
        <v>299.37</v>
      </c>
      <c r="Y321" s="183" t="inlineStr">
        <is>
          <t>.</t>
        </is>
      </c>
      <c r="Z321" s="184">
        <f>SUM(AA321:AL321)</f>
        <v/>
      </c>
      <c r="AA321" s="185" t="n">
        <v>0</v>
      </c>
      <c r="AB321" s="185" t="n">
        <v>0</v>
      </c>
      <c r="AC321" s="185" t="n">
        <v>0</v>
      </c>
      <c r="AD321" s="185" t="n">
        <v>0</v>
      </c>
      <c r="AE321" s="185" t="n">
        <v>0</v>
      </c>
      <c r="AF321" s="185" t="n">
        <v>0</v>
      </c>
      <c r="AG321" s="185" t="n">
        <v>0</v>
      </c>
      <c r="AH321" s="185" t="n">
        <v>1303.81</v>
      </c>
      <c r="AI321" s="185" t="n">
        <v>0</v>
      </c>
      <c r="AJ321" s="185" t="n">
        <v>0</v>
      </c>
      <c r="AK321" s="185" t="n">
        <v>0</v>
      </c>
      <c r="AL321" s="186" t="n">
        <v>0</v>
      </c>
      <c r="AM321" s="30" t="inlineStr">
        <is>
          <t>.</t>
        </is>
      </c>
      <c r="AN321" s="187">
        <f>IF(L321=0,0,Z321/L321)</f>
        <v/>
      </c>
      <c r="AO321" s="57">
        <f>IF(AN321&gt;=1,"🟢",IF(AN321&gt;=0.7,"🟡",IF(AN321&gt;=0.4,"🟠","🔴")))</f>
        <v/>
      </c>
      <c r="AP321" s="185">
        <f>L321-Z321</f>
        <v/>
      </c>
      <c r="AQ321" s="55">
        <f>RANK(Z321,$Z$4:$Z$503,0)</f>
        <v/>
      </c>
      <c r="AR321" s="39" t="inlineStr">
        <is>
          <t>.</t>
        </is>
      </c>
      <c r="AS321" s="27" t="n"/>
      <c r="AT321" s="27" t="n"/>
      <c r="AU321" s="27" t="n"/>
      <c r="AV321" s="27" t="n"/>
      <c r="AW321" s="27" t="n"/>
      <c r="AX321" s="27" t="n"/>
      <c r="AY321" s="204" t="n"/>
      <c r="AZ321" s="204" t="n"/>
      <c r="BA321" s="38" t="inlineStr">
        <is>
          <t>.</t>
        </is>
      </c>
      <c r="BB321" s="190">
        <f>SUM(BC321:BN321)</f>
        <v/>
      </c>
      <c r="BC321" s="191">
        <f>L321*0.0702730030</f>
        <v/>
      </c>
      <c r="BD321" s="191">
        <f>L321*0.0734327604</f>
        <v/>
      </c>
      <c r="BE321" s="191">
        <f>L321*0.0752022245</f>
        <v/>
      </c>
      <c r="BF321" s="191">
        <f>L321*0.0771612740</f>
        <v/>
      </c>
      <c r="BG321" s="191">
        <f>L321*0.0796890799</f>
        <v/>
      </c>
      <c r="BH321" s="191">
        <f>L321*0.0817745197</f>
        <v/>
      </c>
      <c r="BI321" s="191">
        <f>L321*0.0849342770</f>
        <v/>
      </c>
      <c r="BJ321" s="191">
        <f>L321*0.0870197169</f>
        <v/>
      </c>
      <c r="BK321" s="191">
        <f>L321*0.0889787664</f>
        <v/>
      </c>
      <c r="BL321" s="191">
        <f>L321*0.0911905966</f>
        <v/>
      </c>
      <c r="BM321" s="191">
        <f>L321*0.0935920121</f>
        <v/>
      </c>
      <c r="BN321" s="192">
        <f>L321*0.0967517695</f>
        <v/>
      </c>
      <c r="BO321" s="36" t="inlineStr">
        <is>
          <t>.</t>
        </is>
      </c>
      <c r="BP321" s="193">
        <f>SUM(BQ321:CB321)</f>
        <v/>
      </c>
      <c r="BQ321" s="191">
        <f>MAX(0,BC321-AA321)</f>
        <v/>
      </c>
      <c r="BR321" s="191">
        <f>MAX(0,BD321-AB321)</f>
        <v/>
      </c>
      <c r="BS321" s="191">
        <f>MAX(0,BE321-AC321)</f>
        <v/>
      </c>
      <c r="BT321" s="191">
        <f>MAX(0,BF321-AD321)</f>
        <v/>
      </c>
      <c r="BU321" s="191">
        <f>MAX(0,BG321-AE321)</f>
        <v/>
      </c>
      <c r="BV321" s="191">
        <f>MAX(0,BH321-AF321)</f>
        <v/>
      </c>
      <c r="BW321" s="191">
        <f>MAX(0,BI321-AG321)</f>
        <v/>
      </c>
      <c r="BX321" s="191">
        <f>MAX(0,BJ321-AH321)</f>
        <v/>
      </c>
      <c r="BY321" s="191">
        <f>MAX(0,BK321-AI321)</f>
        <v/>
      </c>
      <c r="BZ321" s="191">
        <f>MAX(0,BL321-AJ321)</f>
        <v/>
      </c>
      <c r="CA321" s="191">
        <f>MAX(0,BM321-AK321)</f>
        <v/>
      </c>
      <c r="CB321" s="192">
        <f>MAX(0,BN321-AL321)</f>
        <v/>
      </c>
    </row>
    <row r="322">
      <c r="A322" s="64" t="inlineStr">
        <is>
          <t>38598934000140</t>
        </is>
      </c>
      <c r="B322" s="57" t="inlineStr">
        <is>
          <t>DROGARIA BARBOSA E SOARES LTDA - ME</t>
        </is>
      </c>
      <c r="C322" s="57" t="inlineStr">
        <is>
          <t>SEM GRUPO</t>
        </is>
      </c>
      <c r="D322" s="61" t="inlineStr">
        <is>
          <t>LARISSA PADILHA</t>
        </is>
      </c>
      <c r="E322" s="30" t="inlineStr">
        <is>
          <t>.</t>
        </is>
      </c>
      <c r="F322" s="63" t="inlineStr"/>
      <c r="G322" s="179" t="inlineStr"/>
      <c r="H322" s="57" t="inlineStr"/>
      <c r="I322" s="57" t="inlineStr"/>
      <c r="J322" s="61" t="inlineStr"/>
      <c r="K322" s="30" t="inlineStr">
        <is>
          <t>.</t>
        </is>
      </c>
      <c r="L322" s="180" t="n">
        <v>3050.68</v>
      </c>
      <c r="M322" s="181" t="n">
        <v>214.38</v>
      </c>
      <c r="N322" s="181" t="n">
        <v>224.02</v>
      </c>
      <c r="O322" s="181" t="n">
        <v>229.42</v>
      </c>
      <c r="P322" s="181" t="n">
        <v>235.39</v>
      </c>
      <c r="Q322" s="181" t="n">
        <v>243.11</v>
      </c>
      <c r="R322" s="181" t="n">
        <v>249.47</v>
      </c>
      <c r="S322" s="181" t="n">
        <v>259.11</v>
      </c>
      <c r="T322" s="181" t="n">
        <v>265.47</v>
      </c>
      <c r="U322" s="181" t="n">
        <v>271.44</v>
      </c>
      <c r="V322" s="181" t="n">
        <v>278.19</v>
      </c>
      <c r="W322" s="181" t="n">
        <v>285.52</v>
      </c>
      <c r="X322" s="182" t="n">
        <v>295.16</v>
      </c>
      <c r="Y322" s="183" t="inlineStr">
        <is>
          <t>.</t>
        </is>
      </c>
      <c r="Z322" s="184">
        <f>SUM(AA322:AL322)</f>
        <v/>
      </c>
      <c r="AA322" s="185" t="n">
        <v>0</v>
      </c>
      <c r="AB322" s="185" t="n">
        <v>0</v>
      </c>
      <c r="AC322" s="185" t="n">
        <v>0</v>
      </c>
      <c r="AD322" s="185" t="n">
        <v>0</v>
      </c>
      <c r="AE322" s="185" t="n">
        <v>0</v>
      </c>
      <c r="AF322" s="185" t="n">
        <v>1225.08</v>
      </c>
      <c r="AG322" s="185" t="n">
        <v>0</v>
      </c>
      <c r="AH322" s="185" t="n">
        <v>0</v>
      </c>
      <c r="AI322" s="185" t="n">
        <v>0</v>
      </c>
      <c r="AJ322" s="185" t="n">
        <v>0</v>
      </c>
      <c r="AK322" s="185" t="n">
        <v>0</v>
      </c>
      <c r="AL322" s="186" t="n">
        <v>0</v>
      </c>
      <c r="AM322" s="30" t="inlineStr">
        <is>
          <t>.</t>
        </is>
      </c>
      <c r="AN322" s="187">
        <f>IF(L322=0,0,Z322/L322)</f>
        <v/>
      </c>
      <c r="AO322" s="57">
        <f>IF(AN322&gt;=1,"🟢",IF(AN322&gt;=0.7,"🟡",IF(AN322&gt;=0.4,"🟠","🔴")))</f>
        <v/>
      </c>
      <c r="AP322" s="185">
        <f>L322-Z322</f>
        <v/>
      </c>
      <c r="AQ322" s="55">
        <f>RANK(Z322,$Z$4:$Z$503,0)</f>
        <v/>
      </c>
      <c r="AR322" s="39" t="inlineStr">
        <is>
          <t>.</t>
        </is>
      </c>
      <c r="AS322" s="27" t="n"/>
      <c r="AT322" s="27" t="n"/>
      <c r="AU322" s="27" t="n"/>
      <c r="AV322" s="27" t="n"/>
      <c r="AW322" s="27" t="n"/>
      <c r="AX322" s="27" t="n"/>
      <c r="AY322" s="204" t="n"/>
      <c r="AZ322" s="204" t="n"/>
      <c r="BA322" s="38" t="inlineStr">
        <is>
          <t>.</t>
        </is>
      </c>
      <c r="BB322" s="190">
        <f>SUM(BC322:BN322)</f>
        <v/>
      </c>
      <c r="BC322" s="191">
        <f>L322*0.0702730030</f>
        <v/>
      </c>
      <c r="BD322" s="191">
        <f>L322*0.0734327604</f>
        <v/>
      </c>
      <c r="BE322" s="191">
        <f>L322*0.0752022245</f>
        <v/>
      </c>
      <c r="BF322" s="191">
        <f>L322*0.0771612740</f>
        <v/>
      </c>
      <c r="BG322" s="191">
        <f>L322*0.0796890799</f>
        <v/>
      </c>
      <c r="BH322" s="191">
        <f>L322*0.0817745197</f>
        <v/>
      </c>
      <c r="BI322" s="191">
        <f>L322*0.0849342770</f>
        <v/>
      </c>
      <c r="BJ322" s="191">
        <f>L322*0.0870197169</f>
        <v/>
      </c>
      <c r="BK322" s="191">
        <f>L322*0.0889787664</f>
        <v/>
      </c>
      <c r="BL322" s="191">
        <f>L322*0.0911905966</f>
        <v/>
      </c>
      <c r="BM322" s="191">
        <f>L322*0.0935920121</f>
        <v/>
      </c>
      <c r="BN322" s="192">
        <f>L322*0.0967517695</f>
        <v/>
      </c>
      <c r="BO322" s="36" t="inlineStr">
        <is>
          <t>.</t>
        </is>
      </c>
      <c r="BP322" s="193">
        <f>SUM(BQ322:CB322)</f>
        <v/>
      </c>
      <c r="BQ322" s="191">
        <f>MAX(0,BC322-AA322)</f>
        <v/>
      </c>
      <c r="BR322" s="191">
        <f>MAX(0,BD322-AB322)</f>
        <v/>
      </c>
      <c r="BS322" s="191">
        <f>MAX(0,BE322-AC322)</f>
        <v/>
      </c>
      <c r="BT322" s="191">
        <f>MAX(0,BF322-AD322)</f>
        <v/>
      </c>
      <c r="BU322" s="191">
        <f>MAX(0,BG322-AE322)</f>
        <v/>
      </c>
      <c r="BV322" s="191">
        <f>MAX(0,BH322-AF322)</f>
        <v/>
      </c>
      <c r="BW322" s="191">
        <f>MAX(0,BI322-AG322)</f>
        <v/>
      </c>
      <c r="BX322" s="191">
        <f>MAX(0,BJ322-AH322)</f>
        <v/>
      </c>
      <c r="BY322" s="191">
        <f>MAX(0,BK322-AI322)</f>
        <v/>
      </c>
      <c r="BZ322" s="191">
        <f>MAX(0,BL322-AJ322)</f>
        <v/>
      </c>
      <c r="CA322" s="191">
        <f>MAX(0,BM322-AK322)</f>
        <v/>
      </c>
      <c r="CB322" s="192">
        <f>MAX(0,BN322-AL322)</f>
        <v/>
      </c>
    </row>
    <row r="323">
      <c r="A323" s="64" t="inlineStr">
        <is>
          <t>59876252000121</t>
        </is>
      </c>
      <c r="B323" s="57" t="inlineStr">
        <is>
          <t>RIKATI COMERCIO DE PRODUTOS NATURAIS LTD</t>
        </is>
      </c>
      <c r="C323" s="57" t="inlineStr">
        <is>
          <t>SEM GRUPO</t>
        </is>
      </c>
      <c r="D323" s="61" t="inlineStr">
        <is>
          <t>HEMANUELE DITZEL (MANU)</t>
        </is>
      </c>
      <c r="E323" s="30" t="inlineStr">
        <is>
          <t>.</t>
        </is>
      </c>
      <c r="F323" s="63" t="inlineStr"/>
      <c r="G323" s="179" t="inlineStr"/>
      <c r="H323" s="57" t="inlineStr"/>
      <c r="I323" s="57" t="inlineStr"/>
      <c r="J323" s="61" t="inlineStr"/>
      <c r="K323" s="30" t="inlineStr">
        <is>
          <t>.</t>
        </is>
      </c>
      <c r="L323" s="180" t="n">
        <v>3025.39</v>
      </c>
      <c r="M323" s="181" t="n">
        <v>212.6</v>
      </c>
      <c r="N323" s="181" t="n">
        <v>222.16</v>
      </c>
      <c r="O323" s="181" t="n">
        <v>227.52</v>
      </c>
      <c r="P323" s="181" t="n">
        <v>233.44</v>
      </c>
      <c r="Q323" s="181" t="n">
        <v>241.09</v>
      </c>
      <c r="R323" s="181" t="n">
        <v>247.4</v>
      </c>
      <c r="S323" s="181" t="n">
        <v>256.96</v>
      </c>
      <c r="T323" s="181" t="n">
        <v>263.27</v>
      </c>
      <c r="U323" s="181" t="n">
        <v>269.2</v>
      </c>
      <c r="V323" s="181" t="n">
        <v>275.89</v>
      </c>
      <c r="W323" s="181" t="n">
        <v>283.15</v>
      </c>
      <c r="X323" s="182" t="n">
        <v>292.71</v>
      </c>
      <c r="Y323" s="183" t="inlineStr">
        <is>
          <t>.</t>
        </is>
      </c>
      <c r="Z323" s="184">
        <f>SUM(AA323:AL323)</f>
        <v/>
      </c>
      <c r="AA323" s="185" t="n">
        <v>0</v>
      </c>
      <c r="AB323" s="185" t="n">
        <v>0</v>
      </c>
      <c r="AC323" s="185" t="n">
        <v>0</v>
      </c>
      <c r="AD323" s="185" t="n">
        <v>0</v>
      </c>
      <c r="AE323" s="185" t="n">
        <v>0</v>
      </c>
      <c r="AF323" s="185" t="n">
        <v>0</v>
      </c>
      <c r="AG323" s="185" t="n">
        <v>1534.54</v>
      </c>
      <c r="AH323" s="185" t="n">
        <v>0</v>
      </c>
      <c r="AI323" s="185" t="n">
        <v>0</v>
      </c>
      <c r="AJ323" s="185" t="n">
        <v>0</v>
      </c>
      <c r="AK323" s="185" t="n">
        <v>0</v>
      </c>
      <c r="AL323" s="186" t="n">
        <v>0</v>
      </c>
      <c r="AM323" s="30" t="inlineStr">
        <is>
          <t>.</t>
        </is>
      </c>
      <c r="AN323" s="187">
        <f>IF(L323=0,0,Z323/L323)</f>
        <v/>
      </c>
      <c r="AO323" s="57">
        <f>IF(AN323&gt;=1,"🟢",IF(AN323&gt;=0.7,"🟡",IF(AN323&gt;=0.4,"🟠","🔴")))</f>
        <v/>
      </c>
      <c r="AP323" s="185">
        <f>L323-Z323</f>
        <v/>
      </c>
      <c r="AQ323" s="55">
        <f>RANK(Z323,$Z$4:$Z$503,0)</f>
        <v/>
      </c>
      <c r="AR323" s="39" t="inlineStr">
        <is>
          <t>.</t>
        </is>
      </c>
      <c r="AS323" s="27" t="n"/>
      <c r="AT323" s="27" t="n"/>
      <c r="AU323" s="27" t="n"/>
      <c r="AV323" s="27" t="n"/>
      <c r="AW323" s="27" t="n"/>
      <c r="AX323" s="27" t="n"/>
      <c r="AY323" s="204" t="n"/>
      <c r="AZ323" s="204" t="n"/>
      <c r="BA323" s="38" t="inlineStr">
        <is>
          <t>.</t>
        </is>
      </c>
      <c r="BB323" s="190">
        <f>SUM(BC323:BN323)</f>
        <v/>
      </c>
      <c r="BC323" s="191">
        <f>L323*0.0702730030</f>
        <v/>
      </c>
      <c r="BD323" s="191">
        <f>L323*0.0734327604</f>
        <v/>
      </c>
      <c r="BE323" s="191">
        <f>L323*0.0752022245</f>
        <v/>
      </c>
      <c r="BF323" s="191">
        <f>L323*0.0771612740</f>
        <v/>
      </c>
      <c r="BG323" s="191">
        <f>L323*0.0796890799</f>
        <v/>
      </c>
      <c r="BH323" s="191">
        <f>L323*0.0817745197</f>
        <v/>
      </c>
      <c r="BI323" s="191">
        <f>L323*0.0849342770</f>
        <v/>
      </c>
      <c r="BJ323" s="191">
        <f>L323*0.0870197169</f>
        <v/>
      </c>
      <c r="BK323" s="191">
        <f>L323*0.0889787664</f>
        <v/>
      </c>
      <c r="BL323" s="191">
        <f>L323*0.0911905966</f>
        <v/>
      </c>
      <c r="BM323" s="191">
        <f>L323*0.0935920121</f>
        <v/>
      </c>
      <c r="BN323" s="192">
        <f>L323*0.0967517695</f>
        <v/>
      </c>
      <c r="BO323" s="36" t="inlineStr">
        <is>
          <t>.</t>
        </is>
      </c>
      <c r="BP323" s="193">
        <f>SUM(BQ323:CB323)</f>
        <v/>
      </c>
      <c r="BQ323" s="191">
        <f>MAX(0,BC323-AA323)</f>
        <v/>
      </c>
      <c r="BR323" s="191">
        <f>MAX(0,BD323-AB323)</f>
        <v/>
      </c>
      <c r="BS323" s="191">
        <f>MAX(0,BE323-AC323)</f>
        <v/>
      </c>
      <c r="BT323" s="191">
        <f>MAX(0,BF323-AD323)</f>
        <v/>
      </c>
      <c r="BU323" s="191">
        <f>MAX(0,BG323-AE323)</f>
        <v/>
      </c>
      <c r="BV323" s="191">
        <f>MAX(0,BH323-AF323)</f>
        <v/>
      </c>
      <c r="BW323" s="191">
        <f>MAX(0,BI323-AG323)</f>
        <v/>
      </c>
      <c r="BX323" s="191">
        <f>MAX(0,BJ323-AH323)</f>
        <v/>
      </c>
      <c r="BY323" s="191">
        <f>MAX(0,BK323-AI323)</f>
        <v/>
      </c>
      <c r="BZ323" s="191">
        <f>MAX(0,BL323-AJ323)</f>
        <v/>
      </c>
      <c r="CA323" s="191">
        <f>MAX(0,BM323-AK323)</f>
        <v/>
      </c>
      <c r="CB323" s="192">
        <f>MAX(0,BN323-AL323)</f>
        <v/>
      </c>
    </row>
    <row r="324">
      <c r="A324" s="64" t="inlineStr">
        <is>
          <t>08081191000175</t>
        </is>
      </c>
      <c r="B324" s="57" t="inlineStr">
        <is>
          <t>POSTO DE GASOLINA MARINA PARQUE VEROLME</t>
        </is>
      </c>
      <c r="C324" s="57" t="inlineStr">
        <is>
          <t>SEM GRUPO</t>
        </is>
      </c>
      <c r="D324" s="61" t="inlineStr">
        <is>
          <t>LARISSA PADILHA</t>
        </is>
      </c>
      <c r="E324" s="30" t="inlineStr">
        <is>
          <t>.</t>
        </is>
      </c>
      <c r="F324" s="63" t="inlineStr"/>
      <c r="G324" s="179" t="inlineStr"/>
      <c r="H324" s="57" t="inlineStr"/>
      <c r="I324" s="57" t="inlineStr"/>
      <c r="J324" s="61" t="inlineStr"/>
      <c r="K324" s="30" t="inlineStr">
        <is>
          <t>.</t>
        </is>
      </c>
      <c r="L324" s="180" t="n">
        <v>3020.96</v>
      </c>
      <c r="M324" s="181" t="n">
        <v>212.29</v>
      </c>
      <c r="N324" s="181" t="n">
        <v>221.84</v>
      </c>
      <c r="O324" s="181" t="n">
        <v>227.18</v>
      </c>
      <c r="P324" s="181" t="n">
        <v>233.1</v>
      </c>
      <c r="Q324" s="181" t="n">
        <v>240.74</v>
      </c>
      <c r="R324" s="181" t="n">
        <v>247.04</v>
      </c>
      <c r="S324" s="181" t="n">
        <v>256.58</v>
      </c>
      <c r="T324" s="181" t="n">
        <v>262.88</v>
      </c>
      <c r="U324" s="181" t="n">
        <v>268.8</v>
      </c>
      <c r="V324" s="181" t="n">
        <v>275.48</v>
      </c>
      <c r="W324" s="181" t="n">
        <v>282.74</v>
      </c>
      <c r="X324" s="182" t="n">
        <v>292.29</v>
      </c>
      <c r="Y324" s="183" t="inlineStr">
        <is>
          <t>.</t>
        </is>
      </c>
      <c r="Z324" s="184">
        <f>SUM(AA324:AL324)</f>
        <v/>
      </c>
      <c r="AA324" s="185" t="n">
        <v>0</v>
      </c>
      <c r="AB324" s="185" t="n">
        <v>0</v>
      </c>
      <c r="AC324" s="185" t="n">
        <v>0</v>
      </c>
      <c r="AD324" s="185" t="n">
        <v>0</v>
      </c>
      <c r="AE324" s="185" t="n">
        <v>0</v>
      </c>
      <c r="AF324" s="185" t="n">
        <v>0</v>
      </c>
      <c r="AG324" s="185" t="n">
        <v>0</v>
      </c>
      <c r="AH324" s="185" t="n">
        <v>0</v>
      </c>
      <c r="AI324" s="185" t="n">
        <v>0</v>
      </c>
      <c r="AJ324" s="185" t="n">
        <v>0</v>
      </c>
      <c r="AK324" s="185" t="n">
        <v>0</v>
      </c>
      <c r="AL324" s="186" t="n">
        <v>0</v>
      </c>
      <c r="AM324" s="30" t="inlineStr">
        <is>
          <t>.</t>
        </is>
      </c>
      <c r="AN324" s="187">
        <f>IF(L324=0,0,Z324/L324)</f>
        <v/>
      </c>
      <c r="AO324" s="57">
        <f>IF(AN324&gt;=1,"🟢",IF(AN324&gt;=0.7,"🟡",IF(AN324&gt;=0.4,"🟠","🔴")))</f>
        <v/>
      </c>
      <c r="AP324" s="185">
        <f>L324-Z324</f>
        <v/>
      </c>
      <c r="AQ324" s="55">
        <f>RANK(Z324,$Z$4:$Z$503,0)</f>
        <v/>
      </c>
      <c r="AR324" s="39" t="inlineStr">
        <is>
          <t>.</t>
        </is>
      </c>
      <c r="AS324" s="27" t="n"/>
      <c r="AT324" s="27" t="n"/>
      <c r="AU324" s="27" t="n"/>
      <c r="AV324" s="27" t="n"/>
      <c r="AW324" s="27" t="n"/>
      <c r="AX324" s="27" t="n"/>
      <c r="AY324" s="204" t="n"/>
      <c r="AZ324" s="204" t="n"/>
      <c r="BA324" s="38" t="inlineStr">
        <is>
          <t>.</t>
        </is>
      </c>
      <c r="BB324" s="190">
        <f>SUM(BC324:BN324)</f>
        <v/>
      </c>
      <c r="BC324" s="191">
        <f>L324*0.0702730030</f>
        <v/>
      </c>
      <c r="BD324" s="191">
        <f>L324*0.0734327604</f>
        <v/>
      </c>
      <c r="BE324" s="191">
        <f>L324*0.0752022245</f>
        <v/>
      </c>
      <c r="BF324" s="191">
        <f>L324*0.0771612740</f>
        <v/>
      </c>
      <c r="BG324" s="191">
        <f>L324*0.0796890799</f>
        <v/>
      </c>
      <c r="BH324" s="191">
        <f>L324*0.0817745197</f>
        <v/>
      </c>
      <c r="BI324" s="191">
        <f>L324*0.0849342770</f>
        <v/>
      </c>
      <c r="BJ324" s="191">
        <f>L324*0.0870197169</f>
        <v/>
      </c>
      <c r="BK324" s="191">
        <f>L324*0.0889787664</f>
        <v/>
      </c>
      <c r="BL324" s="191">
        <f>L324*0.0911905966</f>
        <v/>
      </c>
      <c r="BM324" s="191">
        <f>L324*0.0935920121</f>
        <v/>
      </c>
      <c r="BN324" s="192">
        <f>L324*0.0967517695</f>
        <v/>
      </c>
      <c r="BO324" s="36" t="inlineStr">
        <is>
          <t>.</t>
        </is>
      </c>
      <c r="BP324" s="193">
        <f>SUM(BQ324:CB324)</f>
        <v/>
      </c>
      <c r="BQ324" s="191">
        <f>MAX(0,BC324-AA324)</f>
        <v/>
      </c>
      <c r="BR324" s="191">
        <f>MAX(0,BD324-AB324)</f>
        <v/>
      </c>
      <c r="BS324" s="191">
        <f>MAX(0,BE324-AC324)</f>
        <v/>
      </c>
      <c r="BT324" s="191">
        <f>MAX(0,BF324-AD324)</f>
        <v/>
      </c>
      <c r="BU324" s="191">
        <f>MAX(0,BG324-AE324)</f>
        <v/>
      </c>
      <c r="BV324" s="191">
        <f>MAX(0,BH324-AF324)</f>
        <v/>
      </c>
      <c r="BW324" s="191">
        <f>MAX(0,BI324-AG324)</f>
        <v/>
      </c>
      <c r="BX324" s="191">
        <f>MAX(0,BJ324-AH324)</f>
        <v/>
      </c>
      <c r="BY324" s="191">
        <f>MAX(0,BK324-AI324)</f>
        <v/>
      </c>
      <c r="BZ324" s="191">
        <f>MAX(0,BL324-AJ324)</f>
        <v/>
      </c>
      <c r="CA324" s="191">
        <f>MAX(0,BM324-AK324)</f>
        <v/>
      </c>
      <c r="CB324" s="192">
        <f>MAX(0,BN324-AL324)</f>
        <v/>
      </c>
    </row>
    <row r="325">
      <c r="A325" s="64" t="inlineStr">
        <is>
          <t>57609668000158</t>
        </is>
      </c>
      <c r="B325" s="57" t="inlineStr">
        <is>
          <t>J&amp;D EMPORIO NATURAL LTDA - ME</t>
        </is>
      </c>
      <c r="C325" s="57" t="inlineStr">
        <is>
          <t>FITLAND</t>
        </is>
      </c>
      <c r="D325" s="61" t="inlineStr">
        <is>
          <t>JULIO GADRET</t>
        </is>
      </c>
      <c r="E325" s="30" t="inlineStr">
        <is>
          <t>.</t>
        </is>
      </c>
      <c r="F325" s="63" t="n">
        <v>89</v>
      </c>
      <c r="G325" s="179" t="n">
        <v>0.298</v>
      </c>
      <c r="H325" s="57" t="inlineStr">
        <is>
          <t>🔴 VERMELHO</t>
        </is>
      </c>
      <c r="I325" s="57" t="inlineStr">
        <is>
          <t>POSITIVAÇÃO</t>
        </is>
      </c>
      <c r="J325" s="61" t="inlineStr">
        <is>
          <t>Aumentar frequência + Expandir base</t>
        </is>
      </c>
      <c r="K325" s="30" t="inlineStr">
        <is>
          <t>.</t>
        </is>
      </c>
      <c r="L325" s="180" t="n">
        <v>3000.36</v>
      </c>
      <c r="M325" s="181" t="n">
        <v>210.84</v>
      </c>
      <c r="N325" s="181" t="n">
        <v>220.33</v>
      </c>
      <c r="O325" s="181" t="n">
        <v>225.63</v>
      </c>
      <c r="P325" s="181" t="n">
        <v>231.51</v>
      </c>
      <c r="Q325" s="181" t="n">
        <v>239.1</v>
      </c>
      <c r="R325" s="181" t="n">
        <v>245.35</v>
      </c>
      <c r="S325" s="181" t="n">
        <v>254.83</v>
      </c>
      <c r="T325" s="181" t="n">
        <v>261.09</v>
      </c>
      <c r="U325" s="181" t="n">
        <v>266.97</v>
      </c>
      <c r="V325" s="181" t="n">
        <v>273.61</v>
      </c>
      <c r="W325" s="181" t="n">
        <v>280.81</v>
      </c>
      <c r="X325" s="182" t="n">
        <v>290.29</v>
      </c>
      <c r="Y325" s="183" t="inlineStr">
        <is>
          <t>.</t>
        </is>
      </c>
      <c r="Z325" s="184">
        <f>SUM(AA325:AL325)</f>
        <v/>
      </c>
      <c r="AA325" s="185" t="n">
        <v>0</v>
      </c>
      <c r="AB325" s="185" t="n">
        <v>0</v>
      </c>
      <c r="AC325" s="185" t="n">
        <v>0</v>
      </c>
      <c r="AD325" s="185" t="n">
        <v>0</v>
      </c>
      <c r="AE325" s="185" t="n">
        <v>0</v>
      </c>
      <c r="AF325" s="185" t="n">
        <v>0</v>
      </c>
      <c r="AG325" s="185" t="n">
        <v>0</v>
      </c>
      <c r="AH325" s="185" t="n">
        <v>1264.27</v>
      </c>
      <c r="AI325" s="185" t="n">
        <v>0</v>
      </c>
      <c r="AJ325" s="185" t="n">
        <v>0</v>
      </c>
      <c r="AK325" s="185" t="n">
        <v>0</v>
      </c>
      <c r="AL325" s="186" t="n">
        <v>0</v>
      </c>
      <c r="AM325" s="30" t="inlineStr">
        <is>
          <t>.</t>
        </is>
      </c>
      <c r="AN325" s="187">
        <f>IF(L325=0,0,Z325/L325)</f>
        <v/>
      </c>
      <c r="AO325" s="57">
        <f>IF(AN325&gt;=1,"🟢",IF(AN325&gt;=0.7,"🟡",IF(AN325&gt;=0.4,"🟠","🔴")))</f>
        <v/>
      </c>
      <c r="AP325" s="185">
        <f>L325-Z325</f>
        <v/>
      </c>
      <c r="AQ325" s="55">
        <f>RANK(Z325,$Z$4:$Z$503,0)</f>
        <v/>
      </c>
      <c r="AR325" s="39" t="inlineStr">
        <is>
          <t>.</t>
        </is>
      </c>
      <c r="AS325" s="27" t="n"/>
      <c r="AT325" s="27" t="n"/>
      <c r="AU325" s="27" t="n"/>
      <c r="AV325" s="27" t="n"/>
      <c r="AW325" s="27" t="n"/>
      <c r="AX325" s="27" t="n"/>
      <c r="AY325" s="204" t="n"/>
      <c r="AZ325" s="204" t="n"/>
      <c r="BA325" s="38" t="inlineStr">
        <is>
          <t>.</t>
        </is>
      </c>
      <c r="BB325" s="190">
        <f>SUM(BC325:BN325)</f>
        <v/>
      </c>
      <c r="BC325" s="191">
        <f>L325*0.0702730030</f>
        <v/>
      </c>
      <c r="BD325" s="191">
        <f>L325*0.0734327604</f>
        <v/>
      </c>
      <c r="BE325" s="191">
        <f>L325*0.0752022245</f>
        <v/>
      </c>
      <c r="BF325" s="191">
        <f>L325*0.0771612740</f>
        <v/>
      </c>
      <c r="BG325" s="191">
        <f>L325*0.0796890799</f>
        <v/>
      </c>
      <c r="BH325" s="191">
        <f>L325*0.0817745197</f>
        <v/>
      </c>
      <c r="BI325" s="191">
        <f>L325*0.0849342770</f>
        <v/>
      </c>
      <c r="BJ325" s="191">
        <f>L325*0.0870197169</f>
        <v/>
      </c>
      <c r="BK325" s="191">
        <f>L325*0.0889787664</f>
        <v/>
      </c>
      <c r="BL325" s="191">
        <f>L325*0.0911905966</f>
        <v/>
      </c>
      <c r="BM325" s="191">
        <f>L325*0.0935920121</f>
        <v/>
      </c>
      <c r="BN325" s="192">
        <f>L325*0.0967517695</f>
        <v/>
      </c>
      <c r="BO325" s="36" t="inlineStr">
        <is>
          <t>.</t>
        </is>
      </c>
      <c r="BP325" s="193">
        <f>SUM(BQ325:CB325)</f>
        <v/>
      </c>
      <c r="BQ325" s="191">
        <f>MAX(0,BC325-AA325)</f>
        <v/>
      </c>
      <c r="BR325" s="191">
        <f>MAX(0,BD325-AB325)</f>
        <v/>
      </c>
      <c r="BS325" s="191">
        <f>MAX(0,BE325-AC325)</f>
        <v/>
      </c>
      <c r="BT325" s="191">
        <f>MAX(0,BF325-AD325)</f>
        <v/>
      </c>
      <c r="BU325" s="191">
        <f>MAX(0,BG325-AE325)</f>
        <v/>
      </c>
      <c r="BV325" s="191">
        <f>MAX(0,BH325-AF325)</f>
        <v/>
      </c>
      <c r="BW325" s="191">
        <f>MAX(0,BI325-AG325)</f>
        <v/>
      </c>
      <c r="BX325" s="191">
        <f>MAX(0,BJ325-AH325)</f>
        <v/>
      </c>
      <c r="BY325" s="191">
        <f>MAX(0,BK325-AI325)</f>
        <v/>
      </c>
      <c r="BZ325" s="191">
        <f>MAX(0,BL325-AJ325)</f>
        <v/>
      </c>
      <c r="CA325" s="191">
        <f>MAX(0,BM325-AK325)</f>
        <v/>
      </c>
      <c r="CB325" s="192">
        <f>MAX(0,BN325-AL325)</f>
        <v/>
      </c>
    </row>
    <row r="326">
      <c r="A326" s="64" t="inlineStr">
        <is>
          <t>60940727000180</t>
        </is>
      </c>
      <c r="B326" s="57" t="inlineStr">
        <is>
          <t>SEVEN ROOTS PRODUTOS NATURAIS LTDA - ME</t>
        </is>
      </c>
      <c r="C326" s="57" t="inlineStr">
        <is>
          <t>VIDA LEVE</t>
        </is>
      </c>
      <c r="D326" s="61" t="inlineStr">
        <is>
          <t>DAIANE STAVICKI</t>
        </is>
      </c>
      <c r="E326" s="30" t="inlineStr">
        <is>
          <t>.</t>
        </is>
      </c>
      <c r="F326" s="63" t="n">
        <v>81</v>
      </c>
      <c r="G326" s="179" t="n">
        <v>0.08</v>
      </c>
      <c r="H326" s="57" t="inlineStr">
        <is>
          <t>🔴 VERMELHO</t>
        </is>
      </c>
      <c r="I326" s="57" t="inlineStr">
        <is>
          <t>ATIVAÇÃO</t>
        </is>
      </c>
      <c r="J326" s="61" t="inlineStr">
        <is>
          <t>Reativar inativos + Prospectar</t>
        </is>
      </c>
      <c r="K326" s="30" t="inlineStr">
        <is>
          <t>.</t>
        </is>
      </c>
      <c r="L326" s="180" t="n">
        <v>2991.4</v>
      </c>
      <c r="M326" s="181" t="n">
        <v>210.22</v>
      </c>
      <c r="N326" s="181" t="n">
        <v>219.67</v>
      </c>
      <c r="O326" s="181" t="n">
        <v>224.96</v>
      </c>
      <c r="P326" s="181" t="n">
        <v>230.82</v>
      </c>
      <c r="Q326" s="181" t="n">
        <v>238.38</v>
      </c>
      <c r="R326" s="181" t="n">
        <v>244.62</v>
      </c>
      <c r="S326" s="181" t="n">
        <v>254.07</v>
      </c>
      <c r="T326" s="181" t="n">
        <v>260.31</v>
      </c>
      <c r="U326" s="181" t="n">
        <v>266.17</v>
      </c>
      <c r="V326" s="181" t="n">
        <v>272.79</v>
      </c>
      <c r="W326" s="181" t="n">
        <v>279.97</v>
      </c>
      <c r="X326" s="182" t="n">
        <v>289.42</v>
      </c>
      <c r="Y326" s="183" t="inlineStr">
        <is>
          <t>.</t>
        </is>
      </c>
      <c r="Z326" s="184">
        <f>SUM(AA326:AL326)</f>
        <v/>
      </c>
      <c r="AA326" s="185" t="n">
        <v>0</v>
      </c>
      <c r="AB326" s="185" t="n">
        <v>0</v>
      </c>
      <c r="AC326" s="185" t="n">
        <v>0</v>
      </c>
      <c r="AD326" s="185" t="n">
        <v>0</v>
      </c>
      <c r="AE326" s="185" t="n">
        <v>0</v>
      </c>
      <c r="AF326" s="185" t="n">
        <v>0</v>
      </c>
      <c r="AG326" s="185" t="n">
        <v>0</v>
      </c>
      <c r="AH326" s="185" t="n">
        <v>0</v>
      </c>
      <c r="AI326" s="185" t="n">
        <v>0</v>
      </c>
      <c r="AJ326" s="185" t="n">
        <v>1701.7</v>
      </c>
      <c r="AK326" s="185" t="n">
        <v>0</v>
      </c>
      <c r="AL326" s="186" t="n">
        <v>0</v>
      </c>
      <c r="AM326" s="30" t="inlineStr">
        <is>
          <t>.</t>
        </is>
      </c>
      <c r="AN326" s="187">
        <f>IF(L326=0,0,Z326/L326)</f>
        <v/>
      </c>
      <c r="AO326" s="57">
        <f>IF(AN326&gt;=1,"🟢",IF(AN326&gt;=0.7,"🟡",IF(AN326&gt;=0.4,"🟠","🔴")))</f>
        <v/>
      </c>
      <c r="AP326" s="185">
        <f>L326-Z326</f>
        <v/>
      </c>
      <c r="AQ326" s="55">
        <f>RANK(Z326,$Z$4:$Z$503,0)</f>
        <v/>
      </c>
      <c r="AR326" s="39" t="inlineStr">
        <is>
          <t>.</t>
        </is>
      </c>
      <c r="AS326" s="27" t="n"/>
      <c r="AT326" s="27" t="n"/>
      <c r="AU326" s="27" t="n"/>
      <c r="AV326" s="27" t="n"/>
      <c r="AW326" s="27" t="n"/>
      <c r="AX326" s="27" t="n"/>
      <c r="AY326" s="204" t="n"/>
      <c r="AZ326" s="204" t="n"/>
      <c r="BA326" s="38" t="inlineStr">
        <is>
          <t>.</t>
        </is>
      </c>
      <c r="BB326" s="190">
        <f>SUM(BC326:BN326)</f>
        <v/>
      </c>
      <c r="BC326" s="191">
        <f>L326*0.0702730030</f>
        <v/>
      </c>
      <c r="BD326" s="191">
        <f>L326*0.0734327604</f>
        <v/>
      </c>
      <c r="BE326" s="191">
        <f>L326*0.0752022245</f>
        <v/>
      </c>
      <c r="BF326" s="191">
        <f>L326*0.0771612740</f>
        <v/>
      </c>
      <c r="BG326" s="191">
        <f>L326*0.0796890799</f>
        <v/>
      </c>
      <c r="BH326" s="191">
        <f>L326*0.0817745197</f>
        <v/>
      </c>
      <c r="BI326" s="191">
        <f>L326*0.0849342770</f>
        <v/>
      </c>
      <c r="BJ326" s="191">
        <f>L326*0.0870197169</f>
        <v/>
      </c>
      <c r="BK326" s="191">
        <f>L326*0.0889787664</f>
        <v/>
      </c>
      <c r="BL326" s="191">
        <f>L326*0.0911905966</f>
        <v/>
      </c>
      <c r="BM326" s="191">
        <f>L326*0.0935920121</f>
        <v/>
      </c>
      <c r="BN326" s="192">
        <f>L326*0.0967517695</f>
        <v/>
      </c>
      <c r="BO326" s="36" t="inlineStr">
        <is>
          <t>.</t>
        </is>
      </c>
      <c r="BP326" s="193">
        <f>SUM(BQ326:CB326)</f>
        <v/>
      </c>
      <c r="BQ326" s="191">
        <f>MAX(0,BC326-AA326)</f>
        <v/>
      </c>
      <c r="BR326" s="191">
        <f>MAX(0,BD326-AB326)</f>
        <v/>
      </c>
      <c r="BS326" s="191">
        <f>MAX(0,BE326-AC326)</f>
        <v/>
      </c>
      <c r="BT326" s="191">
        <f>MAX(0,BF326-AD326)</f>
        <v/>
      </c>
      <c r="BU326" s="191">
        <f>MAX(0,BG326-AE326)</f>
        <v/>
      </c>
      <c r="BV326" s="191">
        <f>MAX(0,BH326-AF326)</f>
        <v/>
      </c>
      <c r="BW326" s="191">
        <f>MAX(0,BI326-AG326)</f>
        <v/>
      </c>
      <c r="BX326" s="191">
        <f>MAX(0,BJ326-AH326)</f>
        <v/>
      </c>
      <c r="BY326" s="191">
        <f>MAX(0,BK326-AI326)</f>
        <v/>
      </c>
      <c r="BZ326" s="191">
        <f>MAX(0,BL326-AJ326)</f>
        <v/>
      </c>
      <c r="CA326" s="191">
        <f>MAX(0,BM326-AK326)</f>
        <v/>
      </c>
      <c r="CB326" s="192">
        <f>MAX(0,BN326-AL326)</f>
        <v/>
      </c>
    </row>
    <row r="327">
      <c r="A327" s="64" t="inlineStr">
        <is>
          <t>61449642000167</t>
        </is>
      </c>
      <c r="B327" s="57" t="inlineStr">
        <is>
          <t>VEJ SGARI LTDA - ME</t>
        </is>
      </c>
      <c r="C327" s="57" t="inlineStr">
        <is>
          <t>VIDA LEVE</t>
        </is>
      </c>
      <c r="D327" s="61" t="inlineStr">
        <is>
          <t>DAIANE STAVICKI</t>
        </is>
      </c>
      <c r="E327" s="30" t="inlineStr">
        <is>
          <t>.</t>
        </is>
      </c>
      <c r="F327" s="63" t="n">
        <v>81</v>
      </c>
      <c r="G327" s="179" t="n">
        <v>0.08</v>
      </c>
      <c r="H327" s="57" t="inlineStr">
        <is>
          <t>🔴 VERMELHO</t>
        </is>
      </c>
      <c r="I327" s="57" t="inlineStr">
        <is>
          <t>ATIVAÇÃO</t>
        </is>
      </c>
      <c r="J327" s="61" t="inlineStr">
        <is>
          <t>Reativar inativos + Prospectar</t>
        </is>
      </c>
      <c r="K327" s="30" t="inlineStr">
        <is>
          <t>.</t>
        </is>
      </c>
      <c r="L327" s="180" t="n">
        <v>2983.95</v>
      </c>
      <c r="M327" s="181" t="n">
        <v>209.69</v>
      </c>
      <c r="N327" s="181" t="n">
        <v>219.12</v>
      </c>
      <c r="O327" s="181" t="n">
        <v>224.4</v>
      </c>
      <c r="P327" s="181" t="n">
        <v>230.25</v>
      </c>
      <c r="Q327" s="181" t="n">
        <v>237.79</v>
      </c>
      <c r="R327" s="181" t="n">
        <v>244.01</v>
      </c>
      <c r="S327" s="181" t="n">
        <v>253.44</v>
      </c>
      <c r="T327" s="181" t="n">
        <v>259.66</v>
      </c>
      <c r="U327" s="181" t="n">
        <v>265.51</v>
      </c>
      <c r="V327" s="181" t="n">
        <v>272.11</v>
      </c>
      <c r="W327" s="181" t="n">
        <v>279.27</v>
      </c>
      <c r="X327" s="182" t="n">
        <v>288.7</v>
      </c>
      <c r="Y327" s="183" t="inlineStr">
        <is>
          <t>.</t>
        </is>
      </c>
      <c r="Z327" s="184">
        <f>SUM(AA327:AL327)</f>
        <v/>
      </c>
      <c r="AA327" s="185" t="n">
        <v>0</v>
      </c>
      <c r="AB327" s="185" t="n">
        <v>0</v>
      </c>
      <c r="AC327" s="185" t="n">
        <v>0</v>
      </c>
      <c r="AD327" s="185" t="n">
        <v>0</v>
      </c>
      <c r="AE327" s="185" t="n">
        <v>0</v>
      </c>
      <c r="AF327" s="185" t="n">
        <v>0</v>
      </c>
      <c r="AG327" s="185" t="n">
        <v>0</v>
      </c>
      <c r="AH327" s="185" t="n">
        <v>0</v>
      </c>
      <c r="AI327" s="185" t="n">
        <v>1351.63</v>
      </c>
      <c r="AJ327" s="185" t="n">
        <v>0</v>
      </c>
      <c r="AK327" s="185" t="n">
        <v>0</v>
      </c>
      <c r="AL327" s="186" t="n">
        <v>0</v>
      </c>
      <c r="AM327" s="30" t="inlineStr">
        <is>
          <t>.</t>
        </is>
      </c>
      <c r="AN327" s="187">
        <f>IF(L327=0,0,Z327/L327)</f>
        <v/>
      </c>
      <c r="AO327" s="57">
        <f>IF(AN327&gt;=1,"🟢",IF(AN327&gt;=0.7,"🟡",IF(AN327&gt;=0.4,"🟠","🔴")))</f>
        <v/>
      </c>
      <c r="AP327" s="185">
        <f>L327-Z327</f>
        <v/>
      </c>
      <c r="AQ327" s="55">
        <f>RANK(Z327,$Z$4:$Z$503,0)</f>
        <v/>
      </c>
      <c r="AR327" s="39" t="inlineStr">
        <is>
          <t>.</t>
        </is>
      </c>
      <c r="AS327" s="27" t="n"/>
      <c r="AT327" s="27" t="n"/>
      <c r="AU327" s="27" t="n"/>
      <c r="AV327" s="27" t="n"/>
      <c r="AW327" s="27" t="n"/>
      <c r="AX327" s="27" t="n"/>
      <c r="AY327" s="204" t="n"/>
      <c r="AZ327" s="204" t="n"/>
      <c r="BA327" s="38" t="inlineStr">
        <is>
          <t>.</t>
        </is>
      </c>
      <c r="BB327" s="190">
        <f>SUM(BC327:BN327)</f>
        <v/>
      </c>
      <c r="BC327" s="191">
        <f>L327*0.0702730030</f>
        <v/>
      </c>
      <c r="BD327" s="191">
        <f>L327*0.0734327604</f>
        <v/>
      </c>
      <c r="BE327" s="191">
        <f>L327*0.0752022245</f>
        <v/>
      </c>
      <c r="BF327" s="191">
        <f>L327*0.0771612740</f>
        <v/>
      </c>
      <c r="BG327" s="191">
        <f>L327*0.0796890799</f>
        <v/>
      </c>
      <c r="BH327" s="191">
        <f>L327*0.0817745197</f>
        <v/>
      </c>
      <c r="BI327" s="191">
        <f>L327*0.0849342770</f>
        <v/>
      </c>
      <c r="BJ327" s="191">
        <f>L327*0.0870197169</f>
        <v/>
      </c>
      <c r="BK327" s="191">
        <f>L327*0.0889787664</f>
        <v/>
      </c>
      <c r="BL327" s="191">
        <f>L327*0.0911905966</f>
        <v/>
      </c>
      <c r="BM327" s="191">
        <f>L327*0.0935920121</f>
        <v/>
      </c>
      <c r="BN327" s="192">
        <f>L327*0.0967517695</f>
        <v/>
      </c>
      <c r="BO327" s="36" t="inlineStr">
        <is>
          <t>.</t>
        </is>
      </c>
      <c r="BP327" s="193">
        <f>SUM(BQ327:CB327)</f>
        <v/>
      </c>
      <c r="BQ327" s="191">
        <f>MAX(0,BC327-AA327)</f>
        <v/>
      </c>
      <c r="BR327" s="191">
        <f>MAX(0,BD327-AB327)</f>
        <v/>
      </c>
      <c r="BS327" s="191">
        <f>MAX(0,BE327-AC327)</f>
        <v/>
      </c>
      <c r="BT327" s="191">
        <f>MAX(0,BF327-AD327)</f>
        <v/>
      </c>
      <c r="BU327" s="191">
        <f>MAX(0,BG327-AE327)</f>
        <v/>
      </c>
      <c r="BV327" s="191">
        <f>MAX(0,BH327-AF327)</f>
        <v/>
      </c>
      <c r="BW327" s="191">
        <f>MAX(0,BI327-AG327)</f>
        <v/>
      </c>
      <c r="BX327" s="191">
        <f>MAX(0,BJ327-AH327)</f>
        <v/>
      </c>
      <c r="BY327" s="191">
        <f>MAX(0,BK327-AI327)</f>
        <v/>
      </c>
      <c r="BZ327" s="191">
        <f>MAX(0,BL327-AJ327)</f>
        <v/>
      </c>
      <c r="CA327" s="191">
        <f>MAX(0,BM327-AK327)</f>
        <v/>
      </c>
      <c r="CB327" s="192">
        <f>MAX(0,BN327-AL327)</f>
        <v/>
      </c>
    </row>
    <row r="328">
      <c r="A328" s="64" t="inlineStr">
        <is>
          <t>62119738000120</t>
        </is>
      </c>
      <c r="B328" s="57" t="inlineStr">
        <is>
          <t>AGUIAR REDE DE PRODUTOS NATURAIS LTDA</t>
        </is>
      </c>
      <c r="C328" s="57" t="inlineStr">
        <is>
          <t>CIA DA SAUDE</t>
        </is>
      </c>
      <c r="D328" s="61" t="inlineStr">
        <is>
          <t>JULIO GADRET</t>
        </is>
      </c>
      <c r="E328" s="30" t="inlineStr">
        <is>
          <t>.</t>
        </is>
      </c>
      <c r="F328" s="63" t="n">
        <v>163</v>
      </c>
      <c r="G328" s="179" t="n">
        <v>0.026</v>
      </c>
      <c r="H328" s="57" t="inlineStr">
        <is>
          <t>🔴 VERMELHO</t>
        </is>
      </c>
      <c r="I328" s="57" t="inlineStr">
        <is>
          <t>ATIVAÇÃO</t>
        </is>
      </c>
      <c r="J328" s="61" t="inlineStr">
        <is>
          <t>Reativar inativos + Prospectar</t>
        </is>
      </c>
      <c r="K328" s="30" t="inlineStr">
        <is>
          <t>.</t>
        </is>
      </c>
      <c r="L328" s="180" t="n">
        <v>2983.95</v>
      </c>
      <c r="M328" s="181" t="n">
        <v>209.69</v>
      </c>
      <c r="N328" s="181" t="n">
        <v>219.12</v>
      </c>
      <c r="O328" s="181" t="n">
        <v>224.4</v>
      </c>
      <c r="P328" s="181" t="n">
        <v>230.25</v>
      </c>
      <c r="Q328" s="181" t="n">
        <v>237.79</v>
      </c>
      <c r="R328" s="181" t="n">
        <v>244.01</v>
      </c>
      <c r="S328" s="181" t="n">
        <v>253.44</v>
      </c>
      <c r="T328" s="181" t="n">
        <v>259.66</v>
      </c>
      <c r="U328" s="181" t="n">
        <v>265.51</v>
      </c>
      <c r="V328" s="181" t="n">
        <v>272.11</v>
      </c>
      <c r="W328" s="181" t="n">
        <v>279.27</v>
      </c>
      <c r="X328" s="182" t="n">
        <v>288.7</v>
      </c>
      <c r="Y328" s="183" t="inlineStr">
        <is>
          <t>.</t>
        </is>
      </c>
      <c r="Z328" s="184">
        <f>SUM(AA328:AL328)</f>
        <v/>
      </c>
      <c r="AA328" s="185" t="n">
        <v>0</v>
      </c>
      <c r="AB328" s="185" t="n">
        <v>0</v>
      </c>
      <c r="AC328" s="185" t="n">
        <v>0</v>
      </c>
      <c r="AD328" s="185" t="n">
        <v>0</v>
      </c>
      <c r="AE328" s="185" t="n">
        <v>0</v>
      </c>
      <c r="AF328" s="185" t="n">
        <v>0</v>
      </c>
      <c r="AG328" s="185" t="n">
        <v>0</v>
      </c>
      <c r="AH328" s="185" t="n">
        <v>0</v>
      </c>
      <c r="AI328" s="185" t="n">
        <v>0</v>
      </c>
      <c r="AJ328" s="185" t="n">
        <v>1697.45</v>
      </c>
      <c r="AK328" s="185" t="n">
        <v>0</v>
      </c>
      <c r="AL328" s="186" t="n">
        <v>0</v>
      </c>
      <c r="AM328" s="30" t="inlineStr">
        <is>
          <t>.</t>
        </is>
      </c>
      <c r="AN328" s="187">
        <f>IF(L328=0,0,Z328/L328)</f>
        <v/>
      </c>
      <c r="AO328" s="57">
        <f>IF(AN328&gt;=1,"🟢",IF(AN328&gt;=0.7,"🟡",IF(AN328&gt;=0.4,"🟠","🔴")))</f>
        <v/>
      </c>
      <c r="AP328" s="185">
        <f>L328-Z328</f>
        <v/>
      </c>
      <c r="AQ328" s="55">
        <f>RANK(Z328,$Z$4:$Z$503,0)</f>
        <v/>
      </c>
      <c r="AR328" s="39" t="inlineStr">
        <is>
          <t>.</t>
        </is>
      </c>
      <c r="AS328" s="27" t="n"/>
      <c r="AT328" s="27" t="n"/>
      <c r="AU328" s="27" t="n"/>
      <c r="AV328" s="27" t="n"/>
      <c r="AW328" s="27" t="n"/>
      <c r="AX328" s="27" t="n"/>
      <c r="AY328" s="204" t="n"/>
      <c r="AZ328" s="204" t="n"/>
      <c r="BA328" s="38" t="inlineStr">
        <is>
          <t>.</t>
        </is>
      </c>
      <c r="BB328" s="190">
        <f>SUM(BC328:BN328)</f>
        <v/>
      </c>
      <c r="BC328" s="191">
        <f>L328*0.0702730030</f>
        <v/>
      </c>
      <c r="BD328" s="191">
        <f>L328*0.0734327604</f>
        <v/>
      </c>
      <c r="BE328" s="191">
        <f>L328*0.0752022245</f>
        <v/>
      </c>
      <c r="BF328" s="191">
        <f>L328*0.0771612740</f>
        <v/>
      </c>
      <c r="BG328" s="191">
        <f>L328*0.0796890799</f>
        <v/>
      </c>
      <c r="BH328" s="191">
        <f>L328*0.0817745197</f>
        <v/>
      </c>
      <c r="BI328" s="191">
        <f>L328*0.0849342770</f>
        <v/>
      </c>
      <c r="BJ328" s="191">
        <f>L328*0.0870197169</f>
        <v/>
      </c>
      <c r="BK328" s="191">
        <f>L328*0.0889787664</f>
        <v/>
      </c>
      <c r="BL328" s="191">
        <f>L328*0.0911905966</f>
        <v/>
      </c>
      <c r="BM328" s="191">
        <f>L328*0.0935920121</f>
        <v/>
      </c>
      <c r="BN328" s="192">
        <f>L328*0.0967517695</f>
        <v/>
      </c>
      <c r="BO328" s="36" t="inlineStr">
        <is>
          <t>.</t>
        </is>
      </c>
      <c r="BP328" s="193">
        <f>SUM(BQ328:CB328)</f>
        <v/>
      </c>
      <c r="BQ328" s="191">
        <f>MAX(0,BC328-AA328)</f>
        <v/>
      </c>
      <c r="BR328" s="191">
        <f>MAX(0,BD328-AB328)</f>
        <v/>
      </c>
      <c r="BS328" s="191">
        <f>MAX(0,BE328-AC328)</f>
        <v/>
      </c>
      <c r="BT328" s="191">
        <f>MAX(0,BF328-AD328)</f>
        <v/>
      </c>
      <c r="BU328" s="191">
        <f>MAX(0,BG328-AE328)</f>
        <v/>
      </c>
      <c r="BV328" s="191">
        <f>MAX(0,BH328-AF328)</f>
        <v/>
      </c>
      <c r="BW328" s="191">
        <f>MAX(0,BI328-AG328)</f>
        <v/>
      </c>
      <c r="BX328" s="191">
        <f>MAX(0,BJ328-AH328)</f>
        <v/>
      </c>
      <c r="BY328" s="191">
        <f>MAX(0,BK328-AI328)</f>
        <v/>
      </c>
      <c r="BZ328" s="191">
        <f>MAX(0,BL328-AJ328)</f>
        <v/>
      </c>
      <c r="CA328" s="191">
        <f>MAX(0,BM328-AK328)</f>
        <v/>
      </c>
      <c r="CB328" s="192">
        <f>MAX(0,BN328-AL328)</f>
        <v/>
      </c>
    </row>
    <row r="329">
      <c r="A329" s="64" t="inlineStr">
        <is>
          <t>63179884000103</t>
        </is>
      </c>
      <c r="B329" s="57" t="inlineStr">
        <is>
          <t>NOZZIES PRODUTOS NATURAIS LTDA - ME</t>
        </is>
      </c>
      <c r="C329" s="57" t="inlineStr">
        <is>
          <t>SEM GRUPO</t>
        </is>
      </c>
      <c r="D329" s="61" t="inlineStr">
        <is>
          <t>HEMANUELE DITZEL (MANU)</t>
        </is>
      </c>
      <c r="E329" s="30" t="inlineStr">
        <is>
          <t>.</t>
        </is>
      </c>
      <c r="F329" s="63" t="inlineStr"/>
      <c r="G329" s="179" t="inlineStr"/>
      <c r="H329" s="57" t="inlineStr"/>
      <c r="I329" s="57" t="inlineStr"/>
      <c r="J329" s="61" t="inlineStr"/>
      <c r="K329" s="30" t="inlineStr">
        <is>
          <t>.</t>
        </is>
      </c>
      <c r="L329" s="180" t="n">
        <v>2983.95</v>
      </c>
      <c r="M329" s="181" t="n">
        <v>209.69</v>
      </c>
      <c r="N329" s="181" t="n">
        <v>219.12</v>
      </c>
      <c r="O329" s="181" t="n">
        <v>224.4</v>
      </c>
      <c r="P329" s="181" t="n">
        <v>230.25</v>
      </c>
      <c r="Q329" s="181" t="n">
        <v>237.79</v>
      </c>
      <c r="R329" s="181" t="n">
        <v>244.01</v>
      </c>
      <c r="S329" s="181" t="n">
        <v>253.44</v>
      </c>
      <c r="T329" s="181" t="n">
        <v>259.66</v>
      </c>
      <c r="U329" s="181" t="n">
        <v>265.51</v>
      </c>
      <c r="V329" s="181" t="n">
        <v>272.11</v>
      </c>
      <c r="W329" s="181" t="n">
        <v>279.27</v>
      </c>
      <c r="X329" s="182" t="n">
        <v>288.7</v>
      </c>
      <c r="Y329" s="183" t="inlineStr">
        <is>
          <t>.</t>
        </is>
      </c>
      <c r="Z329" s="184">
        <f>SUM(AA329:AL329)</f>
        <v/>
      </c>
      <c r="AA329" s="185" t="n">
        <v>0</v>
      </c>
      <c r="AB329" s="185" t="n">
        <v>0</v>
      </c>
      <c r="AC329" s="185" t="n">
        <v>0</v>
      </c>
      <c r="AD329" s="185" t="n">
        <v>0</v>
      </c>
      <c r="AE329" s="185" t="n">
        <v>0</v>
      </c>
      <c r="AF329" s="185" t="n">
        <v>0</v>
      </c>
      <c r="AG329" s="185" t="n">
        <v>0</v>
      </c>
      <c r="AH329" s="185" t="n">
        <v>0</v>
      </c>
      <c r="AI329" s="185" t="n">
        <v>0</v>
      </c>
      <c r="AJ329" s="185" t="n">
        <v>1697.45</v>
      </c>
      <c r="AK329" s="185" t="n">
        <v>0</v>
      </c>
      <c r="AL329" s="186" t="n">
        <v>0</v>
      </c>
      <c r="AM329" s="30" t="inlineStr">
        <is>
          <t>.</t>
        </is>
      </c>
      <c r="AN329" s="187">
        <f>IF(L329=0,0,Z329/L329)</f>
        <v/>
      </c>
      <c r="AO329" s="57">
        <f>IF(AN329&gt;=1,"🟢",IF(AN329&gt;=0.7,"🟡",IF(AN329&gt;=0.4,"🟠","🔴")))</f>
        <v/>
      </c>
      <c r="AP329" s="185">
        <f>L329-Z329</f>
        <v/>
      </c>
      <c r="AQ329" s="55">
        <f>RANK(Z329,$Z$4:$Z$503,0)</f>
        <v/>
      </c>
      <c r="AR329" s="39" t="inlineStr">
        <is>
          <t>.</t>
        </is>
      </c>
      <c r="AS329" s="27" t="n"/>
      <c r="AT329" s="27" t="n"/>
      <c r="AU329" s="27" t="n"/>
      <c r="AV329" s="27" t="n"/>
      <c r="AW329" s="27" t="n"/>
      <c r="AX329" s="27" t="n"/>
      <c r="AY329" s="204" t="n"/>
      <c r="AZ329" s="204" t="n"/>
      <c r="BA329" s="38" t="inlineStr">
        <is>
          <t>.</t>
        </is>
      </c>
      <c r="BB329" s="190">
        <f>SUM(BC329:BN329)</f>
        <v/>
      </c>
      <c r="BC329" s="191">
        <f>L329*0.0702730030</f>
        <v/>
      </c>
      <c r="BD329" s="191">
        <f>L329*0.0734327604</f>
        <v/>
      </c>
      <c r="BE329" s="191">
        <f>L329*0.0752022245</f>
        <v/>
      </c>
      <c r="BF329" s="191">
        <f>L329*0.0771612740</f>
        <v/>
      </c>
      <c r="BG329" s="191">
        <f>L329*0.0796890799</f>
        <v/>
      </c>
      <c r="BH329" s="191">
        <f>L329*0.0817745197</f>
        <v/>
      </c>
      <c r="BI329" s="191">
        <f>L329*0.0849342770</f>
        <v/>
      </c>
      <c r="BJ329" s="191">
        <f>L329*0.0870197169</f>
        <v/>
      </c>
      <c r="BK329" s="191">
        <f>L329*0.0889787664</f>
        <v/>
      </c>
      <c r="BL329" s="191">
        <f>L329*0.0911905966</f>
        <v/>
      </c>
      <c r="BM329" s="191">
        <f>L329*0.0935920121</f>
        <v/>
      </c>
      <c r="BN329" s="192">
        <f>L329*0.0967517695</f>
        <v/>
      </c>
      <c r="BO329" s="36" t="inlineStr">
        <is>
          <t>.</t>
        </is>
      </c>
      <c r="BP329" s="193">
        <f>SUM(BQ329:CB329)</f>
        <v/>
      </c>
      <c r="BQ329" s="191">
        <f>MAX(0,BC329-AA329)</f>
        <v/>
      </c>
      <c r="BR329" s="191">
        <f>MAX(0,BD329-AB329)</f>
        <v/>
      </c>
      <c r="BS329" s="191">
        <f>MAX(0,BE329-AC329)</f>
        <v/>
      </c>
      <c r="BT329" s="191">
        <f>MAX(0,BF329-AD329)</f>
        <v/>
      </c>
      <c r="BU329" s="191">
        <f>MAX(0,BG329-AE329)</f>
        <v/>
      </c>
      <c r="BV329" s="191">
        <f>MAX(0,BH329-AF329)</f>
        <v/>
      </c>
      <c r="BW329" s="191">
        <f>MAX(0,BI329-AG329)</f>
        <v/>
      </c>
      <c r="BX329" s="191">
        <f>MAX(0,BJ329-AH329)</f>
        <v/>
      </c>
      <c r="BY329" s="191">
        <f>MAX(0,BK329-AI329)</f>
        <v/>
      </c>
      <c r="BZ329" s="191">
        <f>MAX(0,BL329-AJ329)</f>
        <v/>
      </c>
      <c r="CA329" s="191">
        <f>MAX(0,BM329-AK329)</f>
        <v/>
      </c>
      <c r="CB329" s="192">
        <f>MAX(0,BN329-AL329)</f>
        <v/>
      </c>
    </row>
    <row r="330">
      <c r="A330" s="64" t="inlineStr">
        <is>
          <t>13664585000196</t>
        </is>
      </c>
      <c r="B330" s="57" t="inlineStr">
        <is>
          <t>ESPVERDE ICARAI COMERCIO DE PRODUTOS NAT</t>
        </is>
      </c>
      <c r="C330" s="57" t="inlineStr">
        <is>
          <t>MUNDO VERDE</t>
        </is>
      </c>
      <c r="D330" s="61" t="inlineStr">
        <is>
          <t>DAIANE STAVICKI</t>
        </is>
      </c>
      <c r="E330" s="30" t="inlineStr">
        <is>
          <t>.</t>
        </is>
      </c>
      <c r="F330" s="63" t="n">
        <v>199</v>
      </c>
      <c r="G330" s="179" t="n">
        <v>0.014</v>
      </c>
      <c r="H330" s="57" t="inlineStr">
        <is>
          <t>🔴 VERMELHO</t>
        </is>
      </c>
      <c r="I330" s="57" t="inlineStr">
        <is>
          <t>ATIVAÇÃO</t>
        </is>
      </c>
      <c r="J330" s="61" t="inlineStr">
        <is>
          <t>Reativar inativos + Prospectar</t>
        </is>
      </c>
      <c r="K330" s="30" t="inlineStr">
        <is>
          <t>.</t>
        </is>
      </c>
      <c r="L330" s="180" t="n">
        <v>2982.98</v>
      </c>
      <c r="M330" s="181" t="n">
        <v>209.62</v>
      </c>
      <c r="N330" s="181" t="n">
        <v>219.05</v>
      </c>
      <c r="O330" s="181" t="n">
        <v>224.33</v>
      </c>
      <c r="P330" s="181" t="n">
        <v>230.17</v>
      </c>
      <c r="Q330" s="181" t="n">
        <v>237.71</v>
      </c>
      <c r="R330" s="181" t="n">
        <v>243.93</v>
      </c>
      <c r="S330" s="181" t="n">
        <v>253.36</v>
      </c>
      <c r="T330" s="181" t="n">
        <v>259.58</v>
      </c>
      <c r="U330" s="181" t="n">
        <v>265.42</v>
      </c>
      <c r="V330" s="181" t="n">
        <v>272.02</v>
      </c>
      <c r="W330" s="181" t="n">
        <v>279.18</v>
      </c>
      <c r="X330" s="182" t="n">
        <v>288.61</v>
      </c>
      <c r="Y330" s="183" t="inlineStr">
        <is>
          <t>.</t>
        </is>
      </c>
      <c r="Z330" s="184">
        <f>SUM(AA330:AL330)</f>
        <v/>
      </c>
      <c r="AA330" s="185" t="n">
        <v>0</v>
      </c>
      <c r="AB330" s="185" t="n">
        <v>0</v>
      </c>
      <c r="AC330" s="185" t="n">
        <v>0</v>
      </c>
      <c r="AD330" s="185" t="n">
        <v>0</v>
      </c>
      <c r="AE330" s="185" t="n">
        <v>0</v>
      </c>
      <c r="AF330" s="185" t="n">
        <v>0</v>
      </c>
      <c r="AG330" s="185" t="n">
        <v>0</v>
      </c>
      <c r="AH330" s="185" t="n">
        <v>1256.94</v>
      </c>
      <c r="AI330" s="185" t="n">
        <v>0</v>
      </c>
      <c r="AJ330" s="185" t="n">
        <v>0</v>
      </c>
      <c r="AK330" s="185" t="n">
        <v>0</v>
      </c>
      <c r="AL330" s="186" t="n">
        <v>0</v>
      </c>
      <c r="AM330" s="30" t="inlineStr">
        <is>
          <t>.</t>
        </is>
      </c>
      <c r="AN330" s="187">
        <f>IF(L330=0,0,Z330/L330)</f>
        <v/>
      </c>
      <c r="AO330" s="57">
        <f>IF(AN330&gt;=1,"🟢",IF(AN330&gt;=0.7,"🟡",IF(AN330&gt;=0.4,"🟠","🔴")))</f>
        <v/>
      </c>
      <c r="AP330" s="185">
        <f>L330-Z330</f>
        <v/>
      </c>
      <c r="AQ330" s="55">
        <f>RANK(Z330,$Z$4:$Z$503,0)</f>
        <v/>
      </c>
      <c r="AR330" s="39" t="inlineStr">
        <is>
          <t>.</t>
        </is>
      </c>
      <c r="AS330" s="27" t="n"/>
      <c r="AT330" s="27" t="n"/>
      <c r="AU330" s="27" t="n"/>
      <c r="AV330" s="27" t="n"/>
      <c r="AW330" s="27" t="n"/>
      <c r="AX330" s="27" t="n"/>
      <c r="AY330" s="204" t="n"/>
      <c r="AZ330" s="204" t="n"/>
      <c r="BA330" s="38" t="inlineStr">
        <is>
          <t>.</t>
        </is>
      </c>
      <c r="BB330" s="190">
        <f>SUM(BC330:BN330)</f>
        <v/>
      </c>
      <c r="BC330" s="191">
        <f>L330*0.0702730030</f>
        <v/>
      </c>
      <c r="BD330" s="191">
        <f>L330*0.0734327604</f>
        <v/>
      </c>
      <c r="BE330" s="191">
        <f>L330*0.0752022245</f>
        <v/>
      </c>
      <c r="BF330" s="191">
        <f>L330*0.0771612740</f>
        <v/>
      </c>
      <c r="BG330" s="191">
        <f>L330*0.0796890799</f>
        <v/>
      </c>
      <c r="BH330" s="191">
        <f>L330*0.0817745197</f>
        <v/>
      </c>
      <c r="BI330" s="191">
        <f>L330*0.0849342770</f>
        <v/>
      </c>
      <c r="BJ330" s="191">
        <f>L330*0.0870197169</f>
        <v/>
      </c>
      <c r="BK330" s="191">
        <f>L330*0.0889787664</f>
        <v/>
      </c>
      <c r="BL330" s="191">
        <f>L330*0.0911905966</f>
        <v/>
      </c>
      <c r="BM330" s="191">
        <f>L330*0.0935920121</f>
        <v/>
      </c>
      <c r="BN330" s="192">
        <f>L330*0.0967517695</f>
        <v/>
      </c>
      <c r="BO330" s="36" t="inlineStr">
        <is>
          <t>.</t>
        </is>
      </c>
      <c r="BP330" s="193">
        <f>SUM(BQ330:CB330)</f>
        <v/>
      </c>
      <c r="BQ330" s="191">
        <f>MAX(0,BC330-AA330)</f>
        <v/>
      </c>
      <c r="BR330" s="191">
        <f>MAX(0,BD330-AB330)</f>
        <v/>
      </c>
      <c r="BS330" s="191">
        <f>MAX(0,BE330-AC330)</f>
        <v/>
      </c>
      <c r="BT330" s="191">
        <f>MAX(0,BF330-AD330)</f>
        <v/>
      </c>
      <c r="BU330" s="191">
        <f>MAX(0,BG330-AE330)</f>
        <v/>
      </c>
      <c r="BV330" s="191">
        <f>MAX(0,BH330-AF330)</f>
        <v/>
      </c>
      <c r="BW330" s="191">
        <f>MAX(0,BI330-AG330)</f>
        <v/>
      </c>
      <c r="BX330" s="191">
        <f>MAX(0,BJ330-AH330)</f>
        <v/>
      </c>
      <c r="BY330" s="191">
        <f>MAX(0,BK330-AI330)</f>
        <v/>
      </c>
      <c r="BZ330" s="191">
        <f>MAX(0,BL330-AJ330)</f>
        <v/>
      </c>
      <c r="CA330" s="191">
        <f>MAX(0,BM330-AK330)</f>
        <v/>
      </c>
      <c r="CB330" s="192">
        <f>MAX(0,BN330-AL330)</f>
        <v/>
      </c>
    </row>
    <row r="331">
      <c r="A331" s="64" t="inlineStr">
        <is>
          <t>31565600000120</t>
        </is>
      </c>
      <c r="B331" s="57" t="inlineStr">
        <is>
          <t>CEREJEIRA EMPORIO DE ALIMENTOS SAUDAVEIS</t>
        </is>
      </c>
      <c r="C331" s="57" t="inlineStr">
        <is>
          <t>SEM GRUPO</t>
        </is>
      </c>
      <c r="D331" s="61" t="inlineStr">
        <is>
          <t>LARISSA PADILHA</t>
        </is>
      </c>
      <c r="E331" s="30" t="inlineStr">
        <is>
          <t>.</t>
        </is>
      </c>
      <c r="F331" s="63" t="inlineStr"/>
      <c r="G331" s="179" t="inlineStr"/>
      <c r="H331" s="57" t="inlineStr"/>
      <c r="I331" s="57" t="inlineStr"/>
      <c r="J331" s="61" t="inlineStr"/>
      <c r="K331" s="30" t="inlineStr">
        <is>
          <t>.</t>
        </is>
      </c>
      <c r="L331" s="180" t="n">
        <v>2978.58</v>
      </c>
      <c r="M331" s="181" t="n">
        <v>209.31</v>
      </c>
      <c r="N331" s="181" t="n">
        <v>218.73</v>
      </c>
      <c r="O331" s="181" t="n">
        <v>224</v>
      </c>
      <c r="P331" s="181" t="n">
        <v>229.83</v>
      </c>
      <c r="Q331" s="181" t="n">
        <v>237.36</v>
      </c>
      <c r="R331" s="181" t="n">
        <v>243.57</v>
      </c>
      <c r="S331" s="181" t="n">
        <v>252.98</v>
      </c>
      <c r="T331" s="181" t="n">
        <v>259.2</v>
      </c>
      <c r="U331" s="181" t="n">
        <v>265.03</v>
      </c>
      <c r="V331" s="181" t="n">
        <v>271.62</v>
      </c>
      <c r="W331" s="181" t="n">
        <v>278.77</v>
      </c>
      <c r="X331" s="182" t="n">
        <v>288.18</v>
      </c>
      <c r="Y331" s="183" t="inlineStr">
        <is>
          <t>.</t>
        </is>
      </c>
      <c r="Z331" s="184">
        <f>SUM(AA331:AL331)</f>
        <v/>
      </c>
      <c r="AA331" s="185" t="n">
        <v>2214.86</v>
      </c>
      <c r="AB331" s="185" t="n">
        <v>0</v>
      </c>
      <c r="AC331" s="185" t="n">
        <v>0</v>
      </c>
      <c r="AD331" s="185" t="n">
        <v>0</v>
      </c>
      <c r="AE331" s="185" t="n">
        <v>0</v>
      </c>
      <c r="AF331" s="185" t="n">
        <v>0</v>
      </c>
      <c r="AG331" s="185" t="n">
        <v>0</v>
      </c>
      <c r="AH331" s="185" t="n">
        <v>0</v>
      </c>
      <c r="AI331" s="185" t="n">
        <v>0</v>
      </c>
      <c r="AJ331" s="185" t="n">
        <v>0</v>
      </c>
      <c r="AK331" s="185" t="n">
        <v>0</v>
      </c>
      <c r="AL331" s="186" t="n">
        <v>0</v>
      </c>
      <c r="AM331" s="30" t="inlineStr">
        <is>
          <t>.</t>
        </is>
      </c>
      <c r="AN331" s="187">
        <f>IF(L331=0,0,Z331/L331)</f>
        <v/>
      </c>
      <c r="AO331" s="57">
        <f>IF(AN331&gt;=1,"🟢",IF(AN331&gt;=0.7,"🟡",IF(AN331&gt;=0.4,"🟠","🔴")))</f>
        <v/>
      </c>
      <c r="AP331" s="185">
        <f>L331-Z331</f>
        <v/>
      </c>
      <c r="AQ331" s="55">
        <f>RANK(Z331,$Z$4:$Z$503,0)</f>
        <v/>
      </c>
      <c r="AR331" s="39" t="inlineStr">
        <is>
          <t>.</t>
        </is>
      </c>
      <c r="AS331" s="27" t="n"/>
      <c r="AT331" s="27" t="n"/>
      <c r="AU331" s="27" t="n"/>
      <c r="AV331" s="27" t="n"/>
      <c r="AW331" s="27" t="n"/>
      <c r="AX331" s="27" t="n"/>
      <c r="AY331" s="204" t="n"/>
      <c r="AZ331" s="204" t="n"/>
      <c r="BA331" s="38" t="inlineStr">
        <is>
          <t>.</t>
        </is>
      </c>
      <c r="BB331" s="190">
        <f>SUM(BC331:BN331)</f>
        <v/>
      </c>
      <c r="BC331" s="191">
        <f>L331*0.0702730030</f>
        <v/>
      </c>
      <c r="BD331" s="191">
        <f>L331*0.0734327604</f>
        <v/>
      </c>
      <c r="BE331" s="191">
        <f>L331*0.0752022245</f>
        <v/>
      </c>
      <c r="BF331" s="191">
        <f>L331*0.0771612740</f>
        <v/>
      </c>
      <c r="BG331" s="191">
        <f>L331*0.0796890799</f>
        <v/>
      </c>
      <c r="BH331" s="191">
        <f>L331*0.0817745197</f>
        <v/>
      </c>
      <c r="BI331" s="191">
        <f>L331*0.0849342770</f>
        <v/>
      </c>
      <c r="BJ331" s="191">
        <f>L331*0.0870197169</f>
        <v/>
      </c>
      <c r="BK331" s="191">
        <f>L331*0.0889787664</f>
        <v/>
      </c>
      <c r="BL331" s="191">
        <f>L331*0.0911905966</f>
        <v/>
      </c>
      <c r="BM331" s="191">
        <f>L331*0.0935920121</f>
        <v/>
      </c>
      <c r="BN331" s="192">
        <f>L331*0.0967517695</f>
        <v/>
      </c>
      <c r="BO331" s="36" t="inlineStr">
        <is>
          <t>.</t>
        </is>
      </c>
      <c r="BP331" s="193">
        <f>SUM(BQ331:CB331)</f>
        <v/>
      </c>
      <c r="BQ331" s="191">
        <f>MAX(0,BC331-AA331)</f>
        <v/>
      </c>
      <c r="BR331" s="191">
        <f>MAX(0,BD331-AB331)</f>
        <v/>
      </c>
      <c r="BS331" s="191">
        <f>MAX(0,BE331-AC331)</f>
        <v/>
      </c>
      <c r="BT331" s="191">
        <f>MAX(0,BF331-AD331)</f>
        <v/>
      </c>
      <c r="BU331" s="191">
        <f>MAX(0,BG331-AE331)</f>
        <v/>
      </c>
      <c r="BV331" s="191">
        <f>MAX(0,BH331-AF331)</f>
        <v/>
      </c>
      <c r="BW331" s="191">
        <f>MAX(0,BI331-AG331)</f>
        <v/>
      </c>
      <c r="BX331" s="191">
        <f>MAX(0,BJ331-AH331)</f>
        <v/>
      </c>
      <c r="BY331" s="191">
        <f>MAX(0,BK331-AI331)</f>
        <v/>
      </c>
      <c r="BZ331" s="191">
        <f>MAX(0,BL331-AJ331)</f>
        <v/>
      </c>
      <c r="CA331" s="191">
        <f>MAX(0,BM331-AK331)</f>
        <v/>
      </c>
      <c r="CB331" s="192">
        <f>MAX(0,BN331-AL331)</f>
        <v/>
      </c>
    </row>
    <row r="332">
      <c r="A332" s="64" t="inlineStr">
        <is>
          <t>53111830000152</t>
        </is>
      </c>
      <c r="B332" s="57" t="inlineStr">
        <is>
          <t>FIT NUTRICAO LTDA - ME</t>
        </is>
      </c>
      <c r="C332" s="57" t="inlineStr">
        <is>
          <t>FITLAND</t>
        </is>
      </c>
      <c r="D332" s="61" t="inlineStr">
        <is>
          <t>JULIO GADRET</t>
        </is>
      </c>
      <c r="E332" s="30" t="inlineStr">
        <is>
          <t>.</t>
        </is>
      </c>
      <c r="F332" s="63" t="n">
        <v>89</v>
      </c>
      <c r="G332" s="179" t="n">
        <v>0.298</v>
      </c>
      <c r="H332" s="57" t="inlineStr">
        <is>
          <t>🔴 VERMELHO</t>
        </is>
      </c>
      <c r="I332" s="57" t="inlineStr">
        <is>
          <t>POSITIVAÇÃO</t>
        </is>
      </c>
      <c r="J332" s="61" t="inlineStr">
        <is>
          <t>Aumentar frequência + Expandir base</t>
        </is>
      </c>
      <c r="K332" s="30" t="inlineStr">
        <is>
          <t>.</t>
        </is>
      </c>
      <c r="L332" s="180" t="n">
        <v>2975.1</v>
      </c>
      <c r="M332" s="181" t="n">
        <v>209.07</v>
      </c>
      <c r="N332" s="181" t="n">
        <v>218.47</v>
      </c>
      <c r="O332" s="181" t="n">
        <v>223.73</v>
      </c>
      <c r="P332" s="181" t="n">
        <v>229.56</v>
      </c>
      <c r="Q332" s="181" t="n">
        <v>237.08</v>
      </c>
      <c r="R332" s="181" t="n">
        <v>243.29</v>
      </c>
      <c r="S332" s="181" t="n">
        <v>252.69</v>
      </c>
      <c r="T332" s="181" t="n">
        <v>258.89</v>
      </c>
      <c r="U332" s="181" t="n">
        <v>264.72</v>
      </c>
      <c r="V332" s="181" t="n">
        <v>271.3</v>
      </c>
      <c r="W332" s="181" t="n">
        <v>278.45</v>
      </c>
      <c r="X332" s="182" t="n">
        <v>287.85</v>
      </c>
      <c r="Y332" s="183" t="inlineStr">
        <is>
          <t>.</t>
        </is>
      </c>
      <c r="Z332" s="184">
        <f>SUM(AA332:AL332)</f>
        <v/>
      </c>
      <c r="AA332" s="185" t="n">
        <v>0</v>
      </c>
      <c r="AB332" s="185" t="n">
        <v>0</v>
      </c>
      <c r="AC332" s="185" t="n">
        <v>0</v>
      </c>
      <c r="AD332" s="185" t="n">
        <v>0</v>
      </c>
      <c r="AE332" s="185" t="n">
        <v>0</v>
      </c>
      <c r="AF332" s="185" t="n">
        <v>1194.73</v>
      </c>
      <c r="AG332" s="185" t="n">
        <v>0</v>
      </c>
      <c r="AH332" s="185" t="n">
        <v>0</v>
      </c>
      <c r="AI332" s="185" t="n">
        <v>0</v>
      </c>
      <c r="AJ332" s="185" t="n">
        <v>0</v>
      </c>
      <c r="AK332" s="185" t="n">
        <v>0</v>
      </c>
      <c r="AL332" s="186" t="n">
        <v>0</v>
      </c>
      <c r="AM332" s="30" t="inlineStr">
        <is>
          <t>.</t>
        </is>
      </c>
      <c r="AN332" s="187">
        <f>IF(L332=0,0,Z332/L332)</f>
        <v/>
      </c>
      <c r="AO332" s="57">
        <f>IF(AN332&gt;=1,"🟢",IF(AN332&gt;=0.7,"🟡",IF(AN332&gt;=0.4,"🟠","🔴")))</f>
        <v/>
      </c>
      <c r="AP332" s="185">
        <f>L332-Z332</f>
        <v/>
      </c>
      <c r="AQ332" s="55">
        <f>RANK(Z332,$Z$4:$Z$503,0)</f>
        <v/>
      </c>
      <c r="AR332" s="39" t="inlineStr">
        <is>
          <t>.</t>
        </is>
      </c>
      <c r="AS332" s="27" t="n"/>
      <c r="AT332" s="27" t="n"/>
      <c r="AU332" s="27" t="n"/>
      <c r="AV332" s="27" t="n"/>
      <c r="AW332" s="27" t="n"/>
      <c r="AX332" s="27" t="n"/>
      <c r="AY332" s="204" t="n"/>
      <c r="AZ332" s="204" t="n"/>
      <c r="BA332" s="38" t="inlineStr">
        <is>
          <t>.</t>
        </is>
      </c>
      <c r="BB332" s="190">
        <f>SUM(BC332:BN332)</f>
        <v/>
      </c>
      <c r="BC332" s="191">
        <f>L332*0.0702730030</f>
        <v/>
      </c>
      <c r="BD332" s="191">
        <f>L332*0.0734327604</f>
        <v/>
      </c>
      <c r="BE332" s="191">
        <f>L332*0.0752022245</f>
        <v/>
      </c>
      <c r="BF332" s="191">
        <f>L332*0.0771612740</f>
        <v/>
      </c>
      <c r="BG332" s="191">
        <f>L332*0.0796890799</f>
        <v/>
      </c>
      <c r="BH332" s="191">
        <f>L332*0.0817745197</f>
        <v/>
      </c>
      <c r="BI332" s="191">
        <f>L332*0.0849342770</f>
        <v/>
      </c>
      <c r="BJ332" s="191">
        <f>L332*0.0870197169</f>
        <v/>
      </c>
      <c r="BK332" s="191">
        <f>L332*0.0889787664</f>
        <v/>
      </c>
      <c r="BL332" s="191">
        <f>L332*0.0911905966</f>
        <v/>
      </c>
      <c r="BM332" s="191">
        <f>L332*0.0935920121</f>
        <v/>
      </c>
      <c r="BN332" s="192">
        <f>L332*0.0967517695</f>
        <v/>
      </c>
      <c r="BO332" s="36" t="inlineStr">
        <is>
          <t>.</t>
        </is>
      </c>
      <c r="BP332" s="193">
        <f>SUM(BQ332:CB332)</f>
        <v/>
      </c>
      <c r="BQ332" s="191">
        <f>MAX(0,BC332-AA332)</f>
        <v/>
      </c>
      <c r="BR332" s="191">
        <f>MAX(0,BD332-AB332)</f>
        <v/>
      </c>
      <c r="BS332" s="191">
        <f>MAX(0,BE332-AC332)</f>
        <v/>
      </c>
      <c r="BT332" s="191">
        <f>MAX(0,BF332-AD332)</f>
        <v/>
      </c>
      <c r="BU332" s="191">
        <f>MAX(0,BG332-AE332)</f>
        <v/>
      </c>
      <c r="BV332" s="191">
        <f>MAX(0,BH332-AF332)</f>
        <v/>
      </c>
      <c r="BW332" s="191">
        <f>MAX(0,BI332-AG332)</f>
        <v/>
      </c>
      <c r="BX332" s="191">
        <f>MAX(0,BJ332-AH332)</f>
        <v/>
      </c>
      <c r="BY332" s="191">
        <f>MAX(0,BK332-AI332)</f>
        <v/>
      </c>
      <c r="BZ332" s="191">
        <f>MAX(0,BL332-AJ332)</f>
        <v/>
      </c>
      <c r="CA332" s="191">
        <f>MAX(0,BM332-AK332)</f>
        <v/>
      </c>
      <c r="CB332" s="192">
        <f>MAX(0,BN332-AL332)</f>
        <v/>
      </c>
    </row>
    <row r="333">
      <c r="A333" s="64" t="inlineStr">
        <is>
          <t>53191899000303</t>
        </is>
      </c>
      <c r="B333" s="57" t="inlineStr">
        <is>
          <t>MS NUTRICAO LTDA - ME</t>
        </is>
      </c>
      <c r="C333" s="57" t="inlineStr">
        <is>
          <t>FITLAND</t>
        </is>
      </c>
      <c r="D333" s="61" t="inlineStr">
        <is>
          <t>JULIO GADRET</t>
        </is>
      </c>
      <c r="E333" s="30" t="inlineStr">
        <is>
          <t>.</t>
        </is>
      </c>
      <c r="F333" s="63" t="n">
        <v>89</v>
      </c>
      <c r="G333" s="179" t="n">
        <v>0.298</v>
      </c>
      <c r="H333" s="57" t="inlineStr">
        <is>
          <t>🔴 VERMELHO</t>
        </is>
      </c>
      <c r="I333" s="57" t="inlineStr">
        <is>
          <t>POSITIVAÇÃO</t>
        </is>
      </c>
      <c r="J333" s="61" t="inlineStr">
        <is>
          <t>Aumentar frequência + Expandir base</t>
        </is>
      </c>
      <c r="K333" s="30" t="inlineStr">
        <is>
          <t>.</t>
        </is>
      </c>
      <c r="L333" s="180" t="n">
        <v>2975.1</v>
      </c>
      <c r="M333" s="181" t="n">
        <v>209.07</v>
      </c>
      <c r="N333" s="181" t="n">
        <v>218.47</v>
      </c>
      <c r="O333" s="181" t="n">
        <v>223.73</v>
      </c>
      <c r="P333" s="181" t="n">
        <v>229.56</v>
      </c>
      <c r="Q333" s="181" t="n">
        <v>237.08</v>
      </c>
      <c r="R333" s="181" t="n">
        <v>243.29</v>
      </c>
      <c r="S333" s="181" t="n">
        <v>252.69</v>
      </c>
      <c r="T333" s="181" t="n">
        <v>258.89</v>
      </c>
      <c r="U333" s="181" t="n">
        <v>264.72</v>
      </c>
      <c r="V333" s="181" t="n">
        <v>271.3</v>
      </c>
      <c r="W333" s="181" t="n">
        <v>278.45</v>
      </c>
      <c r="X333" s="182" t="n">
        <v>287.85</v>
      </c>
      <c r="Y333" s="183" t="inlineStr">
        <is>
          <t>.</t>
        </is>
      </c>
      <c r="Z333" s="184">
        <f>SUM(AA333:AL333)</f>
        <v/>
      </c>
      <c r="AA333" s="185" t="n">
        <v>0</v>
      </c>
      <c r="AB333" s="185" t="n">
        <v>0</v>
      </c>
      <c r="AC333" s="185" t="n">
        <v>0</v>
      </c>
      <c r="AD333" s="185" t="n">
        <v>0</v>
      </c>
      <c r="AE333" s="185" t="n">
        <v>0</v>
      </c>
      <c r="AF333" s="185" t="n">
        <v>1194.73</v>
      </c>
      <c r="AG333" s="185" t="n">
        <v>0</v>
      </c>
      <c r="AH333" s="185" t="n">
        <v>0</v>
      </c>
      <c r="AI333" s="185" t="n">
        <v>0</v>
      </c>
      <c r="AJ333" s="185" t="n">
        <v>0</v>
      </c>
      <c r="AK333" s="185" t="n">
        <v>0</v>
      </c>
      <c r="AL333" s="186" t="n">
        <v>0</v>
      </c>
      <c r="AM333" s="30" t="inlineStr">
        <is>
          <t>.</t>
        </is>
      </c>
      <c r="AN333" s="187">
        <f>IF(L333=0,0,Z333/L333)</f>
        <v/>
      </c>
      <c r="AO333" s="57">
        <f>IF(AN333&gt;=1,"🟢",IF(AN333&gt;=0.7,"🟡",IF(AN333&gt;=0.4,"🟠","🔴")))</f>
        <v/>
      </c>
      <c r="AP333" s="185">
        <f>L333-Z333</f>
        <v/>
      </c>
      <c r="AQ333" s="55">
        <f>RANK(Z333,$Z$4:$Z$503,0)</f>
        <v/>
      </c>
      <c r="AR333" s="39" t="inlineStr">
        <is>
          <t>.</t>
        </is>
      </c>
      <c r="AS333" s="27" t="n"/>
      <c r="AT333" s="27" t="n"/>
      <c r="AU333" s="27" t="n"/>
      <c r="AV333" s="27" t="n"/>
      <c r="AW333" s="27" t="n"/>
      <c r="AX333" s="27" t="n"/>
      <c r="AY333" s="204" t="n"/>
      <c r="AZ333" s="204" t="n"/>
      <c r="BA333" s="38" t="inlineStr">
        <is>
          <t>.</t>
        </is>
      </c>
      <c r="BB333" s="190">
        <f>SUM(BC333:BN333)</f>
        <v/>
      </c>
      <c r="BC333" s="191">
        <f>L333*0.0702730030</f>
        <v/>
      </c>
      <c r="BD333" s="191">
        <f>L333*0.0734327604</f>
        <v/>
      </c>
      <c r="BE333" s="191">
        <f>L333*0.0752022245</f>
        <v/>
      </c>
      <c r="BF333" s="191">
        <f>L333*0.0771612740</f>
        <v/>
      </c>
      <c r="BG333" s="191">
        <f>L333*0.0796890799</f>
        <v/>
      </c>
      <c r="BH333" s="191">
        <f>L333*0.0817745197</f>
        <v/>
      </c>
      <c r="BI333" s="191">
        <f>L333*0.0849342770</f>
        <v/>
      </c>
      <c r="BJ333" s="191">
        <f>L333*0.0870197169</f>
        <v/>
      </c>
      <c r="BK333" s="191">
        <f>L333*0.0889787664</f>
        <v/>
      </c>
      <c r="BL333" s="191">
        <f>L333*0.0911905966</f>
        <v/>
      </c>
      <c r="BM333" s="191">
        <f>L333*0.0935920121</f>
        <v/>
      </c>
      <c r="BN333" s="192">
        <f>L333*0.0967517695</f>
        <v/>
      </c>
      <c r="BO333" s="36" t="inlineStr">
        <is>
          <t>.</t>
        </is>
      </c>
      <c r="BP333" s="193">
        <f>SUM(BQ333:CB333)</f>
        <v/>
      </c>
      <c r="BQ333" s="191">
        <f>MAX(0,BC333-AA333)</f>
        <v/>
      </c>
      <c r="BR333" s="191">
        <f>MAX(0,BD333-AB333)</f>
        <v/>
      </c>
      <c r="BS333" s="191">
        <f>MAX(0,BE333-AC333)</f>
        <v/>
      </c>
      <c r="BT333" s="191">
        <f>MAX(0,BF333-AD333)</f>
        <v/>
      </c>
      <c r="BU333" s="191">
        <f>MAX(0,BG333-AE333)</f>
        <v/>
      </c>
      <c r="BV333" s="191">
        <f>MAX(0,BH333-AF333)</f>
        <v/>
      </c>
      <c r="BW333" s="191">
        <f>MAX(0,BI333-AG333)</f>
        <v/>
      </c>
      <c r="BX333" s="191">
        <f>MAX(0,BJ333-AH333)</f>
        <v/>
      </c>
      <c r="BY333" s="191">
        <f>MAX(0,BK333-AI333)</f>
        <v/>
      </c>
      <c r="BZ333" s="191">
        <f>MAX(0,BL333-AJ333)</f>
        <v/>
      </c>
      <c r="CA333" s="191">
        <f>MAX(0,BM333-AK333)</f>
        <v/>
      </c>
      <c r="CB333" s="192">
        <f>MAX(0,BN333-AL333)</f>
        <v/>
      </c>
    </row>
    <row r="334">
      <c r="A334" s="64" t="inlineStr">
        <is>
          <t>53773154000182</t>
        </is>
      </c>
      <c r="B334" s="57" t="inlineStr">
        <is>
          <t>PACHECO FIT NUTRICAO LTDA - ME</t>
        </is>
      </c>
      <c r="C334" s="57" t="inlineStr">
        <is>
          <t>SEM GRUPO</t>
        </is>
      </c>
      <c r="D334" s="61" t="inlineStr">
        <is>
          <t>HEMANUELE DITZEL (MANU)</t>
        </is>
      </c>
      <c r="E334" s="30" t="inlineStr">
        <is>
          <t>.</t>
        </is>
      </c>
      <c r="F334" s="63" t="inlineStr"/>
      <c r="G334" s="179" t="inlineStr"/>
      <c r="H334" s="57" t="inlineStr"/>
      <c r="I334" s="57" t="inlineStr"/>
      <c r="J334" s="61" t="inlineStr"/>
      <c r="K334" s="30" t="inlineStr">
        <is>
          <t>.</t>
        </is>
      </c>
      <c r="L334" s="180" t="n">
        <v>2975.1</v>
      </c>
      <c r="M334" s="181" t="n">
        <v>209.07</v>
      </c>
      <c r="N334" s="181" t="n">
        <v>218.47</v>
      </c>
      <c r="O334" s="181" t="n">
        <v>223.73</v>
      </c>
      <c r="P334" s="181" t="n">
        <v>229.56</v>
      </c>
      <c r="Q334" s="181" t="n">
        <v>237.08</v>
      </c>
      <c r="R334" s="181" t="n">
        <v>243.29</v>
      </c>
      <c r="S334" s="181" t="n">
        <v>252.69</v>
      </c>
      <c r="T334" s="181" t="n">
        <v>258.89</v>
      </c>
      <c r="U334" s="181" t="n">
        <v>264.72</v>
      </c>
      <c r="V334" s="181" t="n">
        <v>271.3</v>
      </c>
      <c r="W334" s="181" t="n">
        <v>278.45</v>
      </c>
      <c r="X334" s="182" t="n">
        <v>287.85</v>
      </c>
      <c r="Y334" s="183" t="inlineStr">
        <is>
          <t>.</t>
        </is>
      </c>
      <c r="Z334" s="184">
        <f>SUM(AA334:AL334)</f>
        <v/>
      </c>
      <c r="AA334" s="185" t="n">
        <v>0</v>
      </c>
      <c r="AB334" s="185" t="n">
        <v>0</v>
      </c>
      <c r="AC334" s="185" t="n">
        <v>0</v>
      </c>
      <c r="AD334" s="185" t="n">
        <v>0</v>
      </c>
      <c r="AE334" s="185" t="n">
        <v>0</v>
      </c>
      <c r="AF334" s="185" t="n">
        <v>1194.73</v>
      </c>
      <c r="AG334" s="185" t="n">
        <v>0</v>
      </c>
      <c r="AH334" s="185" t="n">
        <v>0</v>
      </c>
      <c r="AI334" s="185" t="n">
        <v>0</v>
      </c>
      <c r="AJ334" s="185" t="n">
        <v>0</v>
      </c>
      <c r="AK334" s="185" t="n">
        <v>0</v>
      </c>
      <c r="AL334" s="186" t="n">
        <v>0</v>
      </c>
      <c r="AM334" s="30" t="inlineStr">
        <is>
          <t>.</t>
        </is>
      </c>
      <c r="AN334" s="187">
        <f>IF(L334=0,0,Z334/L334)</f>
        <v/>
      </c>
      <c r="AO334" s="57">
        <f>IF(AN334&gt;=1,"🟢",IF(AN334&gt;=0.7,"🟡",IF(AN334&gt;=0.4,"🟠","🔴")))</f>
        <v/>
      </c>
      <c r="AP334" s="185">
        <f>L334-Z334</f>
        <v/>
      </c>
      <c r="AQ334" s="55">
        <f>RANK(Z334,$Z$4:$Z$503,0)</f>
        <v/>
      </c>
      <c r="AR334" s="39" t="inlineStr">
        <is>
          <t>.</t>
        </is>
      </c>
      <c r="AS334" s="27" t="n"/>
      <c r="AT334" s="27" t="n"/>
      <c r="AU334" s="27" t="n"/>
      <c r="AV334" s="27" t="n"/>
      <c r="AW334" s="27" t="n"/>
      <c r="AX334" s="27" t="n"/>
      <c r="AY334" s="204" t="n"/>
      <c r="AZ334" s="204" t="n"/>
      <c r="BA334" s="38" t="inlineStr">
        <is>
          <t>.</t>
        </is>
      </c>
      <c r="BB334" s="190">
        <f>SUM(BC334:BN334)</f>
        <v/>
      </c>
      <c r="BC334" s="191">
        <f>L334*0.0702730030</f>
        <v/>
      </c>
      <c r="BD334" s="191">
        <f>L334*0.0734327604</f>
        <v/>
      </c>
      <c r="BE334" s="191">
        <f>L334*0.0752022245</f>
        <v/>
      </c>
      <c r="BF334" s="191">
        <f>L334*0.0771612740</f>
        <v/>
      </c>
      <c r="BG334" s="191">
        <f>L334*0.0796890799</f>
        <v/>
      </c>
      <c r="BH334" s="191">
        <f>L334*0.0817745197</f>
        <v/>
      </c>
      <c r="BI334" s="191">
        <f>L334*0.0849342770</f>
        <v/>
      </c>
      <c r="BJ334" s="191">
        <f>L334*0.0870197169</f>
        <v/>
      </c>
      <c r="BK334" s="191">
        <f>L334*0.0889787664</f>
        <v/>
      </c>
      <c r="BL334" s="191">
        <f>L334*0.0911905966</f>
        <v/>
      </c>
      <c r="BM334" s="191">
        <f>L334*0.0935920121</f>
        <v/>
      </c>
      <c r="BN334" s="192">
        <f>L334*0.0967517695</f>
        <v/>
      </c>
      <c r="BO334" s="36" t="inlineStr">
        <is>
          <t>.</t>
        </is>
      </c>
      <c r="BP334" s="193">
        <f>SUM(BQ334:CB334)</f>
        <v/>
      </c>
      <c r="BQ334" s="191">
        <f>MAX(0,BC334-AA334)</f>
        <v/>
      </c>
      <c r="BR334" s="191">
        <f>MAX(0,BD334-AB334)</f>
        <v/>
      </c>
      <c r="BS334" s="191">
        <f>MAX(0,BE334-AC334)</f>
        <v/>
      </c>
      <c r="BT334" s="191">
        <f>MAX(0,BF334-AD334)</f>
        <v/>
      </c>
      <c r="BU334" s="191">
        <f>MAX(0,BG334-AE334)</f>
        <v/>
      </c>
      <c r="BV334" s="191">
        <f>MAX(0,BH334-AF334)</f>
        <v/>
      </c>
      <c r="BW334" s="191">
        <f>MAX(0,BI334-AG334)</f>
        <v/>
      </c>
      <c r="BX334" s="191">
        <f>MAX(0,BJ334-AH334)</f>
        <v/>
      </c>
      <c r="BY334" s="191">
        <f>MAX(0,BK334-AI334)</f>
        <v/>
      </c>
      <c r="BZ334" s="191">
        <f>MAX(0,BL334-AJ334)</f>
        <v/>
      </c>
      <c r="CA334" s="191">
        <f>MAX(0,BM334-AK334)</f>
        <v/>
      </c>
      <c r="CB334" s="192">
        <f>MAX(0,BN334-AL334)</f>
        <v/>
      </c>
    </row>
    <row r="335">
      <c r="A335" s="64" t="inlineStr">
        <is>
          <t>53192289000235</t>
        </is>
      </c>
      <c r="B335" s="57" t="inlineStr">
        <is>
          <t>AR NUTRICAO LTDA - ME</t>
        </is>
      </c>
      <c r="C335" s="57" t="inlineStr">
        <is>
          <t>SEM GRUPO</t>
        </is>
      </c>
      <c r="D335" s="61" t="inlineStr">
        <is>
          <t>HEMANUELE DITZEL (MANU)</t>
        </is>
      </c>
      <c r="E335" s="30" t="inlineStr">
        <is>
          <t>.</t>
        </is>
      </c>
      <c r="F335" s="63" t="inlineStr"/>
      <c r="G335" s="179" t="inlineStr"/>
      <c r="H335" s="57" t="inlineStr"/>
      <c r="I335" s="57" t="inlineStr"/>
      <c r="J335" s="61" t="inlineStr"/>
      <c r="K335" s="30" t="inlineStr">
        <is>
          <t>.</t>
        </is>
      </c>
      <c r="L335" s="180" t="n">
        <v>2975.1</v>
      </c>
      <c r="M335" s="181" t="n">
        <v>209.07</v>
      </c>
      <c r="N335" s="181" t="n">
        <v>218.47</v>
      </c>
      <c r="O335" s="181" t="n">
        <v>223.73</v>
      </c>
      <c r="P335" s="181" t="n">
        <v>229.56</v>
      </c>
      <c r="Q335" s="181" t="n">
        <v>237.08</v>
      </c>
      <c r="R335" s="181" t="n">
        <v>243.29</v>
      </c>
      <c r="S335" s="181" t="n">
        <v>252.69</v>
      </c>
      <c r="T335" s="181" t="n">
        <v>258.89</v>
      </c>
      <c r="U335" s="181" t="n">
        <v>264.72</v>
      </c>
      <c r="V335" s="181" t="n">
        <v>271.3</v>
      </c>
      <c r="W335" s="181" t="n">
        <v>278.45</v>
      </c>
      <c r="X335" s="182" t="n">
        <v>287.85</v>
      </c>
      <c r="Y335" s="183" t="inlineStr">
        <is>
          <t>.</t>
        </is>
      </c>
      <c r="Z335" s="184">
        <f>SUM(AA335:AL335)</f>
        <v/>
      </c>
      <c r="AA335" s="185" t="n">
        <v>0</v>
      </c>
      <c r="AB335" s="185" t="n">
        <v>0</v>
      </c>
      <c r="AC335" s="185" t="n">
        <v>0</v>
      </c>
      <c r="AD335" s="185" t="n">
        <v>0</v>
      </c>
      <c r="AE335" s="185" t="n">
        <v>0</v>
      </c>
      <c r="AF335" s="185" t="n">
        <v>1194.73</v>
      </c>
      <c r="AG335" s="185" t="n">
        <v>0</v>
      </c>
      <c r="AH335" s="185" t="n">
        <v>0</v>
      </c>
      <c r="AI335" s="185" t="n">
        <v>0</v>
      </c>
      <c r="AJ335" s="185" t="n">
        <v>0</v>
      </c>
      <c r="AK335" s="185" t="n">
        <v>0</v>
      </c>
      <c r="AL335" s="186" t="n">
        <v>0</v>
      </c>
      <c r="AM335" s="30" t="inlineStr">
        <is>
          <t>.</t>
        </is>
      </c>
      <c r="AN335" s="187">
        <f>IF(L335=0,0,Z335/L335)</f>
        <v/>
      </c>
      <c r="AO335" s="57">
        <f>IF(AN335&gt;=1,"🟢",IF(AN335&gt;=0.7,"🟡",IF(AN335&gt;=0.4,"🟠","🔴")))</f>
        <v/>
      </c>
      <c r="AP335" s="185">
        <f>L335-Z335</f>
        <v/>
      </c>
      <c r="AQ335" s="55">
        <f>RANK(Z335,$Z$4:$Z$503,0)</f>
        <v/>
      </c>
      <c r="AR335" s="39" t="inlineStr">
        <is>
          <t>.</t>
        </is>
      </c>
      <c r="AS335" s="27" t="n"/>
      <c r="AT335" s="27" t="n"/>
      <c r="AU335" s="27" t="n"/>
      <c r="AV335" s="27" t="n"/>
      <c r="AW335" s="27" t="n"/>
      <c r="AX335" s="27" t="n"/>
      <c r="AY335" s="204" t="n"/>
      <c r="AZ335" s="204" t="n"/>
      <c r="BA335" s="38" t="inlineStr">
        <is>
          <t>.</t>
        </is>
      </c>
      <c r="BB335" s="190">
        <f>SUM(BC335:BN335)</f>
        <v/>
      </c>
      <c r="BC335" s="191">
        <f>L335*0.0702730030</f>
        <v/>
      </c>
      <c r="BD335" s="191">
        <f>L335*0.0734327604</f>
        <v/>
      </c>
      <c r="BE335" s="191">
        <f>L335*0.0752022245</f>
        <v/>
      </c>
      <c r="BF335" s="191">
        <f>L335*0.0771612740</f>
        <v/>
      </c>
      <c r="BG335" s="191">
        <f>L335*0.0796890799</f>
        <v/>
      </c>
      <c r="BH335" s="191">
        <f>L335*0.0817745197</f>
        <v/>
      </c>
      <c r="BI335" s="191">
        <f>L335*0.0849342770</f>
        <v/>
      </c>
      <c r="BJ335" s="191">
        <f>L335*0.0870197169</f>
        <v/>
      </c>
      <c r="BK335" s="191">
        <f>L335*0.0889787664</f>
        <v/>
      </c>
      <c r="BL335" s="191">
        <f>L335*0.0911905966</f>
        <v/>
      </c>
      <c r="BM335" s="191">
        <f>L335*0.0935920121</f>
        <v/>
      </c>
      <c r="BN335" s="192">
        <f>L335*0.0967517695</f>
        <v/>
      </c>
      <c r="BO335" s="36" t="inlineStr">
        <is>
          <t>.</t>
        </is>
      </c>
      <c r="BP335" s="193">
        <f>SUM(BQ335:CB335)</f>
        <v/>
      </c>
      <c r="BQ335" s="191">
        <f>MAX(0,BC335-AA335)</f>
        <v/>
      </c>
      <c r="BR335" s="191">
        <f>MAX(0,BD335-AB335)</f>
        <v/>
      </c>
      <c r="BS335" s="191">
        <f>MAX(0,BE335-AC335)</f>
        <v/>
      </c>
      <c r="BT335" s="191">
        <f>MAX(0,BF335-AD335)</f>
        <v/>
      </c>
      <c r="BU335" s="191">
        <f>MAX(0,BG335-AE335)</f>
        <v/>
      </c>
      <c r="BV335" s="191">
        <f>MAX(0,BH335-AF335)</f>
        <v/>
      </c>
      <c r="BW335" s="191">
        <f>MAX(0,BI335-AG335)</f>
        <v/>
      </c>
      <c r="BX335" s="191">
        <f>MAX(0,BJ335-AH335)</f>
        <v/>
      </c>
      <c r="BY335" s="191">
        <f>MAX(0,BK335-AI335)</f>
        <v/>
      </c>
      <c r="BZ335" s="191">
        <f>MAX(0,BL335-AJ335)</f>
        <v/>
      </c>
      <c r="CA335" s="191">
        <f>MAX(0,BM335-AK335)</f>
        <v/>
      </c>
      <c r="CB335" s="192">
        <f>MAX(0,BN335-AL335)</f>
        <v/>
      </c>
    </row>
    <row r="336">
      <c r="A336" s="64" t="inlineStr">
        <is>
          <t>53357667000102</t>
        </is>
      </c>
      <c r="B336" s="57" t="inlineStr">
        <is>
          <t>ROCHA NUTRICAO LTDA - ME</t>
        </is>
      </c>
      <c r="C336" s="57" t="inlineStr">
        <is>
          <t>FITLAND</t>
        </is>
      </c>
      <c r="D336" s="61" t="inlineStr">
        <is>
          <t>JULIO GADRET</t>
        </is>
      </c>
      <c r="E336" s="30" t="inlineStr">
        <is>
          <t>.</t>
        </is>
      </c>
      <c r="F336" s="63" t="n">
        <v>89</v>
      </c>
      <c r="G336" s="179" t="n">
        <v>0.298</v>
      </c>
      <c r="H336" s="57" t="inlineStr">
        <is>
          <t>🔴 VERMELHO</t>
        </is>
      </c>
      <c r="I336" s="57" t="inlineStr">
        <is>
          <t>POSITIVAÇÃO</t>
        </is>
      </c>
      <c r="J336" s="61" t="inlineStr">
        <is>
          <t>Aumentar frequência + Expandir base</t>
        </is>
      </c>
      <c r="K336" s="30" t="inlineStr">
        <is>
          <t>.</t>
        </is>
      </c>
      <c r="L336" s="180" t="n">
        <v>2975.1</v>
      </c>
      <c r="M336" s="181" t="n">
        <v>209.07</v>
      </c>
      <c r="N336" s="181" t="n">
        <v>218.47</v>
      </c>
      <c r="O336" s="181" t="n">
        <v>223.73</v>
      </c>
      <c r="P336" s="181" t="n">
        <v>229.56</v>
      </c>
      <c r="Q336" s="181" t="n">
        <v>237.08</v>
      </c>
      <c r="R336" s="181" t="n">
        <v>243.29</v>
      </c>
      <c r="S336" s="181" t="n">
        <v>252.69</v>
      </c>
      <c r="T336" s="181" t="n">
        <v>258.89</v>
      </c>
      <c r="U336" s="181" t="n">
        <v>264.72</v>
      </c>
      <c r="V336" s="181" t="n">
        <v>271.3</v>
      </c>
      <c r="W336" s="181" t="n">
        <v>278.45</v>
      </c>
      <c r="X336" s="182" t="n">
        <v>287.85</v>
      </c>
      <c r="Y336" s="183" t="inlineStr">
        <is>
          <t>.</t>
        </is>
      </c>
      <c r="Z336" s="184">
        <f>SUM(AA336:AL336)</f>
        <v/>
      </c>
      <c r="AA336" s="185" t="n">
        <v>0</v>
      </c>
      <c r="AB336" s="185" t="n">
        <v>0</v>
      </c>
      <c r="AC336" s="185" t="n">
        <v>0</v>
      </c>
      <c r="AD336" s="185" t="n">
        <v>0</v>
      </c>
      <c r="AE336" s="185" t="n">
        <v>0</v>
      </c>
      <c r="AF336" s="185" t="n">
        <v>1194.73</v>
      </c>
      <c r="AG336" s="185" t="n">
        <v>0</v>
      </c>
      <c r="AH336" s="185" t="n">
        <v>0</v>
      </c>
      <c r="AI336" s="185" t="n">
        <v>0</v>
      </c>
      <c r="AJ336" s="185" t="n">
        <v>0</v>
      </c>
      <c r="AK336" s="185" t="n">
        <v>0</v>
      </c>
      <c r="AL336" s="186" t="n">
        <v>0</v>
      </c>
      <c r="AM336" s="30" t="inlineStr">
        <is>
          <t>.</t>
        </is>
      </c>
      <c r="AN336" s="187">
        <f>IF(L336=0,0,Z336/L336)</f>
        <v/>
      </c>
      <c r="AO336" s="57">
        <f>IF(AN336&gt;=1,"🟢",IF(AN336&gt;=0.7,"🟡",IF(AN336&gt;=0.4,"🟠","🔴")))</f>
        <v/>
      </c>
      <c r="AP336" s="185">
        <f>L336-Z336</f>
        <v/>
      </c>
      <c r="AQ336" s="55">
        <f>RANK(Z336,$Z$4:$Z$503,0)</f>
        <v/>
      </c>
      <c r="AR336" s="39" t="inlineStr">
        <is>
          <t>.</t>
        </is>
      </c>
      <c r="AS336" s="27" t="n"/>
      <c r="AT336" s="27" t="n"/>
      <c r="AU336" s="27" t="n"/>
      <c r="AV336" s="27" t="n"/>
      <c r="AW336" s="27" t="n"/>
      <c r="AX336" s="27" t="n"/>
      <c r="AY336" s="204" t="n"/>
      <c r="AZ336" s="204" t="n"/>
      <c r="BA336" s="38" t="inlineStr">
        <is>
          <t>.</t>
        </is>
      </c>
      <c r="BB336" s="190">
        <f>SUM(BC336:BN336)</f>
        <v/>
      </c>
      <c r="BC336" s="191">
        <f>L336*0.0702730030</f>
        <v/>
      </c>
      <c r="BD336" s="191">
        <f>L336*0.0734327604</f>
        <v/>
      </c>
      <c r="BE336" s="191">
        <f>L336*0.0752022245</f>
        <v/>
      </c>
      <c r="BF336" s="191">
        <f>L336*0.0771612740</f>
        <v/>
      </c>
      <c r="BG336" s="191">
        <f>L336*0.0796890799</f>
        <v/>
      </c>
      <c r="BH336" s="191">
        <f>L336*0.0817745197</f>
        <v/>
      </c>
      <c r="BI336" s="191">
        <f>L336*0.0849342770</f>
        <v/>
      </c>
      <c r="BJ336" s="191">
        <f>L336*0.0870197169</f>
        <v/>
      </c>
      <c r="BK336" s="191">
        <f>L336*0.0889787664</f>
        <v/>
      </c>
      <c r="BL336" s="191">
        <f>L336*0.0911905966</f>
        <v/>
      </c>
      <c r="BM336" s="191">
        <f>L336*0.0935920121</f>
        <v/>
      </c>
      <c r="BN336" s="192">
        <f>L336*0.0967517695</f>
        <v/>
      </c>
      <c r="BO336" s="36" t="inlineStr">
        <is>
          <t>.</t>
        </is>
      </c>
      <c r="BP336" s="193">
        <f>SUM(BQ336:CB336)</f>
        <v/>
      </c>
      <c r="BQ336" s="191">
        <f>MAX(0,BC336-AA336)</f>
        <v/>
      </c>
      <c r="BR336" s="191">
        <f>MAX(0,BD336-AB336)</f>
        <v/>
      </c>
      <c r="BS336" s="191">
        <f>MAX(0,BE336-AC336)</f>
        <v/>
      </c>
      <c r="BT336" s="191">
        <f>MAX(0,BF336-AD336)</f>
        <v/>
      </c>
      <c r="BU336" s="191">
        <f>MAX(0,BG336-AE336)</f>
        <v/>
      </c>
      <c r="BV336" s="191">
        <f>MAX(0,BH336-AF336)</f>
        <v/>
      </c>
      <c r="BW336" s="191">
        <f>MAX(0,BI336-AG336)</f>
        <v/>
      </c>
      <c r="BX336" s="191">
        <f>MAX(0,BJ336-AH336)</f>
        <v/>
      </c>
      <c r="BY336" s="191">
        <f>MAX(0,BK336-AI336)</f>
        <v/>
      </c>
      <c r="BZ336" s="191">
        <f>MAX(0,BL336-AJ336)</f>
        <v/>
      </c>
      <c r="CA336" s="191">
        <f>MAX(0,BM336-AK336)</f>
        <v/>
      </c>
      <c r="CB336" s="192">
        <f>MAX(0,BN336-AL336)</f>
        <v/>
      </c>
    </row>
    <row r="337">
      <c r="A337" s="64" t="inlineStr">
        <is>
          <t>53266705000111</t>
        </is>
      </c>
      <c r="B337" s="57" t="inlineStr">
        <is>
          <t>DS NUTRICAO LTDA - ME</t>
        </is>
      </c>
      <c r="C337" s="57" t="inlineStr">
        <is>
          <t>FITLAND</t>
        </is>
      </c>
      <c r="D337" s="61" t="inlineStr">
        <is>
          <t>JULIO GADRET</t>
        </is>
      </c>
      <c r="E337" s="30" t="inlineStr">
        <is>
          <t>.</t>
        </is>
      </c>
      <c r="F337" s="63" t="n">
        <v>89</v>
      </c>
      <c r="G337" s="179" t="n">
        <v>0.298</v>
      </c>
      <c r="H337" s="57" t="inlineStr">
        <is>
          <t>🔴 VERMELHO</t>
        </is>
      </c>
      <c r="I337" s="57" t="inlineStr">
        <is>
          <t>POSITIVAÇÃO</t>
        </is>
      </c>
      <c r="J337" s="61" t="inlineStr">
        <is>
          <t>Aumentar frequência + Expandir base</t>
        </is>
      </c>
      <c r="K337" s="30" t="inlineStr">
        <is>
          <t>.</t>
        </is>
      </c>
      <c r="L337" s="180" t="n">
        <v>2975.1</v>
      </c>
      <c r="M337" s="181" t="n">
        <v>209.07</v>
      </c>
      <c r="N337" s="181" t="n">
        <v>218.47</v>
      </c>
      <c r="O337" s="181" t="n">
        <v>223.73</v>
      </c>
      <c r="P337" s="181" t="n">
        <v>229.56</v>
      </c>
      <c r="Q337" s="181" t="n">
        <v>237.08</v>
      </c>
      <c r="R337" s="181" t="n">
        <v>243.29</v>
      </c>
      <c r="S337" s="181" t="n">
        <v>252.69</v>
      </c>
      <c r="T337" s="181" t="n">
        <v>258.89</v>
      </c>
      <c r="U337" s="181" t="n">
        <v>264.72</v>
      </c>
      <c r="V337" s="181" t="n">
        <v>271.3</v>
      </c>
      <c r="W337" s="181" t="n">
        <v>278.45</v>
      </c>
      <c r="X337" s="182" t="n">
        <v>287.85</v>
      </c>
      <c r="Y337" s="183" t="inlineStr">
        <is>
          <t>.</t>
        </is>
      </c>
      <c r="Z337" s="184">
        <f>SUM(AA337:AL337)</f>
        <v/>
      </c>
      <c r="AA337" s="185" t="n">
        <v>0</v>
      </c>
      <c r="AB337" s="185" t="n">
        <v>0</v>
      </c>
      <c r="AC337" s="185" t="n">
        <v>0</v>
      </c>
      <c r="AD337" s="185" t="n">
        <v>0</v>
      </c>
      <c r="AE337" s="185" t="n">
        <v>0</v>
      </c>
      <c r="AF337" s="185" t="n">
        <v>1194.73</v>
      </c>
      <c r="AG337" s="185" t="n">
        <v>0</v>
      </c>
      <c r="AH337" s="185" t="n">
        <v>0</v>
      </c>
      <c r="AI337" s="185" t="n">
        <v>0</v>
      </c>
      <c r="AJ337" s="185" t="n">
        <v>0</v>
      </c>
      <c r="AK337" s="185" t="n">
        <v>0</v>
      </c>
      <c r="AL337" s="186" t="n">
        <v>0</v>
      </c>
      <c r="AM337" s="30" t="inlineStr">
        <is>
          <t>.</t>
        </is>
      </c>
      <c r="AN337" s="187">
        <f>IF(L337=0,0,Z337/L337)</f>
        <v/>
      </c>
      <c r="AO337" s="57">
        <f>IF(AN337&gt;=1,"🟢",IF(AN337&gt;=0.7,"🟡",IF(AN337&gt;=0.4,"🟠","🔴")))</f>
        <v/>
      </c>
      <c r="AP337" s="185">
        <f>L337-Z337</f>
        <v/>
      </c>
      <c r="AQ337" s="55">
        <f>RANK(Z337,$Z$4:$Z$503,0)</f>
        <v/>
      </c>
      <c r="AR337" s="39" t="inlineStr">
        <is>
          <t>.</t>
        </is>
      </c>
      <c r="AS337" s="27" t="n"/>
      <c r="AT337" s="27" t="n"/>
      <c r="AU337" s="27" t="n"/>
      <c r="AV337" s="27" t="n"/>
      <c r="AW337" s="27" t="n"/>
      <c r="AX337" s="27" t="n"/>
      <c r="AY337" s="204" t="n"/>
      <c r="AZ337" s="204" t="n"/>
      <c r="BA337" s="38" t="inlineStr">
        <is>
          <t>.</t>
        </is>
      </c>
      <c r="BB337" s="190">
        <f>SUM(BC337:BN337)</f>
        <v/>
      </c>
      <c r="BC337" s="191">
        <f>L337*0.0702730030</f>
        <v/>
      </c>
      <c r="BD337" s="191">
        <f>L337*0.0734327604</f>
        <v/>
      </c>
      <c r="BE337" s="191">
        <f>L337*0.0752022245</f>
        <v/>
      </c>
      <c r="BF337" s="191">
        <f>L337*0.0771612740</f>
        <v/>
      </c>
      <c r="BG337" s="191">
        <f>L337*0.0796890799</f>
        <v/>
      </c>
      <c r="BH337" s="191">
        <f>L337*0.0817745197</f>
        <v/>
      </c>
      <c r="BI337" s="191">
        <f>L337*0.0849342770</f>
        <v/>
      </c>
      <c r="BJ337" s="191">
        <f>L337*0.0870197169</f>
        <v/>
      </c>
      <c r="BK337" s="191">
        <f>L337*0.0889787664</f>
        <v/>
      </c>
      <c r="BL337" s="191">
        <f>L337*0.0911905966</f>
        <v/>
      </c>
      <c r="BM337" s="191">
        <f>L337*0.0935920121</f>
        <v/>
      </c>
      <c r="BN337" s="192">
        <f>L337*0.0967517695</f>
        <v/>
      </c>
      <c r="BO337" s="36" t="inlineStr">
        <is>
          <t>.</t>
        </is>
      </c>
      <c r="BP337" s="193">
        <f>SUM(BQ337:CB337)</f>
        <v/>
      </c>
      <c r="BQ337" s="191">
        <f>MAX(0,BC337-AA337)</f>
        <v/>
      </c>
      <c r="BR337" s="191">
        <f>MAX(0,BD337-AB337)</f>
        <v/>
      </c>
      <c r="BS337" s="191">
        <f>MAX(0,BE337-AC337)</f>
        <v/>
      </c>
      <c r="BT337" s="191">
        <f>MAX(0,BF337-AD337)</f>
        <v/>
      </c>
      <c r="BU337" s="191">
        <f>MAX(0,BG337-AE337)</f>
        <v/>
      </c>
      <c r="BV337" s="191">
        <f>MAX(0,BH337-AF337)</f>
        <v/>
      </c>
      <c r="BW337" s="191">
        <f>MAX(0,BI337-AG337)</f>
        <v/>
      </c>
      <c r="BX337" s="191">
        <f>MAX(0,BJ337-AH337)</f>
        <v/>
      </c>
      <c r="BY337" s="191">
        <f>MAX(0,BK337-AI337)</f>
        <v/>
      </c>
      <c r="BZ337" s="191">
        <f>MAX(0,BL337-AJ337)</f>
        <v/>
      </c>
      <c r="CA337" s="191">
        <f>MAX(0,BM337-AK337)</f>
        <v/>
      </c>
      <c r="CB337" s="192">
        <f>MAX(0,BN337-AL337)</f>
        <v/>
      </c>
    </row>
    <row r="338">
      <c r="A338" s="64" t="inlineStr">
        <is>
          <t>21437528000100</t>
        </is>
      </c>
      <c r="B338" s="57" t="inlineStr">
        <is>
          <t>PIOVESAN COM PRODUTOS NATURAIS - EPP</t>
        </is>
      </c>
      <c r="C338" s="57" t="inlineStr">
        <is>
          <t>SEM GRUPO</t>
        </is>
      </c>
      <c r="D338" s="61" t="inlineStr">
        <is>
          <t>HEMANUELE DITZEL (MANU)</t>
        </is>
      </c>
      <c r="E338" s="30" t="inlineStr">
        <is>
          <t>.</t>
        </is>
      </c>
      <c r="F338" s="63" t="inlineStr"/>
      <c r="G338" s="179" t="inlineStr"/>
      <c r="H338" s="57" t="inlineStr"/>
      <c r="I338" s="57" t="inlineStr"/>
      <c r="J338" s="61" t="inlineStr"/>
      <c r="K338" s="30" t="inlineStr">
        <is>
          <t>.</t>
        </is>
      </c>
      <c r="L338" s="180" t="n">
        <v>2960.84</v>
      </c>
      <c r="M338" s="181" t="n">
        <v>208.07</v>
      </c>
      <c r="N338" s="181" t="n">
        <v>217.42</v>
      </c>
      <c r="O338" s="181" t="n">
        <v>222.66</v>
      </c>
      <c r="P338" s="181" t="n">
        <v>228.46</v>
      </c>
      <c r="Q338" s="181" t="n">
        <v>235.95</v>
      </c>
      <c r="R338" s="181" t="n">
        <v>242.12</v>
      </c>
      <c r="S338" s="181" t="n">
        <v>251.48</v>
      </c>
      <c r="T338" s="181" t="n">
        <v>257.65</v>
      </c>
      <c r="U338" s="181" t="n">
        <v>263.45</v>
      </c>
      <c r="V338" s="181" t="n">
        <v>270</v>
      </c>
      <c r="W338" s="181" t="n">
        <v>277.11</v>
      </c>
      <c r="X338" s="182" t="n">
        <v>286.47</v>
      </c>
      <c r="Y338" s="183" t="inlineStr">
        <is>
          <t>.</t>
        </is>
      </c>
      <c r="Z338" s="184">
        <f>SUM(AA338:AL338)</f>
        <v/>
      </c>
      <c r="AA338" s="185" t="n">
        <v>0</v>
      </c>
      <c r="AB338" s="185" t="n">
        <v>0</v>
      </c>
      <c r="AC338" s="185" t="n">
        <v>0</v>
      </c>
      <c r="AD338" s="185" t="n">
        <v>0</v>
      </c>
      <c r="AE338" s="185" t="n">
        <v>0</v>
      </c>
      <c r="AF338" s="185" t="n">
        <v>0</v>
      </c>
      <c r="AG338" s="185" t="n">
        <v>0</v>
      </c>
      <c r="AH338" s="185" t="n">
        <v>1247.61</v>
      </c>
      <c r="AI338" s="185" t="n">
        <v>0</v>
      </c>
      <c r="AJ338" s="185" t="n">
        <v>0</v>
      </c>
      <c r="AK338" s="185" t="n">
        <v>0</v>
      </c>
      <c r="AL338" s="186" t="n">
        <v>0</v>
      </c>
      <c r="AM338" s="30" t="inlineStr">
        <is>
          <t>.</t>
        </is>
      </c>
      <c r="AN338" s="187">
        <f>IF(L338=0,0,Z338/L338)</f>
        <v/>
      </c>
      <c r="AO338" s="57">
        <f>IF(AN338&gt;=1,"🟢",IF(AN338&gt;=0.7,"🟡",IF(AN338&gt;=0.4,"🟠","🔴")))</f>
        <v/>
      </c>
      <c r="AP338" s="185">
        <f>L338-Z338</f>
        <v/>
      </c>
      <c r="AQ338" s="55">
        <f>RANK(Z338,$Z$4:$Z$503,0)</f>
        <v/>
      </c>
      <c r="AR338" s="39" t="inlineStr">
        <is>
          <t>.</t>
        </is>
      </c>
      <c r="AS338" s="27" t="n"/>
      <c r="AT338" s="27" t="n"/>
      <c r="AU338" s="27" t="n"/>
      <c r="AV338" s="27" t="n"/>
      <c r="AW338" s="27" t="n"/>
      <c r="AX338" s="27" t="n"/>
      <c r="AY338" s="204" t="n"/>
      <c r="AZ338" s="204" t="n"/>
      <c r="BA338" s="38" t="inlineStr">
        <is>
          <t>.</t>
        </is>
      </c>
      <c r="BB338" s="190">
        <f>SUM(BC338:BN338)</f>
        <v/>
      </c>
      <c r="BC338" s="191">
        <f>L338*0.0702730030</f>
        <v/>
      </c>
      <c r="BD338" s="191">
        <f>L338*0.0734327604</f>
        <v/>
      </c>
      <c r="BE338" s="191">
        <f>L338*0.0752022245</f>
        <v/>
      </c>
      <c r="BF338" s="191">
        <f>L338*0.0771612740</f>
        <v/>
      </c>
      <c r="BG338" s="191">
        <f>L338*0.0796890799</f>
        <v/>
      </c>
      <c r="BH338" s="191">
        <f>L338*0.0817745197</f>
        <v/>
      </c>
      <c r="BI338" s="191">
        <f>L338*0.0849342770</f>
        <v/>
      </c>
      <c r="BJ338" s="191">
        <f>L338*0.0870197169</f>
        <v/>
      </c>
      <c r="BK338" s="191">
        <f>L338*0.0889787664</f>
        <v/>
      </c>
      <c r="BL338" s="191">
        <f>L338*0.0911905966</f>
        <v/>
      </c>
      <c r="BM338" s="191">
        <f>L338*0.0935920121</f>
        <v/>
      </c>
      <c r="BN338" s="192">
        <f>L338*0.0967517695</f>
        <v/>
      </c>
      <c r="BO338" s="36" t="inlineStr">
        <is>
          <t>.</t>
        </is>
      </c>
      <c r="BP338" s="193">
        <f>SUM(BQ338:CB338)</f>
        <v/>
      </c>
      <c r="BQ338" s="191">
        <f>MAX(0,BC338-AA338)</f>
        <v/>
      </c>
      <c r="BR338" s="191">
        <f>MAX(0,BD338-AB338)</f>
        <v/>
      </c>
      <c r="BS338" s="191">
        <f>MAX(0,BE338-AC338)</f>
        <v/>
      </c>
      <c r="BT338" s="191">
        <f>MAX(0,BF338-AD338)</f>
        <v/>
      </c>
      <c r="BU338" s="191">
        <f>MAX(0,BG338-AE338)</f>
        <v/>
      </c>
      <c r="BV338" s="191">
        <f>MAX(0,BH338-AF338)</f>
        <v/>
      </c>
      <c r="BW338" s="191">
        <f>MAX(0,BI338-AG338)</f>
        <v/>
      </c>
      <c r="BX338" s="191">
        <f>MAX(0,BJ338-AH338)</f>
        <v/>
      </c>
      <c r="BY338" s="191">
        <f>MAX(0,BK338-AI338)</f>
        <v/>
      </c>
      <c r="BZ338" s="191">
        <f>MAX(0,BL338-AJ338)</f>
        <v/>
      </c>
      <c r="CA338" s="191">
        <f>MAX(0,BM338-AK338)</f>
        <v/>
      </c>
      <c r="CB338" s="192">
        <f>MAX(0,BN338-AL338)</f>
        <v/>
      </c>
    </row>
    <row r="339">
      <c r="A339" s="64" t="inlineStr">
        <is>
          <t>29402498000109</t>
        </is>
      </c>
      <c r="B339" s="57" t="inlineStr">
        <is>
          <t>WANDER DE PAIVA SILVEIRA - ME</t>
        </is>
      </c>
      <c r="C339" s="57" t="inlineStr">
        <is>
          <t>SEM GRUPO</t>
        </is>
      </c>
      <c r="D339" s="61" t="inlineStr">
        <is>
          <t>LARISSA PADILHA</t>
        </is>
      </c>
      <c r="E339" s="30" t="inlineStr">
        <is>
          <t>.</t>
        </is>
      </c>
      <c r="F339" s="63" t="inlineStr"/>
      <c r="G339" s="179" t="inlineStr"/>
      <c r="H339" s="57" t="inlineStr"/>
      <c r="I339" s="57" t="inlineStr"/>
      <c r="J339" s="61" t="inlineStr"/>
      <c r="K339" s="30" t="inlineStr">
        <is>
          <t>.</t>
        </is>
      </c>
      <c r="L339" s="180" t="n">
        <v>2957.23</v>
      </c>
      <c r="M339" s="181" t="n">
        <v>207.81</v>
      </c>
      <c r="N339" s="181" t="n">
        <v>217.16</v>
      </c>
      <c r="O339" s="181" t="n">
        <v>222.39</v>
      </c>
      <c r="P339" s="181" t="n">
        <v>228.18</v>
      </c>
      <c r="Q339" s="181" t="n">
        <v>235.66</v>
      </c>
      <c r="R339" s="181" t="n">
        <v>241.83</v>
      </c>
      <c r="S339" s="181" t="n">
        <v>251.17</v>
      </c>
      <c r="T339" s="181" t="n">
        <v>257.34</v>
      </c>
      <c r="U339" s="181" t="n">
        <v>263.13</v>
      </c>
      <c r="V339" s="181" t="n">
        <v>269.67</v>
      </c>
      <c r="W339" s="181" t="n">
        <v>276.77</v>
      </c>
      <c r="X339" s="182" t="n">
        <v>286.12</v>
      </c>
      <c r="Y339" s="183" t="inlineStr">
        <is>
          <t>.</t>
        </is>
      </c>
      <c r="Z339" s="184">
        <f>SUM(AA339:AL339)</f>
        <v/>
      </c>
      <c r="AA339" s="185" t="n">
        <v>0</v>
      </c>
      <c r="AB339" s="185" t="n">
        <v>0</v>
      </c>
      <c r="AC339" s="185" t="n">
        <v>0</v>
      </c>
      <c r="AD339" s="185" t="n">
        <v>0</v>
      </c>
      <c r="AE339" s="185" t="n">
        <v>0</v>
      </c>
      <c r="AF339" s="185" t="n">
        <v>0</v>
      </c>
      <c r="AG339" s="185" t="n">
        <v>1722</v>
      </c>
      <c r="AH339" s="185" t="n">
        <v>1639.12</v>
      </c>
      <c r="AI339" s="185" t="n">
        <v>0</v>
      </c>
      <c r="AJ339" s="185" t="n">
        <v>0</v>
      </c>
      <c r="AK339" s="185" t="n">
        <v>0</v>
      </c>
      <c r="AL339" s="186" t="n">
        <v>0</v>
      </c>
      <c r="AM339" s="30" t="inlineStr">
        <is>
          <t>.</t>
        </is>
      </c>
      <c r="AN339" s="187">
        <f>IF(L339=0,0,Z339/L339)</f>
        <v/>
      </c>
      <c r="AO339" s="57">
        <f>IF(AN339&gt;=1,"🟢",IF(AN339&gt;=0.7,"🟡",IF(AN339&gt;=0.4,"🟠","🔴")))</f>
        <v/>
      </c>
      <c r="AP339" s="185">
        <f>L339-Z339</f>
        <v/>
      </c>
      <c r="AQ339" s="55">
        <f>RANK(Z339,$Z$4:$Z$503,0)</f>
        <v/>
      </c>
      <c r="AR339" s="39" t="inlineStr">
        <is>
          <t>.</t>
        </is>
      </c>
      <c r="AS339" s="27" t="n"/>
      <c r="AT339" s="27" t="n"/>
      <c r="AU339" s="27" t="n"/>
      <c r="AV339" s="27" t="n"/>
      <c r="AW339" s="27" t="n"/>
      <c r="AX339" s="27" t="n"/>
      <c r="AY339" s="204" t="n"/>
      <c r="AZ339" s="204" t="n"/>
      <c r="BA339" s="38" t="inlineStr">
        <is>
          <t>.</t>
        </is>
      </c>
      <c r="BB339" s="190">
        <f>SUM(BC339:BN339)</f>
        <v/>
      </c>
      <c r="BC339" s="191">
        <f>L339*0.0702730030</f>
        <v/>
      </c>
      <c r="BD339" s="191">
        <f>L339*0.0734327604</f>
        <v/>
      </c>
      <c r="BE339" s="191">
        <f>L339*0.0752022245</f>
        <v/>
      </c>
      <c r="BF339" s="191">
        <f>L339*0.0771612740</f>
        <v/>
      </c>
      <c r="BG339" s="191">
        <f>L339*0.0796890799</f>
        <v/>
      </c>
      <c r="BH339" s="191">
        <f>L339*0.0817745197</f>
        <v/>
      </c>
      <c r="BI339" s="191">
        <f>L339*0.0849342770</f>
        <v/>
      </c>
      <c r="BJ339" s="191">
        <f>L339*0.0870197169</f>
        <v/>
      </c>
      <c r="BK339" s="191">
        <f>L339*0.0889787664</f>
        <v/>
      </c>
      <c r="BL339" s="191">
        <f>L339*0.0911905966</f>
        <v/>
      </c>
      <c r="BM339" s="191">
        <f>L339*0.0935920121</f>
        <v/>
      </c>
      <c r="BN339" s="192">
        <f>L339*0.0967517695</f>
        <v/>
      </c>
      <c r="BO339" s="36" t="inlineStr">
        <is>
          <t>.</t>
        </is>
      </c>
      <c r="BP339" s="193">
        <f>SUM(BQ339:CB339)</f>
        <v/>
      </c>
      <c r="BQ339" s="191">
        <f>MAX(0,BC339-AA339)</f>
        <v/>
      </c>
      <c r="BR339" s="191">
        <f>MAX(0,BD339-AB339)</f>
        <v/>
      </c>
      <c r="BS339" s="191">
        <f>MAX(0,BE339-AC339)</f>
        <v/>
      </c>
      <c r="BT339" s="191">
        <f>MAX(0,BF339-AD339)</f>
        <v/>
      </c>
      <c r="BU339" s="191">
        <f>MAX(0,BG339-AE339)</f>
        <v/>
      </c>
      <c r="BV339" s="191">
        <f>MAX(0,BH339-AF339)</f>
        <v/>
      </c>
      <c r="BW339" s="191">
        <f>MAX(0,BI339-AG339)</f>
        <v/>
      </c>
      <c r="BX339" s="191">
        <f>MAX(0,BJ339-AH339)</f>
        <v/>
      </c>
      <c r="BY339" s="191">
        <f>MAX(0,BK339-AI339)</f>
        <v/>
      </c>
      <c r="BZ339" s="191">
        <f>MAX(0,BL339-AJ339)</f>
        <v/>
      </c>
      <c r="CA339" s="191">
        <f>MAX(0,BM339-AK339)</f>
        <v/>
      </c>
      <c r="CB339" s="192">
        <f>MAX(0,BN339-AL339)</f>
        <v/>
      </c>
    </row>
    <row r="340">
      <c r="A340" s="64" t="inlineStr">
        <is>
          <t>29301639000199</t>
        </is>
      </c>
      <c r="B340" s="57" t="inlineStr">
        <is>
          <t>CASAL MONSTRO SUPLEMENTOS</t>
        </is>
      </c>
      <c r="C340" s="57" t="inlineStr">
        <is>
          <t>SEM GRUPO</t>
        </is>
      </c>
      <c r="D340" s="61" t="inlineStr">
        <is>
          <t>LARISSA PADILHA</t>
        </is>
      </c>
      <c r="E340" s="30" t="inlineStr">
        <is>
          <t>.</t>
        </is>
      </c>
      <c r="F340" s="63" t="inlineStr"/>
      <c r="G340" s="179" t="inlineStr"/>
      <c r="H340" s="57" t="inlineStr"/>
      <c r="I340" s="57" t="inlineStr"/>
      <c r="J340" s="61" t="inlineStr"/>
      <c r="K340" s="30" t="inlineStr">
        <is>
          <t>.</t>
        </is>
      </c>
      <c r="L340" s="180" t="n">
        <v>2949.36</v>
      </c>
      <c r="M340" s="181" t="n">
        <v>207.26</v>
      </c>
      <c r="N340" s="181" t="n">
        <v>216.58</v>
      </c>
      <c r="O340" s="181" t="n">
        <v>221.8</v>
      </c>
      <c r="P340" s="181" t="n">
        <v>227.58</v>
      </c>
      <c r="Q340" s="181" t="n">
        <v>235.03</v>
      </c>
      <c r="R340" s="181" t="n">
        <v>241.18</v>
      </c>
      <c r="S340" s="181" t="n">
        <v>250.5</v>
      </c>
      <c r="T340" s="181" t="n">
        <v>256.65</v>
      </c>
      <c r="U340" s="181" t="n">
        <v>262.43</v>
      </c>
      <c r="V340" s="181" t="n">
        <v>268.95</v>
      </c>
      <c r="W340" s="181" t="n">
        <v>276.04</v>
      </c>
      <c r="X340" s="182" t="n">
        <v>285.36</v>
      </c>
      <c r="Y340" s="183" t="inlineStr">
        <is>
          <t>.</t>
        </is>
      </c>
      <c r="Z340" s="184">
        <f>SUM(AA340:AL340)</f>
        <v/>
      </c>
      <c r="AA340" s="185" t="n">
        <v>0</v>
      </c>
      <c r="AB340" s="185" t="n">
        <v>0</v>
      </c>
      <c r="AC340" s="185" t="n">
        <v>0</v>
      </c>
      <c r="AD340" s="185" t="n">
        <v>0</v>
      </c>
      <c r="AE340" s="185" t="n">
        <v>0</v>
      </c>
      <c r="AF340" s="185" t="n">
        <v>0</v>
      </c>
      <c r="AG340" s="185" t="n">
        <v>0</v>
      </c>
      <c r="AH340" s="185" t="n">
        <v>0</v>
      </c>
      <c r="AI340" s="185" t="n">
        <v>728.4400000000001</v>
      </c>
      <c r="AJ340" s="185" t="n">
        <v>762.96</v>
      </c>
      <c r="AK340" s="185" t="n">
        <v>0</v>
      </c>
      <c r="AL340" s="186" t="n">
        <v>0</v>
      </c>
      <c r="AM340" s="30" t="inlineStr">
        <is>
          <t>.</t>
        </is>
      </c>
      <c r="AN340" s="187">
        <f>IF(L340=0,0,Z340/L340)</f>
        <v/>
      </c>
      <c r="AO340" s="57">
        <f>IF(AN340&gt;=1,"🟢",IF(AN340&gt;=0.7,"🟡",IF(AN340&gt;=0.4,"🟠","🔴")))</f>
        <v/>
      </c>
      <c r="AP340" s="185">
        <f>L340-Z340</f>
        <v/>
      </c>
      <c r="AQ340" s="55">
        <f>RANK(Z340,$Z$4:$Z$503,0)</f>
        <v/>
      </c>
      <c r="AR340" s="39" t="inlineStr">
        <is>
          <t>.</t>
        </is>
      </c>
      <c r="AS340" s="27" t="n"/>
      <c r="AT340" s="27" t="n"/>
      <c r="AU340" s="27" t="n"/>
      <c r="AV340" s="27" t="n"/>
      <c r="AW340" s="27" t="n"/>
      <c r="AX340" s="27" t="n"/>
      <c r="AY340" s="204" t="n"/>
      <c r="AZ340" s="204" t="n"/>
      <c r="BA340" s="38" t="inlineStr">
        <is>
          <t>.</t>
        </is>
      </c>
      <c r="BB340" s="190">
        <f>SUM(BC340:BN340)</f>
        <v/>
      </c>
      <c r="BC340" s="191">
        <f>L340*0.0702730030</f>
        <v/>
      </c>
      <c r="BD340" s="191">
        <f>L340*0.0734327604</f>
        <v/>
      </c>
      <c r="BE340" s="191">
        <f>L340*0.0752022245</f>
        <v/>
      </c>
      <c r="BF340" s="191">
        <f>L340*0.0771612740</f>
        <v/>
      </c>
      <c r="BG340" s="191">
        <f>L340*0.0796890799</f>
        <v/>
      </c>
      <c r="BH340" s="191">
        <f>L340*0.0817745197</f>
        <v/>
      </c>
      <c r="BI340" s="191">
        <f>L340*0.0849342770</f>
        <v/>
      </c>
      <c r="BJ340" s="191">
        <f>L340*0.0870197169</f>
        <v/>
      </c>
      <c r="BK340" s="191">
        <f>L340*0.0889787664</f>
        <v/>
      </c>
      <c r="BL340" s="191">
        <f>L340*0.0911905966</f>
        <v/>
      </c>
      <c r="BM340" s="191">
        <f>L340*0.0935920121</f>
        <v/>
      </c>
      <c r="BN340" s="192">
        <f>L340*0.0967517695</f>
        <v/>
      </c>
      <c r="BO340" s="36" t="inlineStr">
        <is>
          <t>.</t>
        </is>
      </c>
      <c r="BP340" s="193">
        <f>SUM(BQ340:CB340)</f>
        <v/>
      </c>
      <c r="BQ340" s="191">
        <f>MAX(0,BC340-AA340)</f>
        <v/>
      </c>
      <c r="BR340" s="191">
        <f>MAX(0,BD340-AB340)</f>
        <v/>
      </c>
      <c r="BS340" s="191">
        <f>MAX(0,BE340-AC340)</f>
        <v/>
      </c>
      <c r="BT340" s="191">
        <f>MAX(0,BF340-AD340)</f>
        <v/>
      </c>
      <c r="BU340" s="191">
        <f>MAX(0,BG340-AE340)</f>
        <v/>
      </c>
      <c r="BV340" s="191">
        <f>MAX(0,BH340-AF340)</f>
        <v/>
      </c>
      <c r="BW340" s="191">
        <f>MAX(0,BI340-AG340)</f>
        <v/>
      </c>
      <c r="BX340" s="191">
        <f>MAX(0,BJ340-AH340)</f>
        <v/>
      </c>
      <c r="BY340" s="191">
        <f>MAX(0,BK340-AI340)</f>
        <v/>
      </c>
      <c r="BZ340" s="191">
        <f>MAX(0,BL340-AJ340)</f>
        <v/>
      </c>
      <c r="CA340" s="191">
        <f>MAX(0,BM340-AK340)</f>
        <v/>
      </c>
      <c r="CB340" s="192">
        <f>MAX(0,BN340-AL340)</f>
        <v/>
      </c>
    </row>
    <row r="341">
      <c r="A341" s="64" t="inlineStr">
        <is>
          <t>62341898000119</t>
        </is>
      </c>
      <c r="B341" s="57" t="inlineStr">
        <is>
          <t>COMERCIO DE ALIMENTOS BLUMENAU LTDA - ME</t>
        </is>
      </c>
      <c r="C341" s="57" t="inlineStr">
        <is>
          <t>DIVINA TERRA</t>
        </is>
      </c>
      <c r="D341" s="61" t="inlineStr">
        <is>
          <t>DAIANE STAVICKI</t>
        </is>
      </c>
      <c r="E341" s="30" t="inlineStr">
        <is>
          <t>.</t>
        </is>
      </c>
      <c r="F341" s="63" t="n">
        <v>85</v>
      </c>
      <c r="G341" s="179" t="n">
        <v>0.1</v>
      </c>
      <c r="H341" s="57" t="inlineStr">
        <is>
          <t>🔴 VERMELHO</t>
        </is>
      </c>
      <c r="I341" s="57" t="inlineStr">
        <is>
          <t>POSITIVAÇÃO</t>
        </is>
      </c>
      <c r="J341" s="61" t="inlineStr">
        <is>
          <t>Aumentar frequência + Expandir base</t>
        </is>
      </c>
      <c r="K341" s="30" t="inlineStr">
        <is>
          <t>.</t>
        </is>
      </c>
      <c r="L341" s="180" t="n">
        <v>2944.51</v>
      </c>
      <c r="M341" s="181" t="n">
        <v>206.92</v>
      </c>
      <c r="N341" s="181" t="n">
        <v>216.22</v>
      </c>
      <c r="O341" s="181" t="n">
        <v>221.43</v>
      </c>
      <c r="P341" s="181" t="n">
        <v>227.2</v>
      </c>
      <c r="Q341" s="181" t="n">
        <v>234.65</v>
      </c>
      <c r="R341" s="181" t="n">
        <v>240.79</v>
      </c>
      <c r="S341" s="181" t="n">
        <v>250.09</v>
      </c>
      <c r="T341" s="181" t="n">
        <v>256.23</v>
      </c>
      <c r="U341" s="181" t="n">
        <v>262</v>
      </c>
      <c r="V341" s="181" t="n">
        <v>268.51</v>
      </c>
      <c r="W341" s="181" t="n">
        <v>275.58</v>
      </c>
      <c r="X341" s="182" t="n">
        <v>284.89</v>
      </c>
      <c r="Y341" s="183" t="inlineStr">
        <is>
          <t>.</t>
        </is>
      </c>
      <c r="Z341" s="184">
        <f>SUM(AA341:AL341)</f>
        <v/>
      </c>
      <c r="AA341" s="185" t="n">
        <v>0</v>
      </c>
      <c r="AB341" s="185" t="n">
        <v>0</v>
      </c>
      <c r="AC341" s="185" t="n">
        <v>0</v>
      </c>
      <c r="AD341" s="185" t="n">
        <v>0</v>
      </c>
      <c r="AE341" s="185" t="n">
        <v>0</v>
      </c>
      <c r="AF341" s="185" t="n">
        <v>0</v>
      </c>
      <c r="AG341" s="185" t="n">
        <v>0</v>
      </c>
      <c r="AH341" s="185" t="n">
        <v>0</v>
      </c>
      <c r="AI341" s="185" t="n">
        <v>1333.77</v>
      </c>
      <c r="AJ341" s="185" t="n">
        <v>0</v>
      </c>
      <c r="AK341" s="185" t="n">
        <v>0</v>
      </c>
      <c r="AL341" s="186" t="n">
        <v>0</v>
      </c>
      <c r="AM341" s="30" t="inlineStr">
        <is>
          <t>.</t>
        </is>
      </c>
      <c r="AN341" s="187">
        <f>IF(L341=0,0,Z341/L341)</f>
        <v/>
      </c>
      <c r="AO341" s="57">
        <f>IF(AN341&gt;=1,"🟢",IF(AN341&gt;=0.7,"🟡",IF(AN341&gt;=0.4,"🟠","🔴")))</f>
        <v/>
      </c>
      <c r="AP341" s="185">
        <f>L341-Z341</f>
        <v/>
      </c>
      <c r="AQ341" s="55">
        <f>RANK(Z341,$Z$4:$Z$503,0)</f>
        <v/>
      </c>
      <c r="AR341" s="39" t="inlineStr">
        <is>
          <t>.</t>
        </is>
      </c>
      <c r="AS341" s="27" t="n"/>
      <c r="AT341" s="27" t="n"/>
      <c r="AU341" s="27" t="n"/>
      <c r="AV341" s="27" t="n"/>
      <c r="AW341" s="27" t="n"/>
      <c r="AX341" s="27" t="n"/>
      <c r="AY341" s="204" t="n"/>
      <c r="AZ341" s="204" t="n"/>
      <c r="BA341" s="38" t="inlineStr">
        <is>
          <t>.</t>
        </is>
      </c>
      <c r="BB341" s="190">
        <f>SUM(BC341:BN341)</f>
        <v/>
      </c>
      <c r="BC341" s="191">
        <f>L341*0.0702730030</f>
        <v/>
      </c>
      <c r="BD341" s="191">
        <f>L341*0.0734327604</f>
        <v/>
      </c>
      <c r="BE341" s="191">
        <f>L341*0.0752022245</f>
        <v/>
      </c>
      <c r="BF341" s="191">
        <f>L341*0.0771612740</f>
        <v/>
      </c>
      <c r="BG341" s="191">
        <f>L341*0.0796890799</f>
        <v/>
      </c>
      <c r="BH341" s="191">
        <f>L341*0.0817745197</f>
        <v/>
      </c>
      <c r="BI341" s="191">
        <f>L341*0.0849342770</f>
        <v/>
      </c>
      <c r="BJ341" s="191">
        <f>L341*0.0870197169</f>
        <v/>
      </c>
      <c r="BK341" s="191">
        <f>L341*0.0889787664</f>
        <v/>
      </c>
      <c r="BL341" s="191">
        <f>L341*0.0911905966</f>
        <v/>
      </c>
      <c r="BM341" s="191">
        <f>L341*0.0935920121</f>
        <v/>
      </c>
      <c r="BN341" s="192">
        <f>L341*0.0967517695</f>
        <v/>
      </c>
      <c r="BO341" s="36" t="inlineStr">
        <is>
          <t>.</t>
        </is>
      </c>
      <c r="BP341" s="193">
        <f>SUM(BQ341:CB341)</f>
        <v/>
      </c>
      <c r="BQ341" s="191">
        <f>MAX(0,BC341-AA341)</f>
        <v/>
      </c>
      <c r="BR341" s="191">
        <f>MAX(0,BD341-AB341)</f>
        <v/>
      </c>
      <c r="BS341" s="191">
        <f>MAX(0,BE341-AC341)</f>
        <v/>
      </c>
      <c r="BT341" s="191">
        <f>MAX(0,BF341-AD341)</f>
        <v/>
      </c>
      <c r="BU341" s="191">
        <f>MAX(0,BG341-AE341)</f>
        <v/>
      </c>
      <c r="BV341" s="191">
        <f>MAX(0,BH341-AF341)</f>
        <v/>
      </c>
      <c r="BW341" s="191">
        <f>MAX(0,BI341-AG341)</f>
        <v/>
      </c>
      <c r="BX341" s="191">
        <f>MAX(0,BJ341-AH341)</f>
        <v/>
      </c>
      <c r="BY341" s="191">
        <f>MAX(0,BK341-AI341)</f>
        <v/>
      </c>
      <c r="BZ341" s="191">
        <f>MAX(0,BL341-AJ341)</f>
        <v/>
      </c>
      <c r="CA341" s="191">
        <f>MAX(0,BM341-AK341)</f>
        <v/>
      </c>
      <c r="CB341" s="192">
        <f>MAX(0,BN341-AL341)</f>
        <v/>
      </c>
    </row>
    <row r="342">
      <c r="A342" s="64" t="inlineStr">
        <is>
          <t>61932319000140</t>
        </is>
      </c>
      <c r="B342" s="57" t="inlineStr">
        <is>
          <t>61.932.319 LEONARDO PANDOLFI - ME</t>
        </is>
      </c>
      <c r="C342" s="57" t="inlineStr">
        <is>
          <t>SEM GRUPO</t>
        </is>
      </c>
      <c r="D342" s="61" t="inlineStr">
        <is>
          <t>HEMANUELE DITZEL (MANU)</t>
        </is>
      </c>
      <c r="E342" s="30" t="inlineStr">
        <is>
          <t>.</t>
        </is>
      </c>
      <c r="F342" s="63" t="inlineStr"/>
      <c r="G342" s="179" t="inlineStr"/>
      <c r="H342" s="57" t="inlineStr"/>
      <c r="I342" s="57" t="inlineStr"/>
      <c r="J342" s="61" t="inlineStr"/>
      <c r="K342" s="30" t="inlineStr">
        <is>
          <t>.</t>
        </is>
      </c>
      <c r="L342" s="180" t="n">
        <v>2943.91</v>
      </c>
      <c r="M342" s="181" t="n">
        <v>206.88</v>
      </c>
      <c r="N342" s="181" t="n">
        <v>216.18</v>
      </c>
      <c r="O342" s="181" t="n">
        <v>221.39</v>
      </c>
      <c r="P342" s="181" t="n">
        <v>227.15</v>
      </c>
      <c r="Q342" s="181" t="n">
        <v>234.6</v>
      </c>
      <c r="R342" s="181" t="n">
        <v>240.74</v>
      </c>
      <c r="S342" s="181" t="n">
        <v>250.04</v>
      </c>
      <c r="T342" s="181" t="n">
        <v>256.18</v>
      </c>
      <c r="U342" s="181" t="n">
        <v>261.94</v>
      </c>
      <c r="V342" s="181" t="n">
        <v>268.46</v>
      </c>
      <c r="W342" s="181" t="n">
        <v>275.52</v>
      </c>
      <c r="X342" s="182" t="n">
        <v>284.83</v>
      </c>
      <c r="Y342" s="183" t="inlineStr">
        <is>
          <t>.</t>
        </is>
      </c>
      <c r="Z342" s="184">
        <f>SUM(AA342:AL342)</f>
        <v/>
      </c>
      <c r="AA342" s="185" t="n">
        <v>0</v>
      </c>
      <c r="AB342" s="185" t="n">
        <v>0</v>
      </c>
      <c r="AC342" s="185" t="n">
        <v>0</v>
      </c>
      <c r="AD342" s="185" t="n">
        <v>0</v>
      </c>
      <c r="AE342" s="185" t="n">
        <v>0</v>
      </c>
      <c r="AF342" s="185" t="n">
        <v>0</v>
      </c>
      <c r="AG342" s="185" t="n">
        <v>0</v>
      </c>
      <c r="AH342" s="185" t="n">
        <v>1240.47</v>
      </c>
      <c r="AI342" s="185" t="n">
        <v>0</v>
      </c>
      <c r="AJ342" s="185" t="n">
        <v>0</v>
      </c>
      <c r="AK342" s="185" t="n">
        <v>0</v>
      </c>
      <c r="AL342" s="186" t="n">
        <v>0</v>
      </c>
      <c r="AM342" s="30" t="inlineStr">
        <is>
          <t>.</t>
        </is>
      </c>
      <c r="AN342" s="187">
        <f>IF(L342=0,0,Z342/L342)</f>
        <v/>
      </c>
      <c r="AO342" s="57">
        <f>IF(AN342&gt;=1,"🟢",IF(AN342&gt;=0.7,"🟡",IF(AN342&gt;=0.4,"🟠","🔴")))</f>
        <v/>
      </c>
      <c r="AP342" s="185">
        <f>L342-Z342</f>
        <v/>
      </c>
      <c r="AQ342" s="55">
        <f>RANK(Z342,$Z$4:$Z$503,0)</f>
        <v/>
      </c>
      <c r="AR342" s="39" t="inlineStr">
        <is>
          <t>.</t>
        </is>
      </c>
      <c r="AS342" s="27" t="n"/>
      <c r="AT342" s="27" t="n"/>
      <c r="AU342" s="27" t="n"/>
      <c r="AV342" s="27" t="n"/>
      <c r="AW342" s="27" t="n"/>
      <c r="AX342" s="27" t="n"/>
      <c r="AY342" s="204" t="n"/>
      <c r="AZ342" s="204" t="n"/>
      <c r="BA342" s="38" t="inlineStr">
        <is>
          <t>.</t>
        </is>
      </c>
      <c r="BB342" s="190">
        <f>SUM(BC342:BN342)</f>
        <v/>
      </c>
      <c r="BC342" s="191">
        <f>L342*0.0702730030</f>
        <v/>
      </c>
      <c r="BD342" s="191">
        <f>L342*0.0734327604</f>
        <v/>
      </c>
      <c r="BE342" s="191">
        <f>L342*0.0752022245</f>
        <v/>
      </c>
      <c r="BF342" s="191">
        <f>L342*0.0771612740</f>
        <v/>
      </c>
      <c r="BG342" s="191">
        <f>L342*0.0796890799</f>
        <v/>
      </c>
      <c r="BH342" s="191">
        <f>L342*0.0817745197</f>
        <v/>
      </c>
      <c r="BI342" s="191">
        <f>L342*0.0849342770</f>
        <v/>
      </c>
      <c r="BJ342" s="191">
        <f>L342*0.0870197169</f>
        <v/>
      </c>
      <c r="BK342" s="191">
        <f>L342*0.0889787664</f>
        <v/>
      </c>
      <c r="BL342" s="191">
        <f>L342*0.0911905966</f>
        <v/>
      </c>
      <c r="BM342" s="191">
        <f>L342*0.0935920121</f>
        <v/>
      </c>
      <c r="BN342" s="192">
        <f>L342*0.0967517695</f>
        <v/>
      </c>
      <c r="BO342" s="36" t="inlineStr">
        <is>
          <t>.</t>
        </is>
      </c>
      <c r="BP342" s="193">
        <f>SUM(BQ342:CB342)</f>
        <v/>
      </c>
      <c r="BQ342" s="191">
        <f>MAX(0,BC342-AA342)</f>
        <v/>
      </c>
      <c r="BR342" s="191">
        <f>MAX(0,BD342-AB342)</f>
        <v/>
      </c>
      <c r="BS342" s="191">
        <f>MAX(0,BE342-AC342)</f>
        <v/>
      </c>
      <c r="BT342" s="191">
        <f>MAX(0,BF342-AD342)</f>
        <v/>
      </c>
      <c r="BU342" s="191">
        <f>MAX(0,BG342-AE342)</f>
        <v/>
      </c>
      <c r="BV342" s="191">
        <f>MAX(0,BH342-AF342)</f>
        <v/>
      </c>
      <c r="BW342" s="191">
        <f>MAX(0,BI342-AG342)</f>
        <v/>
      </c>
      <c r="BX342" s="191">
        <f>MAX(0,BJ342-AH342)</f>
        <v/>
      </c>
      <c r="BY342" s="191">
        <f>MAX(0,BK342-AI342)</f>
        <v/>
      </c>
      <c r="BZ342" s="191">
        <f>MAX(0,BL342-AJ342)</f>
        <v/>
      </c>
      <c r="CA342" s="191">
        <f>MAX(0,BM342-AK342)</f>
        <v/>
      </c>
      <c r="CB342" s="192">
        <f>MAX(0,BN342-AL342)</f>
        <v/>
      </c>
    </row>
    <row r="343">
      <c r="A343" s="64" t="inlineStr">
        <is>
          <t>52902829000183</t>
        </is>
      </c>
      <c r="B343" s="57" t="inlineStr">
        <is>
          <t>AMORA COM TEDDY PRODUTOS NATURAIS LTDA -</t>
        </is>
      </c>
      <c r="C343" s="57" t="inlineStr">
        <is>
          <t>SEM GRUPO</t>
        </is>
      </c>
      <c r="D343" s="61" t="inlineStr">
        <is>
          <t>LARISSA PADILHA</t>
        </is>
      </c>
      <c r="E343" s="30" t="inlineStr">
        <is>
          <t>.</t>
        </is>
      </c>
      <c r="F343" s="63" t="inlineStr"/>
      <c r="G343" s="179" t="inlineStr"/>
      <c r="H343" s="57" t="inlineStr"/>
      <c r="I343" s="57" t="inlineStr"/>
      <c r="J343" s="61" t="inlineStr"/>
      <c r="K343" s="30" t="inlineStr">
        <is>
          <t>.</t>
        </is>
      </c>
      <c r="L343" s="180" t="n">
        <v>2941.09</v>
      </c>
      <c r="M343" s="181" t="n">
        <v>206.68</v>
      </c>
      <c r="N343" s="181" t="n">
        <v>215.97</v>
      </c>
      <c r="O343" s="181" t="n">
        <v>221.18</v>
      </c>
      <c r="P343" s="181" t="n">
        <v>226.94</v>
      </c>
      <c r="Q343" s="181" t="n">
        <v>234.37</v>
      </c>
      <c r="R343" s="181" t="n">
        <v>240.51</v>
      </c>
      <c r="S343" s="181" t="n">
        <v>249.8</v>
      </c>
      <c r="T343" s="181" t="n">
        <v>255.93</v>
      </c>
      <c r="U343" s="181" t="n">
        <v>261.69</v>
      </c>
      <c r="V343" s="181" t="n">
        <v>268.2</v>
      </c>
      <c r="W343" s="181" t="n">
        <v>275.26</v>
      </c>
      <c r="X343" s="182" t="n">
        <v>284.56</v>
      </c>
      <c r="Y343" s="183" t="inlineStr">
        <is>
          <t>.</t>
        </is>
      </c>
      <c r="Z343" s="184">
        <f>SUM(AA343:AL343)</f>
        <v/>
      </c>
      <c r="AA343" s="185" t="n">
        <v>0</v>
      </c>
      <c r="AB343" s="185" t="n">
        <v>0</v>
      </c>
      <c r="AC343" s="185" t="n">
        <v>0</v>
      </c>
      <c r="AD343" s="185" t="n">
        <v>0</v>
      </c>
      <c r="AE343" s="185" t="n">
        <v>0</v>
      </c>
      <c r="AF343" s="185" t="n">
        <v>0</v>
      </c>
      <c r="AG343" s="185" t="n">
        <v>0</v>
      </c>
      <c r="AH343" s="185" t="n">
        <v>0</v>
      </c>
      <c r="AI343" s="185" t="n">
        <v>0</v>
      </c>
      <c r="AJ343" s="185" t="n">
        <v>0</v>
      </c>
      <c r="AK343" s="185" t="n">
        <v>0</v>
      </c>
      <c r="AL343" s="186" t="n">
        <v>1296.22</v>
      </c>
      <c r="AM343" s="30" t="inlineStr">
        <is>
          <t>.</t>
        </is>
      </c>
      <c r="AN343" s="187">
        <f>IF(L343=0,0,Z343/L343)</f>
        <v/>
      </c>
      <c r="AO343" s="57">
        <f>IF(AN343&gt;=1,"🟢",IF(AN343&gt;=0.7,"🟡",IF(AN343&gt;=0.4,"🟠","🔴")))</f>
        <v/>
      </c>
      <c r="AP343" s="185">
        <f>L343-Z343</f>
        <v/>
      </c>
      <c r="AQ343" s="55">
        <f>RANK(Z343,$Z$4:$Z$503,0)</f>
        <v/>
      </c>
      <c r="AR343" s="39" t="inlineStr">
        <is>
          <t>.</t>
        </is>
      </c>
      <c r="AS343" s="27" t="n"/>
      <c r="AT343" s="27" t="n"/>
      <c r="AU343" s="27" t="n"/>
      <c r="AV343" s="27" t="n"/>
      <c r="AW343" s="27" t="n"/>
      <c r="AX343" s="27" t="n"/>
      <c r="AY343" s="204" t="n"/>
      <c r="AZ343" s="204" t="n"/>
      <c r="BA343" s="38" t="inlineStr">
        <is>
          <t>.</t>
        </is>
      </c>
      <c r="BB343" s="190">
        <f>SUM(BC343:BN343)</f>
        <v/>
      </c>
      <c r="BC343" s="191">
        <f>L343*0.0702730030</f>
        <v/>
      </c>
      <c r="BD343" s="191">
        <f>L343*0.0734327604</f>
        <v/>
      </c>
      <c r="BE343" s="191">
        <f>L343*0.0752022245</f>
        <v/>
      </c>
      <c r="BF343" s="191">
        <f>L343*0.0771612740</f>
        <v/>
      </c>
      <c r="BG343" s="191">
        <f>L343*0.0796890799</f>
        <v/>
      </c>
      <c r="BH343" s="191">
        <f>L343*0.0817745197</f>
        <v/>
      </c>
      <c r="BI343" s="191">
        <f>L343*0.0849342770</f>
        <v/>
      </c>
      <c r="BJ343" s="191">
        <f>L343*0.0870197169</f>
        <v/>
      </c>
      <c r="BK343" s="191">
        <f>L343*0.0889787664</f>
        <v/>
      </c>
      <c r="BL343" s="191">
        <f>L343*0.0911905966</f>
        <v/>
      </c>
      <c r="BM343" s="191">
        <f>L343*0.0935920121</f>
        <v/>
      </c>
      <c r="BN343" s="192">
        <f>L343*0.0967517695</f>
        <v/>
      </c>
      <c r="BO343" s="36" t="inlineStr">
        <is>
          <t>.</t>
        </is>
      </c>
      <c r="BP343" s="193">
        <f>SUM(BQ343:CB343)</f>
        <v/>
      </c>
      <c r="BQ343" s="191">
        <f>MAX(0,BC343-AA343)</f>
        <v/>
      </c>
      <c r="BR343" s="191">
        <f>MAX(0,BD343-AB343)</f>
        <v/>
      </c>
      <c r="BS343" s="191">
        <f>MAX(0,BE343-AC343)</f>
        <v/>
      </c>
      <c r="BT343" s="191">
        <f>MAX(0,BF343-AD343)</f>
        <v/>
      </c>
      <c r="BU343" s="191">
        <f>MAX(0,BG343-AE343)</f>
        <v/>
      </c>
      <c r="BV343" s="191">
        <f>MAX(0,BH343-AF343)</f>
        <v/>
      </c>
      <c r="BW343" s="191">
        <f>MAX(0,BI343-AG343)</f>
        <v/>
      </c>
      <c r="BX343" s="191">
        <f>MAX(0,BJ343-AH343)</f>
        <v/>
      </c>
      <c r="BY343" s="191">
        <f>MAX(0,BK343-AI343)</f>
        <v/>
      </c>
      <c r="BZ343" s="191">
        <f>MAX(0,BL343-AJ343)</f>
        <v/>
      </c>
      <c r="CA343" s="191">
        <f>MAX(0,BM343-AK343)</f>
        <v/>
      </c>
      <c r="CB343" s="192">
        <f>MAX(0,BN343-AL343)</f>
        <v/>
      </c>
    </row>
    <row r="344">
      <c r="A344" s="64" t="inlineStr">
        <is>
          <t>07260140000148</t>
        </is>
      </c>
      <c r="B344" s="57" t="inlineStr">
        <is>
          <t>PEDRO CLAUDIO CAMARGO TATUI</t>
        </is>
      </c>
      <c r="C344" s="57" t="inlineStr">
        <is>
          <t>SEM GRUPO</t>
        </is>
      </c>
      <c r="D344" s="61" t="inlineStr">
        <is>
          <t>LARISSA PADILHA</t>
        </is>
      </c>
      <c r="E344" s="30" t="inlineStr">
        <is>
          <t>.</t>
        </is>
      </c>
      <c r="F344" s="63" t="inlineStr"/>
      <c r="G344" s="179" t="inlineStr"/>
      <c r="H344" s="57" t="inlineStr"/>
      <c r="I344" s="57" t="inlineStr"/>
      <c r="J344" s="61" t="inlineStr"/>
      <c r="K344" s="30" t="inlineStr">
        <is>
          <t>.</t>
        </is>
      </c>
      <c r="L344" s="180" t="n">
        <v>2930.26</v>
      </c>
      <c r="M344" s="181" t="n">
        <v>205.92</v>
      </c>
      <c r="N344" s="181" t="n">
        <v>215.18</v>
      </c>
      <c r="O344" s="181" t="n">
        <v>220.36</v>
      </c>
      <c r="P344" s="181" t="n">
        <v>226.1</v>
      </c>
      <c r="Q344" s="181" t="n">
        <v>233.51</v>
      </c>
      <c r="R344" s="181" t="n">
        <v>239.62</v>
      </c>
      <c r="S344" s="181" t="n">
        <v>248.88</v>
      </c>
      <c r="T344" s="181" t="n">
        <v>254.99</v>
      </c>
      <c r="U344" s="181" t="n">
        <v>260.73</v>
      </c>
      <c r="V344" s="181" t="n">
        <v>267.21</v>
      </c>
      <c r="W344" s="181" t="n">
        <v>274.25</v>
      </c>
      <c r="X344" s="182" t="n">
        <v>283.51</v>
      </c>
      <c r="Y344" s="183" t="inlineStr">
        <is>
          <t>.</t>
        </is>
      </c>
      <c r="Z344" s="184">
        <f>SUM(AA344:AL344)</f>
        <v/>
      </c>
      <c r="AA344" s="185" t="n">
        <v>0</v>
      </c>
      <c r="AB344" s="185" t="n">
        <v>0</v>
      </c>
      <c r="AC344" s="185" t="n">
        <v>0</v>
      </c>
      <c r="AD344" s="185" t="n">
        <v>0</v>
      </c>
      <c r="AE344" s="185" t="n">
        <v>0</v>
      </c>
      <c r="AF344" s="185" t="n">
        <v>0</v>
      </c>
      <c r="AG344" s="185" t="n">
        <v>0</v>
      </c>
      <c r="AH344" s="185" t="n">
        <v>0</v>
      </c>
      <c r="AI344" s="185" t="n">
        <v>0</v>
      </c>
      <c r="AJ344" s="185" t="n">
        <v>0</v>
      </c>
      <c r="AK344" s="185" t="n">
        <v>1563.05</v>
      </c>
      <c r="AL344" s="186" t="n">
        <v>0</v>
      </c>
      <c r="AM344" s="30" t="inlineStr">
        <is>
          <t>.</t>
        </is>
      </c>
      <c r="AN344" s="187">
        <f>IF(L344=0,0,Z344/L344)</f>
        <v/>
      </c>
      <c r="AO344" s="57">
        <f>IF(AN344&gt;=1,"🟢",IF(AN344&gt;=0.7,"🟡",IF(AN344&gt;=0.4,"🟠","🔴")))</f>
        <v/>
      </c>
      <c r="AP344" s="185">
        <f>L344-Z344</f>
        <v/>
      </c>
      <c r="AQ344" s="55">
        <f>RANK(Z344,$Z$4:$Z$503,0)</f>
        <v/>
      </c>
      <c r="AR344" s="39" t="inlineStr">
        <is>
          <t>.</t>
        </is>
      </c>
      <c r="AS344" s="27" t="n"/>
      <c r="AT344" s="27" t="n"/>
      <c r="AU344" s="27" t="n"/>
      <c r="AV344" s="27" t="n"/>
      <c r="AW344" s="27" t="n"/>
      <c r="AX344" s="27" t="n"/>
      <c r="AY344" s="204" t="n"/>
      <c r="AZ344" s="204" t="n"/>
      <c r="BA344" s="38" t="inlineStr">
        <is>
          <t>.</t>
        </is>
      </c>
      <c r="BB344" s="190">
        <f>SUM(BC344:BN344)</f>
        <v/>
      </c>
      <c r="BC344" s="191">
        <f>L344*0.0702730030</f>
        <v/>
      </c>
      <c r="BD344" s="191">
        <f>L344*0.0734327604</f>
        <v/>
      </c>
      <c r="BE344" s="191">
        <f>L344*0.0752022245</f>
        <v/>
      </c>
      <c r="BF344" s="191">
        <f>L344*0.0771612740</f>
        <v/>
      </c>
      <c r="BG344" s="191">
        <f>L344*0.0796890799</f>
        <v/>
      </c>
      <c r="BH344" s="191">
        <f>L344*0.0817745197</f>
        <v/>
      </c>
      <c r="BI344" s="191">
        <f>L344*0.0849342770</f>
        <v/>
      </c>
      <c r="BJ344" s="191">
        <f>L344*0.0870197169</f>
        <v/>
      </c>
      <c r="BK344" s="191">
        <f>L344*0.0889787664</f>
        <v/>
      </c>
      <c r="BL344" s="191">
        <f>L344*0.0911905966</f>
        <v/>
      </c>
      <c r="BM344" s="191">
        <f>L344*0.0935920121</f>
        <v/>
      </c>
      <c r="BN344" s="192">
        <f>L344*0.0967517695</f>
        <v/>
      </c>
      <c r="BO344" s="36" t="inlineStr">
        <is>
          <t>.</t>
        </is>
      </c>
      <c r="BP344" s="193">
        <f>SUM(BQ344:CB344)</f>
        <v/>
      </c>
      <c r="BQ344" s="191">
        <f>MAX(0,BC344-AA344)</f>
        <v/>
      </c>
      <c r="BR344" s="191">
        <f>MAX(0,BD344-AB344)</f>
        <v/>
      </c>
      <c r="BS344" s="191">
        <f>MAX(0,BE344-AC344)</f>
        <v/>
      </c>
      <c r="BT344" s="191">
        <f>MAX(0,BF344-AD344)</f>
        <v/>
      </c>
      <c r="BU344" s="191">
        <f>MAX(0,BG344-AE344)</f>
        <v/>
      </c>
      <c r="BV344" s="191">
        <f>MAX(0,BH344-AF344)</f>
        <v/>
      </c>
      <c r="BW344" s="191">
        <f>MAX(0,BI344-AG344)</f>
        <v/>
      </c>
      <c r="BX344" s="191">
        <f>MAX(0,BJ344-AH344)</f>
        <v/>
      </c>
      <c r="BY344" s="191">
        <f>MAX(0,BK344-AI344)</f>
        <v/>
      </c>
      <c r="BZ344" s="191">
        <f>MAX(0,BL344-AJ344)</f>
        <v/>
      </c>
      <c r="CA344" s="191">
        <f>MAX(0,BM344-AK344)</f>
        <v/>
      </c>
      <c r="CB344" s="192">
        <f>MAX(0,BN344-AL344)</f>
        <v/>
      </c>
    </row>
    <row r="345">
      <c r="A345" s="64" t="inlineStr">
        <is>
          <t>62872888000100</t>
        </is>
      </c>
      <c r="B345" s="57" t="inlineStr">
        <is>
          <t>MANCINI &amp; SANTOS NUTRICAO LTDA - ME</t>
        </is>
      </c>
      <c r="C345" s="57" t="inlineStr">
        <is>
          <t>DIVINA TERRA</t>
        </is>
      </c>
      <c r="D345" s="61" t="inlineStr">
        <is>
          <t>DAIANE STAVICKI</t>
        </is>
      </c>
      <c r="E345" s="30" t="inlineStr">
        <is>
          <t>.</t>
        </is>
      </c>
      <c r="F345" s="63" t="n">
        <v>85</v>
      </c>
      <c r="G345" s="179" t="n">
        <v>0.1</v>
      </c>
      <c r="H345" s="57" t="inlineStr">
        <is>
          <t>🔴 VERMELHO</t>
        </is>
      </c>
      <c r="I345" s="57" t="inlineStr">
        <is>
          <t>POSITIVAÇÃO</t>
        </is>
      </c>
      <c r="J345" s="61" t="inlineStr">
        <is>
          <t>Aumentar frequência + Expandir base</t>
        </is>
      </c>
      <c r="K345" s="30" t="inlineStr">
        <is>
          <t>.</t>
        </is>
      </c>
      <c r="L345" s="180" t="n">
        <v>2926.35</v>
      </c>
      <c r="M345" s="181" t="n">
        <v>205.64</v>
      </c>
      <c r="N345" s="181" t="n">
        <v>214.89</v>
      </c>
      <c r="O345" s="181" t="n">
        <v>220.07</v>
      </c>
      <c r="P345" s="181" t="n">
        <v>225.8</v>
      </c>
      <c r="Q345" s="181" t="n">
        <v>233.2</v>
      </c>
      <c r="R345" s="181" t="n">
        <v>239.3</v>
      </c>
      <c r="S345" s="181" t="n">
        <v>248.55</v>
      </c>
      <c r="T345" s="181" t="n">
        <v>254.65</v>
      </c>
      <c r="U345" s="181" t="n">
        <v>260.38</v>
      </c>
      <c r="V345" s="181" t="n">
        <v>266.86</v>
      </c>
      <c r="W345" s="181" t="n">
        <v>273.88</v>
      </c>
      <c r="X345" s="182" t="n">
        <v>283.13</v>
      </c>
      <c r="Y345" s="183" t="inlineStr">
        <is>
          <t>.</t>
        </is>
      </c>
      <c r="Z345" s="184">
        <f>SUM(AA345:AL345)</f>
        <v/>
      </c>
      <c r="AA345" s="185" t="n">
        <v>0</v>
      </c>
      <c r="AB345" s="185" t="n">
        <v>0</v>
      </c>
      <c r="AC345" s="185" t="n">
        <v>0</v>
      </c>
      <c r="AD345" s="185" t="n">
        <v>0</v>
      </c>
      <c r="AE345" s="185" t="n">
        <v>0</v>
      </c>
      <c r="AF345" s="185" t="n">
        <v>0</v>
      </c>
      <c r="AG345" s="185" t="n">
        <v>0</v>
      </c>
      <c r="AH345" s="185" t="n">
        <v>0</v>
      </c>
      <c r="AI345" s="185" t="n">
        <v>0</v>
      </c>
      <c r="AJ345" s="185" t="n">
        <v>1664.69</v>
      </c>
      <c r="AK345" s="185" t="n">
        <v>0</v>
      </c>
      <c r="AL345" s="186" t="n">
        <v>0</v>
      </c>
      <c r="AM345" s="30" t="inlineStr">
        <is>
          <t>.</t>
        </is>
      </c>
      <c r="AN345" s="187">
        <f>IF(L345=0,0,Z345/L345)</f>
        <v/>
      </c>
      <c r="AO345" s="57">
        <f>IF(AN345&gt;=1,"🟢",IF(AN345&gt;=0.7,"🟡",IF(AN345&gt;=0.4,"🟠","🔴")))</f>
        <v/>
      </c>
      <c r="AP345" s="185">
        <f>L345-Z345</f>
        <v/>
      </c>
      <c r="AQ345" s="55">
        <f>RANK(Z345,$Z$4:$Z$503,0)</f>
        <v/>
      </c>
      <c r="AR345" s="39" t="inlineStr">
        <is>
          <t>.</t>
        </is>
      </c>
      <c r="AS345" s="27" t="n"/>
      <c r="AT345" s="27" t="n"/>
      <c r="AU345" s="27" t="n"/>
      <c r="AV345" s="27" t="n"/>
      <c r="AW345" s="27" t="n"/>
      <c r="AX345" s="27" t="n"/>
      <c r="AY345" s="204" t="n"/>
      <c r="AZ345" s="204" t="n"/>
      <c r="BA345" s="38" t="inlineStr">
        <is>
          <t>.</t>
        </is>
      </c>
      <c r="BB345" s="190">
        <f>SUM(BC345:BN345)</f>
        <v/>
      </c>
      <c r="BC345" s="191">
        <f>L345*0.0702730030</f>
        <v/>
      </c>
      <c r="BD345" s="191">
        <f>L345*0.0734327604</f>
        <v/>
      </c>
      <c r="BE345" s="191">
        <f>L345*0.0752022245</f>
        <v/>
      </c>
      <c r="BF345" s="191">
        <f>L345*0.0771612740</f>
        <v/>
      </c>
      <c r="BG345" s="191">
        <f>L345*0.0796890799</f>
        <v/>
      </c>
      <c r="BH345" s="191">
        <f>L345*0.0817745197</f>
        <v/>
      </c>
      <c r="BI345" s="191">
        <f>L345*0.0849342770</f>
        <v/>
      </c>
      <c r="BJ345" s="191">
        <f>L345*0.0870197169</f>
        <v/>
      </c>
      <c r="BK345" s="191">
        <f>L345*0.0889787664</f>
        <v/>
      </c>
      <c r="BL345" s="191">
        <f>L345*0.0911905966</f>
        <v/>
      </c>
      <c r="BM345" s="191">
        <f>L345*0.0935920121</f>
        <v/>
      </c>
      <c r="BN345" s="192">
        <f>L345*0.0967517695</f>
        <v/>
      </c>
      <c r="BO345" s="36" t="inlineStr">
        <is>
          <t>.</t>
        </is>
      </c>
      <c r="BP345" s="193">
        <f>SUM(BQ345:CB345)</f>
        <v/>
      </c>
      <c r="BQ345" s="191">
        <f>MAX(0,BC345-AA345)</f>
        <v/>
      </c>
      <c r="BR345" s="191">
        <f>MAX(0,BD345-AB345)</f>
        <v/>
      </c>
      <c r="BS345" s="191">
        <f>MAX(0,BE345-AC345)</f>
        <v/>
      </c>
      <c r="BT345" s="191">
        <f>MAX(0,BF345-AD345)</f>
        <v/>
      </c>
      <c r="BU345" s="191">
        <f>MAX(0,BG345-AE345)</f>
        <v/>
      </c>
      <c r="BV345" s="191">
        <f>MAX(0,BH345-AF345)</f>
        <v/>
      </c>
      <c r="BW345" s="191">
        <f>MAX(0,BI345-AG345)</f>
        <v/>
      </c>
      <c r="BX345" s="191">
        <f>MAX(0,BJ345-AH345)</f>
        <v/>
      </c>
      <c r="BY345" s="191">
        <f>MAX(0,BK345-AI345)</f>
        <v/>
      </c>
      <c r="BZ345" s="191">
        <f>MAX(0,BL345-AJ345)</f>
        <v/>
      </c>
      <c r="CA345" s="191">
        <f>MAX(0,BM345-AK345)</f>
        <v/>
      </c>
      <c r="CB345" s="192">
        <f>MAX(0,BN345-AL345)</f>
        <v/>
      </c>
    </row>
    <row r="346">
      <c r="A346" s="64" t="inlineStr">
        <is>
          <t>46894141000104</t>
        </is>
      </c>
      <c r="B346" s="57" t="inlineStr">
        <is>
          <t>ESSENCIAS E FESTAS CONFEITARIA LTDA - ME</t>
        </is>
      </c>
      <c r="C346" s="57" t="inlineStr">
        <is>
          <t>SEM GRUPO</t>
        </is>
      </c>
      <c r="D346" s="61" t="inlineStr">
        <is>
          <t>LARISSA PADILHA</t>
        </is>
      </c>
      <c r="E346" s="30" t="inlineStr">
        <is>
          <t>.</t>
        </is>
      </c>
      <c r="F346" s="63" t="inlineStr"/>
      <c r="G346" s="179" t="inlineStr"/>
      <c r="H346" s="57" t="inlineStr"/>
      <c r="I346" s="57" t="inlineStr"/>
      <c r="J346" s="61" t="inlineStr"/>
      <c r="K346" s="30" t="inlineStr">
        <is>
          <t>.</t>
        </is>
      </c>
      <c r="L346" s="180" t="n">
        <v>2920.8</v>
      </c>
      <c r="M346" s="181" t="n">
        <v>205.25</v>
      </c>
      <c r="N346" s="181" t="n">
        <v>214.48</v>
      </c>
      <c r="O346" s="181" t="n">
        <v>219.65</v>
      </c>
      <c r="P346" s="181" t="n">
        <v>225.37</v>
      </c>
      <c r="Q346" s="181" t="n">
        <v>232.76</v>
      </c>
      <c r="R346" s="181" t="n">
        <v>238.85</v>
      </c>
      <c r="S346" s="181" t="n">
        <v>248.08</v>
      </c>
      <c r="T346" s="181" t="n">
        <v>254.17</v>
      </c>
      <c r="U346" s="181" t="n">
        <v>259.89</v>
      </c>
      <c r="V346" s="181" t="n">
        <v>266.35</v>
      </c>
      <c r="W346" s="181" t="n">
        <v>273.36</v>
      </c>
      <c r="X346" s="182" t="n">
        <v>282.59</v>
      </c>
      <c r="Y346" s="183" t="inlineStr">
        <is>
          <t>.</t>
        </is>
      </c>
      <c r="Z346" s="184">
        <f>SUM(AA346:AL346)</f>
        <v/>
      </c>
      <c r="AA346" s="185" t="n">
        <v>0</v>
      </c>
      <c r="AB346" s="185" t="n">
        <v>0</v>
      </c>
      <c r="AC346" s="185" t="n">
        <v>0</v>
      </c>
      <c r="AD346" s="185" t="n">
        <v>0</v>
      </c>
      <c r="AE346" s="185" t="n">
        <v>0</v>
      </c>
      <c r="AF346" s="185" t="n">
        <v>0</v>
      </c>
      <c r="AG346" s="185" t="n">
        <v>0</v>
      </c>
      <c r="AH346" s="185" t="n">
        <v>0</v>
      </c>
      <c r="AI346" s="185" t="n">
        <v>2257.79</v>
      </c>
      <c r="AJ346" s="185" t="n">
        <v>0</v>
      </c>
      <c r="AK346" s="185" t="n">
        <v>0</v>
      </c>
      <c r="AL346" s="186" t="n">
        <v>0</v>
      </c>
      <c r="AM346" s="30" t="inlineStr">
        <is>
          <t>.</t>
        </is>
      </c>
      <c r="AN346" s="187">
        <f>IF(L346=0,0,Z346/L346)</f>
        <v/>
      </c>
      <c r="AO346" s="57">
        <f>IF(AN346&gt;=1,"🟢",IF(AN346&gt;=0.7,"🟡",IF(AN346&gt;=0.4,"🟠","🔴")))</f>
        <v/>
      </c>
      <c r="AP346" s="185">
        <f>L346-Z346</f>
        <v/>
      </c>
      <c r="AQ346" s="55">
        <f>RANK(Z346,$Z$4:$Z$503,0)</f>
        <v/>
      </c>
      <c r="AR346" s="39" t="inlineStr">
        <is>
          <t>.</t>
        </is>
      </c>
      <c r="AS346" s="27" t="n"/>
      <c r="AT346" s="27" t="n"/>
      <c r="AU346" s="27" t="n"/>
      <c r="AV346" s="27" t="n"/>
      <c r="AW346" s="27" t="n"/>
      <c r="AX346" s="27" t="n"/>
      <c r="AY346" s="204" t="n"/>
      <c r="AZ346" s="204" t="n"/>
      <c r="BA346" s="38" t="inlineStr">
        <is>
          <t>.</t>
        </is>
      </c>
      <c r="BB346" s="190">
        <f>SUM(BC346:BN346)</f>
        <v/>
      </c>
      <c r="BC346" s="191">
        <f>L346*0.0702730030</f>
        <v/>
      </c>
      <c r="BD346" s="191">
        <f>L346*0.0734327604</f>
        <v/>
      </c>
      <c r="BE346" s="191">
        <f>L346*0.0752022245</f>
        <v/>
      </c>
      <c r="BF346" s="191">
        <f>L346*0.0771612740</f>
        <v/>
      </c>
      <c r="BG346" s="191">
        <f>L346*0.0796890799</f>
        <v/>
      </c>
      <c r="BH346" s="191">
        <f>L346*0.0817745197</f>
        <v/>
      </c>
      <c r="BI346" s="191">
        <f>L346*0.0849342770</f>
        <v/>
      </c>
      <c r="BJ346" s="191">
        <f>L346*0.0870197169</f>
        <v/>
      </c>
      <c r="BK346" s="191">
        <f>L346*0.0889787664</f>
        <v/>
      </c>
      <c r="BL346" s="191">
        <f>L346*0.0911905966</f>
        <v/>
      </c>
      <c r="BM346" s="191">
        <f>L346*0.0935920121</f>
        <v/>
      </c>
      <c r="BN346" s="192">
        <f>L346*0.0967517695</f>
        <v/>
      </c>
      <c r="BO346" s="36" t="inlineStr">
        <is>
          <t>.</t>
        </is>
      </c>
      <c r="BP346" s="193">
        <f>SUM(BQ346:CB346)</f>
        <v/>
      </c>
      <c r="BQ346" s="191">
        <f>MAX(0,BC346-AA346)</f>
        <v/>
      </c>
      <c r="BR346" s="191">
        <f>MAX(0,BD346-AB346)</f>
        <v/>
      </c>
      <c r="BS346" s="191">
        <f>MAX(0,BE346-AC346)</f>
        <v/>
      </c>
      <c r="BT346" s="191">
        <f>MAX(0,BF346-AD346)</f>
        <v/>
      </c>
      <c r="BU346" s="191">
        <f>MAX(0,BG346-AE346)</f>
        <v/>
      </c>
      <c r="BV346" s="191">
        <f>MAX(0,BH346-AF346)</f>
        <v/>
      </c>
      <c r="BW346" s="191">
        <f>MAX(0,BI346-AG346)</f>
        <v/>
      </c>
      <c r="BX346" s="191">
        <f>MAX(0,BJ346-AH346)</f>
        <v/>
      </c>
      <c r="BY346" s="191">
        <f>MAX(0,BK346-AI346)</f>
        <v/>
      </c>
      <c r="BZ346" s="191">
        <f>MAX(0,BL346-AJ346)</f>
        <v/>
      </c>
      <c r="CA346" s="191">
        <f>MAX(0,BM346-AK346)</f>
        <v/>
      </c>
      <c r="CB346" s="192">
        <f>MAX(0,BN346-AL346)</f>
        <v/>
      </c>
    </row>
    <row r="347">
      <c r="A347" s="64" t="inlineStr">
        <is>
          <t>58010332000137</t>
        </is>
      </c>
      <c r="B347" s="57" t="inlineStr">
        <is>
          <t>BIDO GUITES VIDA SAUDAVEL LTDA - EPP</t>
        </is>
      </c>
      <c r="C347" s="57" t="inlineStr">
        <is>
          <t>VIDA LEVE</t>
        </is>
      </c>
      <c r="D347" s="61" t="inlineStr">
        <is>
          <t>DAIANE STAVICKI</t>
        </is>
      </c>
      <c r="E347" s="30" t="inlineStr">
        <is>
          <t>.</t>
        </is>
      </c>
      <c r="F347" s="63" t="n">
        <v>81</v>
      </c>
      <c r="G347" s="179" t="n">
        <v>0.08</v>
      </c>
      <c r="H347" s="57" t="inlineStr">
        <is>
          <t>🔴 VERMELHO</t>
        </is>
      </c>
      <c r="I347" s="57" t="inlineStr">
        <is>
          <t>ATIVAÇÃO</t>
        </is>
      </c>
      <c r="J347" s="61" t="inlineStr">
        <is>
          <t>Reativar inativos + Prospectar</t>
        </is>
      </c>
      <c r="K347" s="30" t="inlineStr">
        <is>
          <t>.</t>
        </is>
      </c>
      <c r="L347" s="180" t="n">
        <v>2907.21</v>
      </c>
      <c r="M347" s="181" t="n">
        <v>204.3</v>
      </c>
      <c r="N347" s="181" t="n">
        <v>213.48</v>
      </c>
      <c r="O347" s="181" t="n">
        <v>218.63</v>
      </c>
      <c r="P347" s="181" t="n">
        <v>224.32</v>
      </c>
      <c r="Q347" s="181" t="n">
        <v>231.67</v>
      </c>
      <c r="R347" s="181" t="n">
        <v>237.74</v>
      </c>
      <c r="S347" s="181" t="n">
        <v>246.92</v>
      </c>
      <c r="T347" s="181" t="n">
        <v>252.99</v>
      </c>
      <c r="U347" s="181" t="n">
        <v>258.68</v>
      </c>
      <c r="V347" s="181" t="n">
        <v>265.11</v>
      </c>
      <c r="W347" s="181" t="n">
        <v>272.09</v>
      </c>
      <c r="X347" s="182" t="n">
        <v>281.28</v>
      </c>
      <c r="Y347" s="183" t="inlineStr">
        <is>
          <t>.</t>
        </is>
      </c>
      <c r="Z347" s="184">
        <f>SUM(AA347:AL347)</f>
        <v/>
      </c>
      <c r="AA347" s="185" t="n">
        <v>0</v>
      </c>
      <c r="AB347" s="185" t="n">
        <v>0</v>
      </c>
      <c r="AC347" s="185" t="n">
        <v>0</v>
      </c>
      <c r="AD347" s="185" t="n">
        <v>0</v>
      </c>
      <c r="AE347" s="185" t="n">
        <v>0</v>
      </c>
      <c r="AF347" s="185" t="n">
        <v>0</v>
      </c>
      <c r="AG347" s="185" t="n">
        <v>0</v>
      </c>
      <c r="AH347" s="185" t="n">
        <v>0</v>
      </c>
      <c r="AI347" s="185" t="n">
        <v>0</v>
      </c>
      <c r="AJ347" s="185" t="n">
        <v>1823.35</v>
      </c>
      <c r="AK347" s="185" t="n">
        <v>0</v>
      </c>
      <c r="AL347" s="186" t="n">
        <v>0</v>
      </c>
      <c r="AM347" s="30" t="inlineStr">
        <is>
          <t>.</t>
        </is>
      </c>
      <c r="AN347" s="187">
        <f>IF(L347=0,0,Z347/L347)</f>
        <v/>
      </c>
      <c r="AO347" s="57">
        <f>IF(AN347&gt;=1,"🟢",IF(AN347&gt;=0.7,"🟡",IF(AN347&gt;=0.4,"🟠","🔴")))</f>
        <v/>
      </c>
      <c r="AP347" s="185">
        <f>L347-Z347</f>
        <v/>
      </c>
      <c r="AQ347" s="55">
        <f>RANK(Z347,$Z$4:$Z$503,0)</f>
        <v/>
      </c>
      <c r="AR347" s="39" t="inlineStr">
        <is>
          <t>.</t>
        </is>
      </c>
      <c r="AS347" s="27" t="n"/>
      <c r="AT347" s="27" t="n"/>
      <c r="AU347" s="27" t="n"/>
      <c r="AV347" s="27" t="n"/>
      <c r="AW347" s="27" t="n"/>
      <c r="AX347" s="27" t="n"/>
      <c r="AY347" s="204" t="n"/>
      <c r="AZ347" s="204" t="n"/>
      <c r="BA347" s="38" t="inlineStr">
        <is>
          <t>.</t>
        </is>
      </c>
      <c r="BB347" s="190">
        <f>SUM(BC347:BN347)</f>
        <v/>
      </c>
      <c r="BC347" s="191">
        <f>L347*0.0702730030</f>
        <v/>
      </c>
      <c r="BD347" s="191">
        <f>L347*0.0734327604</f>
        <v/>
      </c>
      <c r="BE347" s="191">
        <f>L347*0.0752022245</f>
        <v/>
      </c>
      <c r="BF347" s="191">
        <f>L347*0.0771612740</f>
        <v/>
      </c>
      <c r="BG347" s="191">
        <f>L347*0.0796890799</f>
        <v/>
      </c>
      <c r="BH347" s="191">
        <f>L347*0.0817745197</f>
        <v/>
      </c>
      <c r="BI347" s="191">
        <f>L347*0.0849342770</f>
        <v/>
      </c>
      <c r="BJ347" s="191">
        <f>L347*0.0870197169</f>
        <v/>
      </c>
      <c r="BK347" s="191">
        <f>L347*0.0889787664</f>
        <v/>
      </c>
      <c r="BL347" s="191">
        <f>L347*0.0911905966</f>
        <v/>
      </c>
      <c r="BM347" s="191">
        <f>L347*0.0935920121</f>
        <v/>
      </c>
      <c r="BN347" s="192">
        <f>L347*0.0967517695</f>
        <v/>
      </c>
      <c r="BO347" s="36" t="inlineStr">
        <is>
          <t>.</t>
        </is>
      </c>
      <c r="BP347" s="193">
        <f>SUM(BQ347:CB347)</f>
        <v/>
      </c>
      <c r="BQ347" s="191">
        <f>MAX(0,BC347-AA347)</f>
        <v/>
      </c>
      <c r="BR347" s="191">
        <f>MAX(0,BD347-AB347)</f>
        <v/>
      </c>
      <c r="BS347" s="191">
        <f>MAX(0,BE347-AC347)</f>
        <v/>
      </c>
      <c r="BT347" s="191">
        <f>MAX(0,BF347-AD347)</f>
        <v/>
      </c>
      <c r="BU347" s="191">
        <f>MAX(0,BG347-AE347)</f>
        <v/>
      </c>
      <c r="BV347" s="191">
        <f>MAX(0,BH347-AF347)</f>
        <v/>
      </c>
      <c r="BW347" s="191">
        <f>MAX(0,BI347-AG347)</f>
        <v/>
      </c>
      <c r="BX347" s="191">
        <f>MAX(0,BJ347-AH347)</f>
        <v/>
      </c>
      <c r="BY347" s="191">
        <f>MAX(0,BK347-AI347)</f>
        <v/>
      </c>
      <c r="BZ347" s="191">
        <f>MAX(0,BL347-AJ347)</f>
        <v/>
      </c>
      <c r="CA347" s="191">
        <f>MAX(0,BM347-AK347)</f>
        <v/>
      </c>
      <c r="CB347" s="192">
        <f>MAX(0,BN347-AL347)</f>
        <v/>
      </c>
    </row>
    <row r="348">
      <c r="A348" s="64" t="inlineStr">
        <is>
          <t>59182148000137</t>
        </is>
      </c>
      <c r="B348" s="57" t="inlineStr">
        <is>
          <t>MULTI ARMAZEM LTDA - ME</t>
        </is>
      </c>
      <c r="C348" s="57" t="inlineStr">
        <is>
          <t>SEM GRUPO</t>
        </is>
      </c>
      <c r="D348" s="61" t="inlineStr">
        <is>
          <t>LARISSA PADILHA</t>
        </is>
      </c>
      <c r="E348" s="30" t="inlineStr">
        <is>
          <t>.</t>
        </is>
      </c>
      <c r="F348" s="63" t="inlineStr"/>
      <c r="G348" s="179" t="inlineStr"/>
      <c r="H348" s="57" t="inlineStr"/>
      <c r="I348" s="57" t="inlineStr"/>
      <c r="J348" s="61" t="inlineStr"/>
      <c r="K348" s="30" t="inlineStr">
        <is>
          <t>.</t>
        </is>
      </c>
      <c r="L348" s="180" t="n">
        <v>2902.64</v>
      </c>
      <c r="M348" s="181" t="n">
        <v>203.98</v>
      </c>
      <c r="N348" s="181" t="n">
        <v>213.15</v>
      </c>
      <c r="O348" s="181" t="n">
        <v>218.29</v>
      </c>
      <c r="P348" s="181" t="n">
        <v>223.97</v>
      </c>
      <c r="Q348" s="181" t="n">
        <v>231.31</v>
      </c>
      <c r="R348" s="181" t="n">
        <v>237.36</v>
      </c>
      <c r="S348" s="181" t="n">
        <v>246.53</v>
      </c>
      <c r="T348" s="181" t="n">
        <v>252.59</v>
      </c>
      <c r="U348" s="181" t="n">
        <v>258.27</v>
      </c>
      <c r="V348" s="181" t="n">
        <v>264.69</v>
      </c>
      <c r="W348" s="181" t="n">
        <v>271.66</v>
      </c>
      <c r="X348" s="182" t="n">
        <v>280.84</v>
      </c>
      <c r="Y348" s="183" t="inlineStr">
        <is>
          <t>.</t>
        </is>
      </c>
      <c r="Z348" s="184">
        <f>SUM(AA348:AL348)</f>
        <v/>
      </c>
      <c r="AA348" s="185" t="n">
        <v>0</v>
      </c>
      <c r="AB348" s="185" t="n">
        <v>0</v>
      </c>
      <c r="AC348" s="185" t="n">
        <v>0</v>
      </c>
      <c r="AD348" s="185" t="n">
        <v>0</v>
      </c>
      <c r="AE348" s="185" t="n">
        <v>0</v>
      </c>
      <c r="AF348" s="185" t="n">
        <v>0</v>
      </c>
      <c r="AG348" s="185" t="n">
        <v>0</v>
      </c>
      <c r="AH348" s="185" t="n">
        <v>1223.09</v>
      </c>
      <c r="AI348" s="185" t="n">
        <v>0</v>
      </c>
      <c r="AJ348" s="185" t="n">
        <v>0</v>
      </c>
      <c r="AK348" s="185" t="n">
        <v>0</v>
      </c>
      <c r="AL348" s="186" t="n">
        <v>0</v>
      </c>
      <c r="AM348" s="30" t="inlineStr">
        <is>
          <t>.</t>
        </is>
      </c>
      <c r="AN348" s="187">
        <f>IF(L348=0,0,Z348/L348)</f>
        <v/>
      </c>
      <c r="AO348" s="57">
        <f>IF(AN348&gt;=1,"🟢",IF(AN348&gt;=0.7,"🟡",IF(AN348&gt;=0.4,"🟠","🔴")))</f>
        <v/>
      </c>
      <c r="AP348" s="185">
        <f>L348-Z348</f>
        <v/>
      </c>
      <c r="AQ348" s="55">
        <f>RANK(Z348,$Z$4:$Z$503,0)</f>
        <v/>
      </c>
      <c r="AR348" s="39" t="inlineStr">
        <is>
          <t>.</t>
        </is>
      </c>
      <c r="AS348" s="27" t="n"/>
      <c r="AT348" s="27" t="n"/>
      <c r="AU348" s="27" t="n"/>
      <c r="AV348" s="27" t="n"/>
      <c r="AW348" s="27" t="n"/>
      <c r="AX348" s="27" t="n"/>
      <c r="AY348" s="204" t="n"/>
      <c r="AZ348" s="204" t="n"/>
      <c r="BA348" s="38" t="inlineStr">
        <is>
          <t>.</t>
        </is>
      </c>
      <c r="BB348" s="190">
        <f>SUM(BC348:BN348)</f>
        <v/>
      </c>
      <c r="BC348" s="191">
        <f>L348*0.0702730030</f>
        <v/>
      </c>
      <c r="BD348" s="191">
        <f>L348*0.0734327604</f>
        <v/>
      </c>
      <c r="BE348" s="191">
        <f>L348*0.0752022245</f>
        <v/>
      </c>
      <c r="BF348" s="191">
        <f>L348*0.0771612740</f>
        <v/>
      </c>
      <c r="BG348" s="191">
        <f>L348*0.0796890799</f>
        <v/>
      </c>
      <c r="BH348" s="191">
        <f>L348*0.0817745197</f>
        <v/>
      </c>
      <c r="BI348" s="191">
        <f>L348*0.0849342770</f>
        <v/>
      </c>
      <c r="BJ348" s="191">
        <f>L348*0.0870197169</f>
        <v/>
      </c>
      <c r="BK348" s="191">
        <f>L348*0.0889787664</f>
        <v/>
      </c>
      <c r="BL348" s="191">
        <f>L348*0.0911905966</f>
        <v/>
      </c>
      <c r="BM348" s="191">
        <f>L348*0.0935920121</f>
        <v/>
      </c>
      <c r="BN348" s="192">
        <f>L348*0.0967517695</f>
        <v/>
      </c>
      <c r="BO348" s="36" t="inlineStr">
        <is>
          <t>.</t>
        </is>
      </c>
      <c r="BP348" s="193">
        <f>SUM(BQ348:CB348)</f>
        <v/>
      </c>
      <c r="BQ348" s="191">
        <f>MAX(0,BC348-AA348)</f>
        <v/>
      </c>
      <c r="BR348" s="191">
        <f>MAX(0,BD348-AB348)</f>
        <v/>
      </c>
      <c r="BS348" s="191">
        <f>MAX(0,BE348-AC348)</f>
        <v/>
      </c>
      <c r="BT348" s="191">
        <f>MAX(0,BF348-AD348)</f>
        <v/>
      </c>
      <c r="BU348" s="191">
        <f>MAX(0,BG348-AE348)</f>
        <v/>
      </c>
      <c r="BV348" s="191">
        <f>MAX(0,BH348-AF348)</f>
        <v/>
      </c>
      <c r="BW348" s="191">
        <f>MAX(0,BI348-AG348)</f>
        <v/>
      </c>
      <c r="BX348" s="191">
        <f>MAX(0,BJ348-AH348)</f>
        <v/>
      </c>
      <c r="BY348" s="191">
        <f>MAX(0,BK348-AI348)</f>
        <v/>
      </c>
      <c r="BZ348" s="191">
        <f>MAX(0,BL348-AJ348)</f>
        <v/>
      </c>
      <c r="CA348" s="191">
        <f>MAX(0,BM348-AK348)</f>
        <v/>
      </c>
      <c r="CB348" s="192">
        <f>MAX(0,BN348-AL348)</f>
        <v/>
      </c>
    </row>
    <row r="349">
      <c r="A349" s="64" t="inlineStr">
        <is>
          <t>33156790000158</t>
        </is>
      </c>
      <c r="B349" s="57" t="inlineStr">
        <is>
          <t>ROBERTO B DA COSTA JUNIOR - ME</t>
        </is>
      </c>
      <c r="C349" s="57" t="inlineStr">
        <is>
          <t>SEM GRUPO</t>
        </is>
      </c>
      <c r="D349" s="61" t="inlineStr">
        <is>
          <t>LARISSA PADILHA</t>
        </is>
      </c>
      <c r="E349" s="30" t="inlineStr">
        <is>
          <t>.</t>
        </is>
      </c>
      <c r="F349" s="63" t="inlineStr"/>
      <c r="G349" s="179" t="inlineStr"/>
      <c r="H349" s="57" t="inlineStr"/>
      <c r="I349" s="57" t="inlineStr"/>
      <c r="J349" s="61" t="inlineStr"/>
      <c r="K349" s="30" t="inlineStr">
        <is>
          <t>.</t>
        </is>
      </c>
      <c r="L349" s="180" t="n">
        <v>2889.14</v>
      </c>
      <c r="M349" s="181" t="n">
        <v>203.03</v>
      </c>
      <c r="N349" s="181" t="n">
        <v>212.16</v>
      </c>
      <c r="O349" s="181" t="n">
        <v>217.27</v>
      </c>
      <c r="P349" s="181" t="n">
        <v>222.93</v>
      </c>
      <c r="Q349" s="181" t="n">
        <v>230.23</v>
      </c>
      <c r="R349" s="181" t="n">
        <v>236.26</v>
      </c>
      <c r="S349" s="181" t="n">
        <v>245.39</v>
      </c>
      <c r="T349" s="181" t="n">
        <v>251.41</v>
      </c>
      <c r="U349" s="181" t="n">
        <v>257.07</v>
      </c>
      <c r="V349" s="181" t="n">
        <v>263.46</v>
      </c>
      <c r="W349" s="181" t="n">
        <v>270.4</v>
      </c>
      <c r="X349" s="182" t="n">
        <v>279.53</v>
      </c>
      <c r="Y349" s="183" t="inlineStr">
        <is>
          <t>.</t>
        </is>
      </c>
      <c r="Z349" s="184">
        <f>SUM(AA349:AL349)</f>
        <v/>
      </c>
      <c r="AA349" s="185" t="n">
        <v>0</v>
      </c>
      <c r="AB349" s="185" t="n">
        <v>0</v>
      </c>
      <c r="AC349" s="185" t="n">
        <v>0</v>
      </c>
      <c r="AD349" s="185" t="n">
        <v>0</v>
      </c>
      <c r="AE349" s="185" t="n">
        <v>0</v>
      </c>
      <c r="AF349" s="185" t="n">
        <v>0</v>
      </c>
      <c r="AG349" s="185" t="n">
        <v>0</v>
      </c>
      <c r="AH349" s="185" t="n">
        <v>0</v>
      </c>
      <c r="AI349" s="185" t="n">
        <v>0</v>
      </c>
      <c r="AJ349" s="185" t="n">
        <v>1819.43</v>
      </c>
      <c r="AK349" s="185" t="n">
        <v>0</v>
      </c>
      <c r="AL349" s="186" t="n">
        <v>0</v>
      </c>
      <c r="AM349" s="30" t="inlineStr">
        <is>
          <t>.</t>
        </is>
      </c>
      <c r="AN349" s="187">
        <f>IF(L349=0,0,Z349/L349)</f>
        <v/>
      </c>
      <c r="AO349" s="57">
        <f>IF(AN349&gt;=1,"🟢",IF(AN349&gt;=0.7,"🟡",IF(AN349&gt;=0.4,"🟠","🔴")))</f>
        <v/>
      </c>
      <c r="AP349" s="185">
        <f>L349-Z349</f>
        <v/>
      </c>
      <c r="AQ349" s="55">
        <f>RANK(Z349,$Z$4:$Z$503,0)</f>
        <v/>
      </c>
      <c r="AR349" s="39" t="inlineStr">
        <is>
          <t>.</t>
        </is>
      </c>
      <c r="AS349" s="27" t="n"/>
      <c r="AT349" s="27" t="n"/>
      <c r="AU349" s="27" t="n"/>
      <c r="AV349" s="27" t="n"/>
      <c r="AW349" s="27" t="n"/>
      <c r="AX349" s="27" t="n"/>
      <c r="AY349" s="204" t="n"/>
      <c r="AZ349" s="204" t="n"/>
      <c r="BA349" s="38" t="inlineStr">
        <is>
          <t>.</t>
        </is>
      </c>
      <c r="BB349" s="190">
        <f>SUM(BC349:BN349)</f>
        <v/>
      </c>
      <c r="BC349" s="191">
        <f>L349*0.0702730030</f>
        <v/>
      </c>
      <c r="BD349" s="191">
        <f>L349*0.0734327604</f>
        <v/>
      </c>
      <c r="BE349" s="191">
        <f>L349*0.0752022245</f>
        <v/>
      </c>
      <c r="BF349" s="191">
        <f>L349*0.0771612740</f>
        <v/>
      </c>
      <c r="BG349" s="191">
        <f>L349*0.0796890799</f>
        <v/>
      </c>
      <c r="BH349" s="191">
        <f>L349*0.0817745197</f>
        <v/>
      </c>
      <c r="BI349" s="191">
        <f>L349*0.0849342770</f>
        <v/>
      </c>
      <c r="BJ349" s="191">
        <f>L349*0.0870197169</f>
        <v/>
      </c>
      <c r="BK349" s="191">
        <f>L349*0.0889787664</f>
        <v/>
      </c>
      <c r="BL349" s="191">
        <f>L349*0.0911905966</f>
        <v/>
      </c>
      <c r="BM349" s="191">
        <f>L349*0.0935920121</f>
        <v/>
      </c>
      <c r="BN349" s="192">
        <f>L349*0.0967517695</f>
        <v/>
      </c>
      <c r="BO349" s="36" t="inlineStr">
        <is>
          <t>.</t>
        </is>
      </c>
      <c r="BP349" s="193">
        <f>SUM(BQ349:CB349)</f>
        <v/>
      </c>
      <c r="BQ349" s="191">
        <f>MAX(0,BC349-AA349)</f>
        <v/>
      </c>
      <c r="BR349" s="191">
        <f>MAX(0,BD349-AB349)</f>
        <v/>
      </c>
      <c r="BS349" s="191">
        <f>MAX(0,BE349-AC349)</f>
        <v/>
      </c>
      <c r="BT349" s="191">
        <f>MAX(0,BF349-AD349)</f>
        <v/>
      </c>
      <c r="BU349" s="191">
        <f>MAX(0,BG349-AE349)</f>
        <v/>
      </c>
      <c r="BV349" s="191">
        <f>MAX(0,BH349-AF349)</f>
        <v/>
      </c>
      <c r="BW349" s="191">
        <f>MAX(0,BI349-AG349)</f>
        <v/>
      </c>
      <c r="BX349" s="191">
        <f>MAX(0,BJ349-AH349)</f>
        <v/>
      </c>
      <c r="BY349" s="191">
        <f>MAX(0,BK349-AI349)</f>
        <v/>
      </c>
      <c r="BZ349" s="191">
        <f>MAX(0,BL349-AJ349)</f>
        <v/>
      </c>
      <c r="CA349" s="191">
        <f>MAX(0,BM349-AK349)</f>
        <v/>
      </c>
      <c r="CB349" s="192">
        <f>MAX(0,BN349-AL349)</f>
        <v/>
      </c>
    </row>
    <row r="350">
      <c r="A350" s="64" t="inlineStr">
        <is>
          <t>30515235000187</t>
        </is>
      </c>
      <c r="B350" s="57" t="inlineStr">
        <is>
          <t>VITTONI COMERCIO DE PRODUTOS NATURAIS LT</t>
        </is>
      </c>
      <c r="C350" s="57" t="inlineStr">
        <is>
          <t>SEM GRUPO</t>
        </is>
      </c>
      <c r="D350" s="61" t="inlineStr">
        <is>
          <t>HEMANUELE DITZEL (MANU)</t>
        </is>
      </c>
      <c r="E350" s="30" t="inlineStr">
        <is>
          <t>.</t>
        </is>
      </c>
      <c r="F350" s="63" t="inlineStr"/>
      <c r="G350" s="179" t="inlineStr"/>
      <c r="H350" s="57" t="inlineStr"/>
      <c r="I350" s="57" t="inlineStr"/>
      <c r="J350" s="61" t="inlineStr"/>
      <c r="K350" s="30" t="inlineStr">
        <is>
          <t>.</t>
        </is>
      </c>
      <c r="L350" s="180" t="n">
        <v>2875.76</v>
      </c>
      <c r="M350" s="181" t="n">
        <v>202.09</v>
      </c>
      <c r="N350" s="181" t="n">
        <v>211.18</v>
      </c>
      <c r="O350" s="181" t="n">
        <v>216.26</v>
      </c>
      <c r="P350" s="181" t="n">
        <v>221.9</v>
      </c>
      <c r="Q350" s="181" t="n">
        <v>229.17</v>
      </c>
      <c r="R350" s="181" t="n">
        <v>235.16</v>
      </c>
      <c r="S350" s="181" t="n">
        <v>244.25</v>
      </c>
      <c r="T350" s="181" t="n">
        <v>250.25</v>
      </c>
      <c r="U350" s="181" t="n">
        <v>255.88</v>
      </c>
      <c r="V350" s="181" t="n">
        <v>262.24</v>
      </c>
      <c r="W350" s="181" t="n">
        <v>269.15</v>
      </c>
      <c r="X350" s="182" t="n">
        <v>278.23</v>
      </c>
      <c r="Y350" s="183" t="inlineStr">
        <is>
          <t>.</t>
        </is>
      </c>
      <c r="Z350" s="184">
        <f>SUM(AA350:AL350)</f>
        <v/>
      </c>
      <c r="AA350" s="185" t="n">
        <v>0</v>
      </c>
      <c r="AB350" s="185" t="n">
        <v>0</v>
      </c>
      <c r="AC350" s="185" t="n">
        <v>0</v>
      </c>
      <c r="AD350" s="185" t="n">
        <v>0</v>
      </c>
      <c r="AE350" s="185" t="n">
        <v>0</v>
      </c>
      <c r="AF350" s="185" t="n">
        <v>0</v>
      </c>
      <c r="AG350" s="185" t="n">
        <v>0</v>
      </c>
      <c r="AH350" s="185" t="n">
        <v>0</v>
      </c>
      <c r="AI350" s="185" t="n">
        <v>0</v>
      </c>
      <c r="AJ350" s="185" t="n">
        <v>1635.91</v>
      </c>
      <c r="AK350" s="185" t="n">
        <v>0</v>
      </c>
      <c r="AL350" s="186" t="n">
        <v>0</v>
      </c>
      <c r="AM350" s="30" t="inlineStr">
        <is>
          <t>.</t>
        </is>
      </c>
      <c r="AN350" s="187">
        <f>IF(L350=0,0,Z350/L350)</f>
        <v/>
      </c>
      <c r="AO350" s="57">
        <f>IF(AN350&gt;=1,"🟢",IF(AN350&gt;=0.7,"🟡",IF(AN350&gt;=0.4,"🟠","🔴")))</f>
        <v/>
      </c>
      <c r="AP350" s="185">
        <f>L350-Z350</f>
        <v/>
      </c>
      <c r="AQ350" s="55">
        <f>RANK(Z350,$Z$4:$Z$503,0)</f>
        <v/>
      </c>
      <c r="AR350" s="39" t="inlineStr">
        <is>
          <t>.</t>
        </is>
      </c>
      <c r="AS350" s="27" t="n"/>
      <c r="AT350" s="27" t="n"/>
      <c r="AU350" s="27" t="n"/>
      <c r="AV350" s="27" t="n"/>
      <c r="AW350" s="27" t="n"/>
      <c r="AX350" s="27" t="n"/>
      <c r="AY350" s="204" t="n"/>
      <c r="AZ350" s="204" t="n"/>
      <c r="BA350" s="38" t="inlineStr">
        <is>
          <t>.</t>
        </is>
      </c>
      <c r="BB350" s="190">
        <f>SUM(BC350:BN350)</f>
        <v/>
      </c>
      <c r="BC350" s="191">
        <f>L350*0.0702730030</f>
        <v/>
      </c>
      <c r="BD350" s="191">
        <f>L350*0.0734327604</f>
        <v/>
      </c>
      <c r="BE350" s="191">
        <f>L350*0.0752022245</f>
        <v/>
      </c>
      <c r="BF350" s="191">
        <f>L350*0.0771612740</f>
        <v/>
      </c>
      <c r="BG350" s="191">
        <f>L350*0.0796890799</f>
        <v/>
      </c>
      <c r="BH350" s="191">
        <f>L350*0.0817745197</f>
        <v/>
      </c>
      <c r="BI350" s="191">
        <f>L350*0.0849342770</f>
        <v/>
      </c>
      <c r="BJ350" s="191">
        <f>L350*0.0870197169</f>
        <v/>
      </c>
      <c r="BK350" s="191">
        <f>L350*0.0889787664</f>
        <v/>
      </c>
      <c r="BL350" s="191">
        <f>L350*0.0911905966</f>
        <v/>
      </c>
      <c r="BM350" s="191">
        <f>L350*0.0935920121</f>
        <v/>
      </c>
      <c r="BN350" s="192">
        <f>L350*0.0967517695</f>
        <v/>
      </c>
      <c r="BO350" s="36" t="inlineStr">
        <is>
          <t>.</t>
        </is>
      </c>
      <c r="BP350" s="193">
        <f>SUM(BQ350:CB350)</f>
        <v/>
      </c>
      <c r="BQ350" s="191">
        <f>MAX(0,BC350-AA350)</f>
        <v/>
      </c>
      <c r="BR350" s="191">
        <f>MAX(0,BD350-AB350)</f>
        <v/>
      </c>
      <c r="BS350" s="191">
        <f>MAX(0,BE350-AC350)</f>
        <v/>
      </c>
      <c r="BT350" s="191">
        <f>MAX(0,BF350-AD350)</f>
        <v/>
      </c>
      <c r="BU350" s="191">
        <f>MAX(0,BG350-AE350)</f>
        <v/>
      </c>
      <c r="BV350" s="191">
        <f>MAX(0,BH350-AF350)</f>
        <v/>
      </c>
      <c r="BW350" s="191">
        <f>MAX(0,BI350-AG350)</f>
        <v/>
      </c>
      <c r="BX350" s="191">
        <f>MAX(0,BJ350-AH350)</f>
        <v/>
      </c>
      <c r="BY350" s="191">
        <f>MAX(0,BK350-AI350)</f>
        <v/>
      </c>
      <c r="BZ350" s="191">
        <f>MAX(0,BL350-AJ350)</f>
        <v/>
      </c>
      <c r="CA350" s="191">
        <f>MAX(0,BM350-AK350)</f>
        <v/>
      </c>
      <c r="CB350" s="192">
        <f>MAX(0,BN350-AL350)</f>
        <v/>
      </c>
    </row>
    <row r="351">
      <c r="A351" s="64" t="inlineStr">
        <is>
          <t>59394889000181</t>
        </is>
      </c>
      <c r="B351" s="57" t="inlineStr">
        <is>
          <t>TERRITORIO SAUDE SJP LTDA - ME</t>
        </is>
      </c>
      <c r="C351" s="57" t="inlineStr">
        <is>
          <t>SEM GRUPO</t>
        </is>
      </c>
      <c r="D351" s="61" t="inlineStr">
        <is>
          <t>HEMANUELE DITZEL (MANU)</t>
        </is>
      </c>
      <c r="E351" s="30" t="inlineStr">
        <is>
          <t>.</t>
        </is>
      </c>
      <c r="F351" s="63" t="inlineStr"/>
      <c r="G351" s="179" t="inlineStr"/>
      <c r="H351" s="57" t="inlineStr"/>
      <c r="I351" s="57" t="inlineStr"/>
      <c r="J351" s="61" t="inlineStr"/>
      <c r="K351" s="30" t="inlineStr">
        <is>
          <t>.</t>
        </is>
      </c>
      <c r="L351" s="180" t="n">
        <v>2835.97</v>
      </c>
      <c r="M351" s="181" t="n">
        <v>199.29</v>
      </c>
      <c r="N351" s="181" t="n">
        <v>208.25</v>
      </c>
      <c r="O351" s="181" t="n">
        <v>213.27</v>
      </c>
      <c r="P351" s="181" t="n">
        <v>218.83</v>
      </c>
      <c r="Q351" s="181" t="n">
        <v>226</v>
      </c>
      <c r="R351" s="181" t="n">
        <v>231.91</v>
      </c>
      <c r="S351" s="181" t="n">
        <v>240.87</v>
      </c>
      <c r="T351" s="181" t="n">
        <v>246.79</v>
      </c>
      <c r="U351" s="181" t="n">
        <v>252.34</v>
      </c>
      <c r="V351" s="181" t="n">
        <v>258.61</v>
      </c>
      <c r="W351" s="181" t="n">
        <v>265.42</v>
      </c>
      <c r="X351" s="182" t="n">
        <v>274.39</v>
      </c>
      <c r="Y351" s="183" t="inlineStr">
        <is>
          <t>.</t>
        </is>
      </c>
      <c r="Z351" s="184">
        <f>SUM(AA351:AL351)</f>
        <v/>
      </c>
      <c r="AA351" s="185" t="n">
        <v>0</v>
      </c>
      <c r="AB351" s="185" t="n">
        <v>0</v>
      </c>
      <c r="AC351" s="185" t="n">
        <v>0</v>
      </c>
      <c r="AD351" s="185" t="n">
        <v>0</v>
      </c>
      <c r="AE351" s="185" t="n">
        <v>0</v>
      </c>
      <c r="AF351" s="185" t="n">
        <v>1138.86</v>
      </c>
      <c r="AG351" s="185" t="n">
        <v>0</v>
      </c>
      <c r="AH351" s="185" t="n">
        <v>0</v>
      </c>
      <c r="AI351" s="185" t="n">
        <v>0</v>
      </c>
      <c r="AJ351" s="185" t="n">
        <v>0</v>
      </c>
      <c r="AK351" s="185" t="n">
        <v>0</v>
      </c>
      <c r="AL351" s="186" t="n">
        <v>0</v>
      </c>
      <c r="AM351" s="30" t="inlineStr">
        <is>
          <t>.</t>
        </is>
      </c>
      <c r="AN351" s="187">
        <f>IF(L351=0,0,Z351/L351)</f>
        <v/>
      </c>
      <c r="AO351" s="57">
        <f>IF(AN351&gt;=1,"🟢",IF(AN351&gt;=0.7,"🟡",IF(AN351&gt;=0.4,"🟠","🔴")))</f>
        <v/>
      </c>
      <c r="AP351" s="185">
        <f>L351-Z351</f>
        <v/>
      </c>
      <c r="AQ351" s="55">
        <f>RANK(Z351,$Z$4:$Z$503,0)</f>
        <v/>
      </c>
      <c r="AR351" s="39" t="inlineStr">
        <is>
          <t>.</t>
        </is>
      </c>
      <c r="AS351" s="27" t="n"/>
      <c r="AT351" s="27" t="n"/>
      <c r="AU351" s="27" t="n"/>
      <c r="AV351" s="27" t="n"/>
      <c r="AW351" s="27" t="n"/>
      <c r="AX351" s="27" t="n"/>
      <c r="AY351" s="204" t="n"/>
      <c r="AZ351" s="204" t="n"/>
      <c r="BA351" s="38" t="inlineStr">
        <is>
          <t>.</t>
        </is>
      </c>
      <c r="BB351" s="190">
        <f>SUM(BC351:BN351)</f>
        <v/>
      </c>
      <c r="BC351" s="191">
        <f>L351*0.0702730030</f>
        <v/>
      </c>
      <c r="BD351" s="191">
        <f>L351*0.0734327604</f>
        <v/>
      </c>
      <c r="BE351" s="191">
        <f>L351*0.0752022245</f>
        <v/>
      </c>
      <c r="BF351" s="191">
        <f>L351*0.0771612740</f>
        <v/>
      </c>
      <c r="BG351" s="191">
        <f>L351*0.0796890799</f>
        <v/>
      </c>
      <c r="BH351" s="191">
        <f>L351*0.0817745197</f>
        <v/>
      </c>
      <c r="BI351" s="191">
        <f>L351*0.0849342770</f>
        <v/>
      </c>
      <c r="BJ351" s="191">
        <f>L351*0.0870197169</f>
        <v/>
      </c>
      <c r="BK351" s="191">
        <f>L351*0.0889787664</f>
        <v/>
      </c>
      <c r="BL351" s="191">
        <f>L351*0.0911905966</f>
        <v/>
      </c>
      <c r="BM351" s="191">
        <f>L351*0.0935920121</f>
        <v/>
      </c>
      <c r="BN351" s="192">
        <f>L351*0.0967517695</f>
        <v/>
      </c>
      <c r="BO351" s="36" t="inlineStr">
        <is>
          <t>.</t>
        </is>
      </c>
      <c r="BP351" s="193">
        <f>SUM(BQ351:CB351)</f>
        <v/>
      </c>
      <c r="BQ351" s="191">
        <f>MAX(0,BC351-AA351)</f>
        <v/>
      </c>
      <c r="BR351" s="191">
        <f>MAX(0,BD351-AB351)</f>
        <v/>
      </c>
      <c r="BS351" s="191">
        <f>MAX(0,BE351-AC351)</f>
        <v/>
      </c>
      <c r="BT351" s="191">
        <f>MAX(0,BF351-AD351)</f>
        <v/>
      </c>
      <c r="BU351" s="191">
        <f>MAX(0,BG351-AE351)</f>
        <v/>
      </c>
      <c r="BV351" s="191">
        <f>MAX(0,BH351-AF351)</f>
        <v/>
      </c>
      <c r="BW351" s="191">
        <f>MAX(0,BI351-AG351)</f>
        <v/>
      </c>
      <c r="BX351" s="191">
        <f>MAX(0,BJ351-AH351)</f>
        <v/>
      </c>
      <c r="BY351" s="191">
        <f>MAX(0,BK351-AI351)</f>
        <v/>
      </c>
      <c r="BZ351" s="191">
        <f>MAX(0,BL351-AJ351)</f>
        <v/>
      </c>
      <c r="CA351" s="191">
        <f>MAX(0,BM351-AK351)</f>
        <v/>
      </c>
      <c r="CB351" s="192">
        <f>MAX(0,BN351-AL351)</f>
        <v/>
      </c>
    </row>
    <row r="352">
      <c r="A352" s="64" t="inlineStr">
        <is>
          <t>62757635000195</t>
        </is>
      </c>
      <c r="B352" s="57" t="inlineStr">
        <is>
          <t>YES DISTRIBUIDORA E COMERCIO DE PRODUTOS</t>
        </is>
      </c>
      <c r="C352" s="57" t="inlineStr">
        <is>
          <t>CIA DA SAUDE</t>
        </is>
      </c>
      <c r="D352" s="61" t="inlineStr">
        <is>
          <t>JULIO GADRET</t>
        </is>
      </c>
      <c r="E352" s="30" t="inlineStr">
        <is>
          <t>.</t>
        </is>
      </c>
      <c r="F352" s="63" t="n">
        <v>163</v>
      </c>
      <c r="G352" s="179" t="n">
        <v>0.026</v>
      </c>
      <c r="H352" s="57" t="inlineStr">
        <is>
          <t>🔴 VERMELHO</t>
        </is>
      </c>
      <c r="I352" s="57" t="inlineStr">
        <is>
          <t>ATIVAÇÃO</t>
        </is>
      </c>
      <c r="J352" s="61" t="inlineStr">
        <is>
          <t>Reativar inativos + Prospectar</t>
        </is>
      </c>
      <c r="K352" s="30" t="inlineStr">
        <is>
          <t>.</t>
        </is>
      </c>
      <c r="L352" s="180" t="n">
        <v>2815.45</v>
      </c>
      <c r="M352" s="181" t="n">
        <v>197.85</v>
      </c>
      <c r="N352" s="181" t="n">
        <v>206.75</v>
      </c>
      <c r="O352" s="181" t="n">
        <v>211.73</v>
      </c>
      <c r="P352" s="181" t="n">
        <v>217.24</v>
      </c>
      <c r="Q352" s="181" t="n">
        <v>224.36</v>
      </c>
      <c r="R352" s="181" t="n">
        <v>230.23</v>
      </c>
      <c r="S352" s="181" t="n">
        <v>239.13</v>
      </c>
      <c r="T352" s="181" t="n">
        <v>245</v>
      </c>
      <c r="U352" s="181" t="n">
        <v>250.52</v>
      </c>
      <c r="V352" s="181" t="n">
        <v>256.74</v>
      </c>
      <c r="W352" s="181" t="n">
        <v>263.5</v>
      </c>
      <c r="X352" s="182" t="n">
        <v>272.4</v>
      </c>
      <c r="Y352" s="183" t="inlineStr">
        <is>
          <t>.</t>
        </is>
      </c>
      <c r="Z352" s="184">
        <f>SUM(AA352:AL352)</f>
        <v/>
      </c>
      <c r="AA352" s="185" t="n">
        <v>0</v>
      </c>
      <c r="AB352" s="185" t="n">
        <v>0</v>
      </c>
      <c r="AC352" s="185" t="n">
        <v>0</v>
      </c>
      <c r="AD352" s="185" t="n">
        <v>0</v>
      </c>
      <c r="AE352" s="185" t="n">
        <v>0</v>
      </c>
      <c r="AF352" s="185" t="n">
        <v>0</v>
      </c>
      <c r="AG352" s="185" t="n">
        <v>0</v>
      </c>
      <c r="AH352" s="185" t="n">
        <v>0</v>
      </c>
      <c r="AI352" s="185" t="n">
        <v>0</v>
      </c>
      <c r="AJ352" s="185" t="n">
        <v>0</v>
      </c>
      <c r="AK352" s="185" t="n">
        <v>1501.82</v>
      </c>
      <c r="AL352" s="186" t="n">
        <v>0</v>
      </c>
      <c r="AM352" s="30" t="inlineStr">
        <is>
          <t>.</t>
        </is>
      </c>
      <c r="AN352" s="187">
        <f>IF(L352=0,0,Z352/L352)</f>
        <v/>
      </c>
      <c r="AO352" s="57">
        <f>IF(AN352&gt;=1,"🟢",IF(AN352&gt;=0.7,"🟡",IF(AN352&gt;=0.4,"🟠","🔴")))</f>
        <v/>
      </c>
      <c r="AP352" s="185">
        <f>L352-Z352</f>
        <v/>
      </c>
      <c r="AQ352" s="55">
        <f>RANK(Z352,$Z$4:$Z$503,0)</f>
        <v/>
      </c>
      <c r="AR352" s="39" t="inlineStr">
        <is>
          <t>.</t>
        </is>
      </c>
      <c r="AS352" s="27" t="n"/>
      <c r="AT352" s="27" t="n"/>
      <c r="AU352" s="27" t="n"/>
      <c r="AV352" s="27" t="n"/>
      <c r="AW352" s="27" t="n"/>
      <c r="AX352" s="27" t="n"/>
      <c r="AY352" s="204" t="n"/>
      <c r="AZ352" s="204" t="n"/>
      <c r="BA352" s="38" t="inlineStr">
        <is>
          <t>.</t>
        </is>
      </c>
      <c r="BB352" s="190">
        <f>SUM(BC352:BN352)</f>
        <v/>
      </c>
      <c r="BC352" s="191">
        <f>L352*0.0702730030</f>
        <v/>
      </c>
      <c r="BD352" s="191">
        <f>L352*0.0734327604</f>
        <v/>
      </c>
      <c r="BE352" s="191">
        <f>L352*0.0752022245</f>
        <v/>
      </c>
      <c r="BF352" s="191">
        <f>L352*0.0771612740</f>
        <v/>
      </c>
      <c r="BG352" s="191">
        <f>L352*0.0796890799</f>
        <v/>
      </c>
      <c r="BH352" s="191">
        <f>L352*0.0817745197</f>
        <v/>
      </c>
      <c r="BI352" s="191">
        <f>L352*0.0849342770</f>
        <v/>
      </c>
      <c r="BJ352" s="191">
        <f>L352*0.0870197169</f>
        <v/>
      </c>
      <c r="BK352" s="191">
        <f>L352*0.0889787664</f>
        <v/>
      </c>
      <c r="BL352" s="191">
        <f>L352*0.0911905966</f>
        <v/>
      </c>
      <c r="BM352" s="191">
        <f>L352*0.0935920121</f>
        <v/>
      </c>
      <c r="BN352" s="192">
        <f>L352*0.0967517695</f>
        <v/>
      </c>
      <c r="BO352" s="36" t="inlineStr">
        <is>
          <t>.</t>
        </is>
      </c>
      <c r="BP352" s="193">
        <f>SUM(BQ352:CB352)</f>
        <v/>
      </c>
      <c r="BQ352" s="191">
        <f>MAX(0,BC352-AA352)</f>
        <v/>
      </c>
      <c r="BR352" s="191">
        <f>MAX(0,BD352-AB352)</f>
        <v/>
      </c>
      <c r="BS352" s="191">
        <f>MAX(0,BE352-AC352)</f>
        <v/>
      </c>
      <c r="BT352" s="191">
        <f>MAX(0,BF352-AD352)</f>
        <v/>
      </c>
      <c r="BU352" s="191">
        <f>MAX(0,BG352-AE352)</f>
        <v/>
      </c>
      <c r="BV352" s="191">
        <f>MAX(0,BH352-AF352)</f>
        <v/>
      </c>
      <c r="BW352" s="191">
        <f>MAX(0,BI352-AG352)</f>
        <v/>
      </c>
      <c r="BX352" s="191">
        <f>MAX(0,BJ352-AH352)</f>
        <v/>
      </c>
      <c r="BY352" s="191">
        <f>MAX(0,BK352-AI352)</f>
        <v/>
      </c>
      <c r="BZ352" s="191">
        <f>MAX(0,BL352-AJ352)</f>
        <v/>
      </c>
      <c r="CA352" s="191">
        <f>MAX(0,BM352-AK352)</f>
        <v/>
      </c>
      <c r="CB352" s="192">
        <f>MAX(0,BN352-AL352)</f>
        <v/>
      </c>
    </row>
    <row r="353">
      <c r="A353" s="64" t="inlineStr">
        <is>
          <t>28781911000112</t>
        </is>
      </c>
      <c r="B353" s="57" t="inlineStr">
        <is>
          <t>VILA GRANEL COMERCIO DE PRODUTOS ALIMENT</t>
        </is>
      </c>
      <c r="C353" s="57" t="inlineStr">
        <is>
          <t>SEM GRUPO</t>
        </is>
      </c>
      <c r="D353" s="61" t="inlineStr">
        <is>
          <t>LARISSA PADILHA</t>
        </is>
      </c>
      <c r="E353" s="30" t="inlineStr">
        <is>
          <t>.</t>
        </is>
      </c>
      <c r="F353" s="63" t="inlineStr"/>
      <c r="G353" s="179" t="inlineStr"/>
      <c r="H353" s="57" t="inlineStr"/>
      <c r="I353" s="57" t="inlineStr"/>
      <c r="J353" s="61" t="inlineStr"/>
      <c r="K353" s="30" t="inlineStr">
        <is>
          <t>.</t>
        </is>
      </c>
      <c r="L353" s="180" t="n">
        <v>2796.84</v>
      </c>
      <c r="M353" s="181" t="n">
        <v>196.54</v>
      </c>
      <c r="N353" s="181" t="n">
        <v>205.38</v>
      </c>
      <c r="O353" s="181" t="n">
        <v>210.33</v>
      </c>
      <c r="P353" s="181" t="n">
        <v>215.81</v>
      </c>
      <c r="Q353" s="181" t="n">
        <v>222.88</v>
      </c>
      <c r="R353" s="181" t="n">
        <v>228.71</v>
      </c>
      <c r="S353" s="181" t="n">
        <v>237.55</v>
      </c>
      <c r="T353" s="181" t="n">
        <v>243.38</v>
      </c>
      <c r="U353" s="181" t="n">
        <v>248.86</v>
      </c>
      <c r="V353" s="181" t="n">
        <v>255.04</v>
      </c>
      <c r="W353" s="181" t="n">
        <v>261.76</v>
      </c>
      <c r="X353" s="182" t="n">
        <v>270.6</v>
      </c>
      <c r="Y353" s="183" t="inlineStr">
        <is>
          <t>.</t>
        </is>
      </c>
      <c r="Z353" s="184">
        <f>SUM(AA353:AL353)</f>
        <v/>
      </c>
      <c r="AA353" s="185" t="n">
        <v>0</v>
      </c>
      <c r="AB353" s="185" t="n">
        <v>0</v>
      </c>
      <c r="AC353" s="185" t="n">
        <v>0</v>
      </c>
      <c r="AD353" s="185" t="n">
        <v>0</v>
      </c>
      <c r="AE353" s="185" t="n">
        <v>0</v>
      </c>
      <c r="AF353" s="185" t="n">
        <v>0</v>
      </c>
      <c r="AG353" s="185" t="n">
        <v>0</v>
      </c>
      <c r="AH353" s="185" t="n">
        <v>0</v>
      </c>
      <c r="AI353" s="185" t="n">
        <v>0</v>
      </c>
      <c r="AJ353" s="185" t="n">
        <v>0</v>
      </c>
      <c r="AK353" s="185" t="n">
        <v>0</v>
      </c>
      <c r="AL353" s="186" t="n">
        <v>1232.64</v>
      </c>
      <c r="AM353" s="30" t="inlineStr">
        <is>
          <t>.</t>
        </is>
      </c>
      <c r="AN353" s="187">
        <f>IF(L353=0,0,Z353/L353)</f>
        <v/>
      </c>
      <c r="AO353" s="57">
        <f>IF(AN353&gt;=1,"🟢",IF(AN353&gt;=0.7,"🟡",IF(AN353&gt;=0.4,"🟠","🔴")))</f>
        <v/>
      </c>
      <c r="AP353" s="185">
        <f>L353-Z353</f>
        <v/>
      </c>
      <c r="AQ353" s="55">
        <f>RANK(Z353,$Z$4:$Z$503,0)</f>
        <v/>
      </c>
      <c r="AR353" s="39" t="inlineStr">
        <is>
          <t>.</t>
        </is>
      </c>
      <c r="AS353" s="27" t="n"/>
      <c r="AT353" s="27" t="n"/>
      <c r="AU353" s="27" t="n"/>
      <c r="AV353" s="27" t="n"/>
      <c r="AW353" s="27" t="n"/>
      <c r="AX353" s="27" t="n"/>
      <c r="AY353" s="204" t="n"/>
      <c r="AZ353" s="204" t="n"/>
      <c r="BA353" s="38" t="inlineStr">
        <is>
          <t>.</t>
        </is>
      </c>
      <c r="BB353" s="190">
        <f>SUM(BC353:BN353)</f>
        <v/>
      </c>
      <c r="BC353" s="191">
        <f>L353*0.0702730030</f>
        <v/>
      </c>
      <c r="BD353" s="191">
        <f>L353*0.0734327604</f>
        <v/>
      </c>
      <c r="BE353" s="191">
        <f>L353*0.0752022245</f>
        <v/>
      </c>
      <c r="BF353" s="191">
        <f>L353*0.0771612740</f>
        <v/>
      </c>
      <c r="BG353" s="191">
        <f>L353*0.0796890799</f>
        <v/>
      </c>
      <c r="BH353" s="191">
        <f>L353*0.0817745197</f>
        <v/>
      </c>
      <c r="BI353" s="191">
        <f>L353*0.0849342770</f>
        <v/>
      </c>
      <c r="BJ353" s="191">
        <f>L353*0.0870197169</f>
        <v/>
      </c>
      <c r="BK353" s="191">
        <f>L353*0.0889787664</f>
        <v/>
      </c>
      <c r="BL353" s="191">
        <f>L353*0.0911905966</f>
        <v/>
      </c>
      <c r="BM353" s="191">
        <f>L353*0.0935920121</f>
        <v/>
      </c>
      <c r="BN353" s="192">
        <f>L353*0.0967517695</f>
        <v/>
      </c>
      <c r="BO353" s="36" t="inlineStr">
        <is>
          <t>.</t>
        </is>
      </c>
      <c r="BP353" s="193">
        <f>SUM(BQ353:CB353)</f>
        <v/>
      </c>
      <c r="BQ353" s="191">
        <f>MAX(0,BC353-AA353)</f>
        <v/>
      </c>
      <c r="BR353" s="191">
        <f>MAX(0,BD353-AB353)</f>
        <v/>
      </c>
      <c r="BS353" s="191">
        <f>MAX(0,BE353-AC353)</f>
        <v/>
      </c>
      <c r="BT353" s="191">
        <f>MAX(0,BF353-AD353)</f>
        <v/>
      </c>
      <c r="BU353" s="191">
        <f>MAX(0,BG353-AE353)</f>
        <v/>
      </c>
      <c r="BV353" s="191">
        <f>MAX(0,BH353-AF353)</f>
        <v/>
      </c>
      <c r="BW353" s="191">
        <f>MAX(0,BI353-AG353)</f>
        <v/>
      </c>
      <c r="BX353" s="191">
        <f>MAX(0,BJ353-AH353)</f>
        <v/>
      </c>
      <c r="BY353" s="191">
        <f>MAX(0,BK353-AI353)</f>
        <v/>
      </c>
      <c r="BZ353" s="191">
        <f>MAX(0,BL353-AJ353)</f>
        <v/>
      </c>
      <c r="CA353" s="191">
        <f>MAX(0,BM353-AK353)</f>
        <v/>
      </c>
      <c r="CB353" s="192">
        <f>MAX(0,BN353-AL353)</f>
        <v/>
      </c>
    </row>
    <row r="354">
      <c r="A354" s="64" t="inlineStr">
        <is>
          <t>24991684000107</t>
        </is>
      </c>
      <c r="B354" s="57" t="inlineStr">
        <is>
          <t>24.991.684 DEBORA CRISTINA TEIXEIRA - ME</t>
        </is>
      </c>
      <c r="C354" s="57" t="inlineStr">
        <is>
          <t>SEM GRUPO</t>
        </is>
      </c>
      <c r="D354" s="61" t="inlineStr">
        <is>
          <t>HEMANUELE DITZEL (MANU)</t>
        </is>
      </c>
      <c r="E354" s="30" t="inlineStr">
        <is>
          <t>.</t>
        </is>
      </c>
      <c r="F354" s="63" t="inlineStr"/>
      <c r="G354" s="179" t="inlineStr"/>
      <c r="H354" s="57" t="inlineStr"/>
      <c r="I354" s="57" t="inlineStr"/>
      <c r="J354" s="61" t="inlineStr"/>
      <c r="K354" s="30" t="inlineStr">
        <is>
          <t>.</t>
        </is>
      </c>
      <c r="L354" s="180" t="n">
        <v>2753.21</v>
      </c>
      <c r="M354" s="181" t="n">
        <v>193.48</v>
      </c>
      <c r="N354" s="181" t="n">
        <v>202.17</v>
      </c>
      <c r="O354" s="181" t="n">
        <v>207.05</v>
      </c>
      <c r="P354" s="181" t="n">
        <v>212.44</v>
      </c>
      <c r="Q354" s="181" t="n">
        <v>219.4</v>
      </c>
      <c r="R354" s="181" t="n">
        <v>225.14</v>
      </c>
      <c r="S354" s="181" t="n">
        <v>233.84</v>
      </c>
      <c r="T354" s="181" t="n">
        <v>239.58</v>
      </c>
      <c r="U354" s="181" t="n">
        <v>244.98</v>
      </c>
      <c r="V354" s="181" t="n">
        <v>251.07</v>
      </c>
      <c r="W354" s="181" t="n">
        <v>257.68</v>
      </c>
      <c r="X354" s="182" t="n">
        <v>266.38</v>
      </c>
      <c r="Y354" s="183" t="inlineStr">
        <is>
          <t>.</t>
        </is>
      </c>
      <c r="Z354" s="184">
        <f>SUM(AA354:AL354)</f>
        <v/>
      </c>
      <c r="AA354" s="185" t="n">
        <v>0</v>
      </c>
      <c r="AB354" s="185" t="n">
        <v>0</v>
      </c>
      <c r="AC354" s="185" t="n">
        <v>0</v>
      </c>
      <c r="AD354" s="185" t="n">
        <v>0</v>
      </c>
      <c r="AE354" s="185" t="n">
        <v>0</v>
      </c>
      <c r="AF354" s="185" t="n">
        <v>0</v>
      </c>
      <c r="AG354" s="185" t="n">
        <v>0</v>
      </c>
      <c r="AH354" s="185" t="n">
        <v>0</v>
      </c>
      <c r="AI354" s="185" t="n">
        <v>0</v>
      </c>
      <c r="AJ354" s="185" t="n">
        <v>0</v>
      </c>
      <c r="AK354" s="185" t="n">
        <v>0</v>
      </c>
      <c r="AL354" s="186" t="n">
        <v>1213.41</v>
      </c>
      <c r="AM354" s="30" t="inlineStr">
        <is>
          <t>.</t>
        </is>
      </c>
      <c r="AN354" s="187">
        <f>IF(L354=0,0,Z354/L354)</f>
        <v/>
      </c>
      <c r="AO354" s="57">
        <f>IF(AN354&gt;=1,"🟢",IF(AN354&gt;=0.7,"🟡",IF(AN354&gt;=0.4,"🟠","🔴")))</f>
        <v/>
      </c>
      <c r="AP354" s="185">
        <f>L354-Z354</f>
        <v/>
      </c>
      <c r="AQ354" s="55">
        <f>RANK(Z354,$Z$4:$Z$503,0)</f>
        <v/>
      </c>
      <c r="AR354" s="39" t="inlineStr">
        <is>
          <t>.</t>
        </is>
      </c>
      <c r="AS354" s="27" t="n"/>
      <c r="AT354" s="27" t="n"/>
      <c r="AU354" s="27" t="n"/>
      <c r="AV354" s="27" t="n"/>
      <c r="AW354" s="27" t="n"/>
      <c r="AX354" s="27" t="n"/>
      <c r="AY354" s="204" t="n"/>
      <c r="AZ354" s="204" t="n"/>
      <c r="BA354" s="38" t="inlineStr">
        <is>
          <t>.</t>
        </is>
      </c>
      <c r="BB354" s="190">
        <f>SUM(BC354:BN354)</f>
        <v/>
      </c>
      <c r="BC354" s="191">
        <f>L354*0.0702730030</f>
        <v/>
      </c>
      <c r="BD354" s="191">
        <f>L354*0.0734327604</f>
        <v/>
      </c>
      <c r="BE354" s="191">
        <f>L354*0.0752022245</f>
        <v/>
      </c>
      <c r="BF354" s="191">
        <f>L354*0.0771612740</f>
        <v/>
      </c>
      <c r="BG354" s="191">
        <f>L354*0.0796890799</f>
        <v/>
      </c>
      <c r="BH354" s="191">
        <f>L354*0.0817745197</f>
        <v/>
      </c>
      <c r="BI354" s="191">
        <f>L354*0.0849342770</f>
        <v/>
      </c>
      <c r="BJ354" s="191">
        <f>L354*0.0870197169</f>
        <v/>
      </c>
      <c r="BK354" s="191">
        <f>L354*0.0889787664</f>
        <v/>
      </c>
      <c r="BL354" s="191">
        <f>L354*0.0911905966</f>
        <v/>
      </c>
      <c r="BM354" s="191">
        <f>L354*0.0935920121</f>
        <v/>
      </c>
      <c r="BN354" s="192">
        <f>L354*0.0967517695</f>
        <v/>
      </c>
      <c r="BO354" s="36" t="inlineStr">
        <is>
          <t>.</t>
        </is>
      </c>
      <c r="BP354" s="193">
        <f>SUM(BQ354:CB354)</f>
        <v/>
      </c>
      <c r="BQ354" s="191">
        <f>MAX(0,BC354-AA354)</f>
        <v/>
      </c>
      <c r="BR354" s="191">
        <f>MAX(0,BD354-AB354)</f>
        <v/>
      </c>
      <c r="BS354" s="191">
        <f>MAX(0,BE354-AC354)</f>
        <v/>
      </c>
      <c r="BT354" s="191">
        <f>MAX(0,BF354-AD354)</f>
        <v/>
      </c>
      <c r="BU354" s="191">
        <f>MAX(0,BG354-AE354)</f>
        <v/>
      </c>
      <c r="BV354" s="191">
        <f>MAX(0,BH354-AF354)</f>
        <v/>
      </c>
      <c r="BW354" s="191">
        <f>MAX(0,BI354-AG354)</f>
        <v/>
      </c>
      <c r="BX354" s="191">
        <f>MAX(0,BJ354-AH354)</f>
        <v/>
      </c>
      <c r="BY354" s="191">
        <f>MAX(0,BK354-AI354)</f>
        <v/>
      </c>
      <c r="BZ354" s="191">
        <f>MAX(0,BL354-AJ354)</f>
        <v/>
      </c>
      <c r="CA354" s="191">
        <f>MAX(0,BM354-AK354)</f>
        <v/>
      </c>
      <c r="CB354" s="192">
        <f>MAX(0,BN354-AL354)</f>
        <v/>
      </c>
    </row>
    <row r="355">
      <c r="A355" s="64" t="inlineStr">
        <is>
          <t>59460012000141</t>
        </is>
      </c>
      <c r="B355" s="57" t="inlineStr">
        <is>
          <t>HBA DISTRIBUIDORA LTDA</t>
        </is>
      </c>
      <c r="C355" s="57" t="inlineStr">
        <is>
          <t>SEM GRUPO</t>
        </is>
      </c>
      <c r="D355" s="61" t="inlineStr">
        <is>
          <t>LARISSA PADILHA</t>
        </is>
      </c>
      <c r="E355" s="30" t="inlineStr">
        <is>
          <t>.</t>
        </is>
      </c>
      <c r="F355" s="63" t="inlineStr"/>
      <c r="G355" s="179" t="inlineStr"/>
      <c r="H355" s="57" t="inlineStr"/>
      <c r="I355" s="57" t="inlineStr"/>
      <c r="J355" s="61" t="inlineStr"/>
      <c r="K355" s="30" t="inlineStr">
        <is>
          <t>.</t>
        </is>
      </c>
      <c r="L355" s="180" t="n">
        <v>2737.76</v>
      </c>
      <c r="M355" s="181" t="n">
        <v>192.39</v>
      </c>
      <c r="N355" s="181" t="n">
        <v>201.04</v>
      </c>
      <c r="O355" s="181" t="n">
        <v>205.89</v>
      </c>
      <c r="P355" s="181" t="n">
        <v>211.25</v>
      </c>
      <c r="Q355" s="181" t="n">
        <v>218.17</v>
      </c>
      <c r="R355" s="181" t="n">
        <v>223.88</v>
      </c>
      <c r="S355" s="181" t="n">
        <v>232.53</v>
      </c>
      <c r="T355" s="181" t="n">
        <v>238.24</v>
      </c>
      <c r="U355" s="181" t="n">
        <v>243.6</v>
      </c>
      <c r="V355" s="181" t="n">
        <v>249.66</v>
      </c>
      <c r="W355" s="181" t="n">
        <v>256.23</v>
      </c>
      <c r="X355" s="182" t="n">
        <v>264.88</v>
      </c>
      <c r="Y355" s="183" t="inlineStr">
        <is>
          <t>.</t>
        </is>
      </c>
      <c r="Z355" s="184">
        <f>SUM(AA355:AL355)</f>
        <v/>
      </c>
      <c r="AA355" s="185" t="n">
        <v>0</v>
      </c>
      <c r="AB355" s="185" t="n">
        <v>0</v>
      </c>
      <c r="AC355" s="185" t="n">
        <v>0</v>
      </c>
      <c r="AD355" s="185" t="n">
        <v>0</v>
      </c>
      <c r="AE355" s="185" t="n">
        <v>0</v>
      </c>
      <c r="AF355" s="185" t="n">
        <v>0</v>
      </c>
      <c r="AG355" s="185" t="n">
        <v>1903.24</v>
      </c>
      <c r="AH355" s="185" t="n">
        <v>0</v>
      </c>
      <c r="AI355" s="185" t="n">
        <v>0</v>
      </c>
      <c r="AJ355" s="185" t="n">
        <v>0</v>
      </c>
      <c r="AK355" s="185" t="n">
        <v>0</v>
      </c>
      <c r="AL355" s="186" t="n">
        <v>0</v>
      </c>
      <c r="AM355" s="30" t="inlineStr">
        <is>
          <t>.</t>
        </is>
      </c>
      <c r="AN355" s="187">
        <f>IF(L355=0,0,Z355/L355)</f>
        <v/>
      </c>
      <c r="AO355" s="57">
        <f>IF(AN355&gt;=1,"🟢",IF(AN355&gt;=0.7,"🟡",IF(AN355&gt;=0.4,"🟠","🔴")))</f>
        <v/>
      </c>
      <c r="AP355" s="185">
        <f>L355-Z355</f>
        <v/>
      </c>
      <c r="AQ355" s="55">
        <f>RANK(Z355,$Z$4:$Z$503,0)</f>
        <v/>
      </c>
      <c r="AR355" s="39" t="inlineStr">
        <is>
          <t>.</t>
        </is>
      </c>
      <c r="AS355" s="27" t="n"/>
      <c r="AT355" s="27" t="n"/>
      <c r="AU355" s="27" t="n"/>
      <c r="AV355" s="27" t="n"/>
      <c r="AW355" s="27" t="n"/>
      <c r="AX355" s="27" t="n"/>
      <c r="AY355" s="204" t="n"/>
      <c r="AZ355" s="204" t="n"/>
      <c r="BA355" s="38" t="inlineStr">
        <is>
          <t>.</t>
        </is>
      </c>
      <c r="BB355" s="190">
        <f>SUM(BC355:BN355)</f>
        <v/>
      </c>
      <c r="BC355" s="191">
        <f>L355*0.0702730030</f>
        <v/>
      </c>
      <c r="BD355" s="191">
        <f>L355*0.0734327604</f>
        <v/>
      </c>
      <c r="BE355" s="191">
        <f>L355*0.0752022245</f>
        <v/>
      </c>
      <c r="BF355" s="191">
        <f>L355*0.0771612740</f>
        <v/>
      </c>
      <c r="BG355" s="191">
        <f>L355*0.0796890799</f>
        <v/>
      </c>
      <c r="BH355" s="191">
        <f>L355*0.0817745197</f>
        <v/>
      </c>
      <c r="BI355" s="191">
        <f>L355*0.0849342770</f>
        <v/>
      </c>
      <c r="BJ355" s="191">
        <f>L355*0.0870197169</f>
        <v/>
      </c>
      <c r="BK355" s="191">
        <f>L355*0.0889787664</f>
        <v/>
      </c>
      <c r="BL355" s="191">
        <f>L355*0.0911905966</f>
        <v/>
      </c>
      <c r="BM355" s="191">
        <f>L355*0.0935920121</f>
        <v/>
      </c>
      <c r="BN355" s="192">
        <f>L355*0.0967517695</f>
        <v/>
      </c>
      <c r="BO355" s="36" t="inlineStr">
        <is>
          <t>.</t>
        </is>
      </c>
      <c r="BP355" s="193">
        <f>SUM(BQ355:CB355)</f>
        <v/>
      </c>
      <c r="BQ355" s="191">
        <f>MAX(0,BC355-AA355)</f>
        <v/>
      </c>
      <c r="BR355" s="191">
        <f>MAX(0,BD355-AB355)</f>
        <v/>
      </c>
      <c r="BS355" s="191">
        <f>MAX(0,BE355-AC355)</f>
        <v/>
      </c>
      <c r="BT355" s="191">
        <f>MAX(0,BF355-AD355)</f>
        <v/>
      </c>
      <c r="BU355" s="191">
        <f>MAX(0,BG355-AE355)</f>
        <v/>
      </c>
      <c r="BV355" s="191">
        <f>MAX(0,BH355-AF355)</f>
        <v/>
      </c>
      <c r="BW355" s="191">
        <f>MAX(0,BI355-AG355)</f>
        <v/>
      </c>
      <c r="BX355" s="191">
        <f>MAX(0,BJ355-AH355)</f>
        <v/>
      </c>
      <c r="BY355" s="191">
        <f>MAX(0,BK355-AI355)</f>
        <v/>
      </c>
      <c r="BZ355" s="191">
        <f>MAX(0,BL355-AJ355)</f>
        <v/>
      </c>
      <c r="CA355" s="191">
        <f>MAX(0,BM355-AK355)</f>
        <v/>
      </c>
      <c r="CB355" s="192">
        <f>MAX(0,BN355-AL355)</f>
        <v/>
      </c>
    </row>
    <row r="356">
      <c r="A356" s="64" t="inlineStr">
        <is>
          <t>31323790000170</t>
        </is>
      </c>
      <c r="B356" s="57" t="inlineStr">
        <is>
          <t>SIMONE DOS SANTOS TEIXEIRA - ME</t>
        </is>
      </c>
      <c r="C356" s="57" t="inlineStr">
        <is>
          <t>SEM GRUPO</t>
        </is>
      </c>
      <c r="D356" s="61" t="inlineStr">
        <is>
          <t>HEMANUELE DITZEL (MANU)</t>
        </is>
      </c>
      <c r="E356" s="30" t="inlineStr">
        <is>
          <t>.</t>
        </is>
      </c>
      <c r="F356" s="63" t="inlineStr"/>
      <c r="G356" s="179" t="inlineStr"/>
      <c r="H356" s="57" t="inlineStr"/>
      <c r="I356" s="57" t="inlineStr"/>
      <c r="J356" s="61" t="inlineStr"/>
      <c r="K356" s="30" t="inlineStr">
        <is>
          <t>.</t>
        </is>
      </c>
      <c r="L356" s="180" t="n">
        <v>2720.15</v>
      </c>
      <c r="M356" s="181" t="n">
        <v>191.15</v>
      </c>
      <c r="N356" s="181" t="n">
        <v>199.75</v>
      </c>
      <c r="O356" s="181" t="n">
        <v>204.56</v>
      </c>
      <c r="P356" s="181" t="n">
        <v>209.89</v>
      </c>
      <c r="Q356" s="181" t="n">
        <v>216.77</v>
      </c>
      <c r="R356" s="181" t="n">
        <v>222.44</v>
      </c>
      <c r="S356" s="181" t="n">
        <v>231.03</v>
      </c>
      <c r="T356" s="181" t="n">
        <v>236.71</v>
      </c>
      <c r="U356" s="181" t="n">
        <v>242.04</v>
      </c>
      <c r="V356" s="181" t="n">
        <v>248.05</v>
      </c>
      <c r="W356" s="181" t="n">
        <v>254.58</v>
      </c>
      <c r="X356" s="182" t="n">
        <v>263.18</v>
      </c>
      <c r="Y356" s="183" t="inlineStr">
        <is>
          <t>.</t>
        </is>
      </c>
      <c r="Z356" s="184">
        <f>SUM(AA356:AL356)</f>
        <v/>
      </c>
      <c r="AA356" s="185" t="n">
        <v>0</v>
      </c>
      <c r="AB356" s="185" t="n">
        <v>0</v>
      </c>
      <c r="AC356" s="185" t="n">
        <v>0</v>
      </c>
      <c r="AD356" s="185" t="n">
        <v>0</v>
      </c>
      <c r="AE356" s="185" t="n">
        <v>421.7</v>
      </c>
      <c r="AF356" s="185" t="n">
        <v>0</v>
      </c>
      <c r="AG356" s="185" t="n">
        <v>0</v>
      </c>
      <c r="AH356" s="185" t="n">
        <v>0</v>
      </c>
      <c r="AI356" s="185" t="n">
        <v>0</v>
      </c>
      <c r="AJ356" s="185" t="n">
        <v>0</v>
      </c>
      <c r="AK356" s="185" t="n">
        <v>896.58</v>
      </c>
      <c r="AL356" s="186" t="n">
        <v>0</v>
      </c>
      <c r="AM356" s="30" t="inlineStr">
        <is>
          <t>.</t>
        </is>
      </c>
      <c r="AN356" s="187">
        <f>IF(L356=0,0,Z356/L356)</f>
        <v/>
      </c>
      <c r="AO356" s="57">
        <f>IF(AN356&gt;=1,"🟢",IF(AN356&gt;=0.7,"🟡",IF(AN356&gt;=0.4,"🟠","🔴")))</f>
        <v/>
      </c>
      <c r="AP356" s="185">
        <f>L356-Z356</f>
        <v/>
      </c>
      <c r="AQ356" s="55">
        <f>RANK(Z356,$Z$4:$Z$503,0)</f>
        <v/>
      </c>
      <c r="AR356" s="39" t="inlineStr">
        <is>
          <t>.</t>
        </is>
      </c>
      <c r="AS356" s="27" t="n"/>
      <c r="AT356" s="27" t="n"/>
      <c r="AU356" s="27" t="n"/>
      <c r="AV356" s="27" t="n"/>
      <c r="AW356" s="27" t="n"/>
      <c r="AX356" s="27" t="n"/>
      <c r="AY356" s="204" t="n"/>
      <c r="AZ356" s="204" t="n"/>
      <c r="BA356" s="38" t="inlineStr">
        <is>
          <t>.</t>
        </is>
      </c>
      <c r="BB356" s="190">
        <f>SUM(BC356:BN356)</f>
        <v/>
      </c>
      <c r="BC356" s="191">
        <f>L356*0.0702730030</f>
        <v/>
      </c>
      <c r="BD356" s="191">
        <f>L356*0.0734327604</f>
        <v/>
      </c>
      <c r="BE356" s="191">
        <f>L356*0.0752022245</f>
        <v/>
      </c>
      <c r="BF356" s="191">
        <f>L356*0.0771612740</f>
        <v/>
      </c>
      <c r="BG356" s="191">
        <f>L356*0.0796890799</f>
        <v/>
      </c>
      <c r="BH356" s="191">
        <f>L356*0.0817745197</f>
        <v/>
      </c>
      <c r="BI356" s="191">
        <f>L356*0.0849342770</f>
        <v/>
      </c>
      <c r="BJ356" s="191">
        <f>L356*0.0870197169</f>
        <v/>
      </c>
      <c r="BK356" s="191">
        <f>L356*0.0889787664</f>
        <v/>
      </c>
      <c r="BL356" s="191">
        <f>L356*0.0911905966</f>
        <v/>
      </c>
      <c r="BM356" s="191">
        <f>L356*0.0935920121</f>
        <v/>
      </c>
      <c r="BN356" s="192">
        <f>L356*0.0967517695</f>
        <v/>
      </c>
      <c r="BO356" s="36" t="inlineStr">
        <is>
          <t>.</t>
        </is>
      </c>
      <c r="BP356" s="193">
        <f>SUM(BQ356:CB356)</f>
        <v/>
      </c>
      <c r="BQ356" s="191">
        <f>MAX(0,BC356-AA356)</f>
        <v/>
      </c>
      <c r="BR356" s="191">
        <f>MAX(0,BD356-AB356)</f>
        <v/>
      </c>
      <c r="BS356" s="191">
        <f>MAX(0,BE356-AC356)</f>
        <v/>
      </c>
      <c r="BT356" s="191">
        <f>MAX(0,BF356-AD356)</f>
        <v/>
      </c>
      <c r="BU356" s="191">
        <f>MAX(0,BG356-AE356)</f>
        <v/>
      </c>
      <c r="BV356" s="191">
        <f>MAX(0,BH356-AF356)</f>
        <v/>
      </c>
      <c r="BW356" s="191">
        <f>MAX(0,BI356-AG356)</f>
        <v/>
      </c>
      <c r="BX356" s="191">
        <f>MAX(0,BJ356-AH356)</f>
        <v/>
      </c>
      <c r="BY356" s="191">
        <f>MAX(0,BK356-AI356)</f>
        <v/>
      </c>
      <c r="BZ356" s="191">
        <f>MAX(0,BL356-AJ356)</f>
        <v/>
      </c>
      <c r="CA356" s="191">
        <f>MAX(0,BM356-AK356)</f>
        <v/>
      </c>
      <c r="CB356" s="192">
        <f>MAX(0,BN356-AL356)</f>
        <v/>
      </c>
    </row>
    <row r="357">
      <c r="A357" s="64" t="inlineStr">
        <is>
          <t>61357031000199</t>
        </is>
      </c>
      <c r="B357" s="57" t="inlineStr">
        <is>
          <t>DAMAZIO COMERCIO DE ALIMENTOS LTDA - ME</t>
        </is>
      </c>
      <c r="C357" s="57" t="inlineStr">
        <is>
          <t>SEM GRUPO</t>
        </is>
      </c>
      <c r="D357" s="61" t="inlineStr">
        <is>
          <t>HEMANUELE DITZEL (MANU)</t>
        </is>
      </c>
      <c r="E357" s="30" t="inlineStr">
        <is>
          <t>.</t>
        </is>
      </c>
      <c r="F357" s="63" t="inlineStr"/>
      <c r="G357" s="179" t="inlineStr"/>
      <c r="H357" s="57" t="inlineStr"/>
      <c r="I357" s="57" t="inlineStr"/>
      <c r="J357" s="61" t="inlineStr"/>
      <c r="K357" s="30" t="inlineStr">
        <is>
          <t>.</t>
        </is>
      </c>
      <c r="L357" s="180" t="n">
        <v>2719.07</v>
      </c>
      <c r="M357" s="181" t="n">
        <v>191.08</v>
      </c>
      <c r="N357" s="181" t="n">
        <v>199.67</v>
      </c>
      <c r="O357" s="181" t="n">
        <v>204.48</v>
      </c>
      <c r="P357" s="181" t="n">
        <v>209.81</v>
      </c>
      <c r="Q357" s="181" t="n">
        <v>216.68</v>
      </c>
      <c r="R357" s="181" t="n">
        <v>222.35</v>
      </c>
      <c r="S357" s="181" t="n">
        <v>230.94</v>
      </c>
      <c r="T357" s="181" t="n">
        <v>236.61</v>
      </c>
      <c r="U357" s="181" t="n">
        <v>241.94</v>
      </c>
      <c r="V357" s="181" t="n">
        <v>247.95</v>
      </c>
      <c r="W357" s="181" t="n">
        <v>254.48</v>
      </c>
      <c r="X357" s="182" t="n">
        <v>263.08</v>
      </c>
      <c r="Y357" s="183" t="inlineStr">
        <is>
          <t>.</t>
        </is>
      </c>
      <c r="Z357" s="184">
        <f>SUM(AA357:AL357)</f>
        <v/>
      </c>
      <c r="AA357" s="185" t="n">
        <v>0</v>
      </c>
      <c r="AB357" s="185" t="n">
        <v>0</v>
      </c>
      <c r="AC357" s="185" t="n">
        <v>0</v>
      </c>
      <c r="AD357" s="185" t="n">
        <v>0</v>
      </c>
      <c r="AE357" s="185" t="n">
        <v>0</v>
      </c>
      <c r="AF357" s="185" t="n">
        <v>0</v>
      </c>
      <c r="AG357" s="185" t="n">
        <v>1379.16</v>
      </c>
      <c r="AH357" s="185" t="n">
        <v>0</v>
      </c>
      <c r="AI357" s="185" t="n">
        <v>0</v>
      </c>
      <c r="AJ357" s="185" t="n">
        <v>0</v>
      </c>
      <c r="AK357" s="185" t="n">
        <v>0</v>
      </c>
      <c r="AL357" s="186" t="n">
        <v>0</v>
      </c>
      <c r="AM357" s="30" t="inlineStr">
        <is>
          <t>.</t>
        </is>
      </c>
      <c r="AN357" s="187">
        <f>IF(L357=0,0,Z357/L357)</f>
        <v/>
      </c>
      <c r="AO357" s="57">
        <f>IF(AN357&gt;=1,"🟢",IF(AN357&gt;=0.7,"🟡",IF(AN357&gt;=0.4,"🟠","🔴")))</f>
        <v/>
      </c>
      <c r="AP357" s="185">
        <f>L357-Z357</f>
        <v/>
      </c>
      <c r="AQ357" s="55">
        <f>RANK(Z357,$Z$4:$Z$503,0)</f>
        <v/>
      </c>
      <c r="AR357" s="39" t="inlineStr">
        <is>
          <t>.</t>
        </is>
      </c>
      <c r="AS357" s="27" t="n"/>
      <c r="AT357" s="27" t="n"/>
      <c r="AU357" s="27" t="n"/>
      <c r="AV357" s="27" t="n"/>
      <c r="AW357" s="27" t="n"/>
      <c r="AX357" s="27" t="n"/>
      <c r="AY357" s="204" t="n"/>
      <c r="AZ357" s="204" t="n"/>
      <c r="BA357" s="38" t="inlineStr">
        <is>
          <t>.</t>
        </is>
      </c>
      <c r="BB357" s="190">
        <f>SUM(BC357:BN357)</f>
        <v/>
      </c>
      <c r="BC357" s="191">
        <f>L357*0.0702730030</f>
        <v/>
      </c>
      <c r="BD357" s="191">
        <f>L357*0.0734327604</f>
        <v/>
      </c>
      <c r="BE357" s="191">
        <f>L357*0.0752022245</f>
        <v/>
      </c>
      <c r="BF357" s="191">
        <f>L357*0.0771612740</f>
        <v/>
      </c>
      <c r="BG357" s="191">
        <f>L357*0.0796890799</f>
        <v/>
      </c>
      <c r="BH357" s="191">
        <f>L357*0.0817745197</f>
        <v/>
      </c>
      <c r="BI357" s="191">
        <f>L357*0.0849342770</f>
        <v/>
      </c>
      <c r="BJ357" s="191">
        <f>L357*0.0870197169</f>
        <v/>
      </c>
      <c r="BK357" s="191">
        <f>L357*0.0889787664</f>
        <v/>
      </c>
      <c r="BL357" s="191">
        <f>L357*0.0911905966</f>
        <v/>
      </c>
      <c r="BM357" s="191">
        <f>L357*0.0935920121</f>
        <v/>
      </c>
      <c r="BN357" s="192">
        <f>L357*0.0967517695</f>
        <v/>
      </c>
      <c r="BO357" s="36" t="inlineStr">
        <is>
          <t>.</t>
        </is>
      </c>
      <c r="BP357" s="193">
        <f>SUM(BQ357:CB357)</f>
        <v/>
      </c>
      <c r="BQ357" s="191">
        <f>MAX(0,BC357-AA357)</f>
        <v/>
      </c>
      <c r="BR357" s="191">
        <f>MAX(0,BD357-AB357)</f>
        <v/>
      </c>
      <c r="BS357" s="191">
        <f>MAX(0,BE357-AC357)</f>
        <v/>
      </c>
      <c r="BT357" s="191">
        <f>MAX(0,BF357-AD357)</f>
        <v/>
      </c>
      <c r="BU357" s="191">
        <f>MAX(0,BG357-AE357)</f>
        <v/>
      </c>
      <c r="BV357" s="191">
        <f>MAX(0,BH357-AF357)</f>
        <v/>
      </c>
      <c r="BW357" s="191">
        <f>MAX(0,BI357-AG357)</f>
        <v/>
      </c>
      <c r="BX357" s="191">
        <f>MAX(0,BJ357-AH357)</f>
        <v/>
      </c>
      <c r="BY357" s="191">
        <f>MAX(0,BK357-AI357)</f>
        <v/>
      </c>
      <c r="BZ357" s="191">
        <f>MAX(0,BL357-AJ357)</f>
        <v/>
      </c>
      <c r="CA357" s="191">
        <f>MAX(0,BM357-AK357)</f>
        <v/>
      </c>
      <c r="CB357" s="192">
        <f>MAX(0,BN357-AL357)</f>
        <v/>
      </c>
    </row>
    <row r="358">
      <c r="A358" s="64" t="inlineStr">
        <is>
          <t>48606158000136</t>
        </is>
      </c>
      <c r="B358" s="57" t="inlineStr">
        <is>
          <t>SS COMERCIO DE SUPLEMENTOS LTDA - ME</t>
        </is>
      </c>
      <c r="C358" s="57" t="inlineStr">
        <is>
          <t>SEM GRUPO</t>
        </is>
      </c>
      <c r="D358" s="61" t="inlineStr">
        <is>
          <t>LARISSA PADILHA</t>
        </is>
      </c>
      <c r="E358" s="30" t="inlineStr">
        <is>
          <t>.</t>
        </is>
      </c>
      <c r="F358" s="63" t="inlineStr"/>
      <c r="G358" s="179" t="inlineStr"/>
      <c r="H358" s="57" t="inlineStr"/>
      <c r="I358" s="57" t="inlineStr"/>
      <c r="J358" s="61" t="inlineStr"/>
      <c r="K358" s="30" t="inlineStr">
        <is>
          <t>.</t>
        </is>
      </c>
      <c r="L358" s="180" t="n">
        <v>2693.03</v>
      </c>
      <c r="M358" s="181" t="n">
        <v>189.25</v>
      </c>
      <c r="N358" s="181" t="n">
        <v>197.76</v>
      </c>
      <c r="O358" s="181" t="n">
        <v>202.52</v>
      </c>
      <c r="P358" s="181" t="n">
        <v>207.8</v>
      </c>
      <c r="Q358" s="181" t="n">
        <v>214.6</v>
      </c>
      <c r="R358" s="181" t="n">
        <v>220.22</v>
      </c>
      <c r="S358" s="181" t="n">
        <v>228.73</v>
      </c>
      <c r="T358" s="181" t="n">
        <v>234.35</v>
      </c>
      <c r="U358" s="181" t="n">
        <v>239.62</v>
      </c>
      <c r="V358" s="181" t="n">
        <v>245.58</v>
      </c>
      <c r="W358" s="181" t="n">
        <v>252.05</v>
      </c>
      <c r="X358" s="182" t="n">
        <v>260.55</v>
      </c>
      <c r="Y358" s="183" t="inlineStr">
        <is>
          <t>.</t>
        </is>
      </c>
      <c r="Z358" s="184">
        <f>SUM(AA358:AL358)</f>
        <v/>
      </c>
      <c r="AA358" s="185" t="n">
        <v>0</v>
      </c>
      <c r="AB358" s="185" t="n">
        <v>0</v>
      </c>
      <c r="AC358" s="185" t="n">
        <v>0</v>
      </c>
      <c r="AD358" s="185" t="n">
        <v>0</v>
      </c>
      <c r="AE358" s="185" t="n">
        <v>0</v>
      </c>
      <c r="AF358" s="185" t="n">
        <v>0</v>
      </c>
      <c r="AG358" s="185" t="n">
        <v>0</v>
      </c>
      <c r="AH358" s="185" t="n">
        <v>1134.76</v>
      </c>
      <c r="AI358" s="185" t="n">
        <v>0</v>
      </c>
      <c r="AJ358" s="185" t="n">
        <v>0</v>
      </c>
      <c r="AK358" s="185" t="n">
        <v>0</v>
      </c>
      <c r="AL358" s="186" t="n">
        <v>0</v>
      </c>
      <c r="AM358" s="30" t="inlineStr">
        <is>
          <t>.</t>
        </is>
      </c>
      <c r="AN358" s="187">
        <f>IF(L358=0,0,Z358/L358)</f>
        <v/>
      </c>
      <c r="AO358" s="57">
        <f>IF(AN358&gt;=1,"🟢",IF(AN358&gt;=0.7,"🟡",IF(AN358&gt;=0.4,"🟠","🔴")))</f>
        <v/>
      </c>
      <c r="AP358" s="185">
        <f>L358-Z358</f>
        <v/>
      </c>
      <c r="AQ358" s="55">
        <f>RANK(Z358,$Z$4:$Z$503,0)</f>
        <v/>
      </c>
      <c r="AR358" s="39" t="inlineStr">
        <is>
          <t>.</t>
        </is>
      </c>
      <c r="AS358" s="27" t="n"/>
      <c r="AT358" s="27" t="n"/>
      <c r="AU358" s="27" t="n"/>
      <c r="AV358" s="27" t="n"/>
      <c r="AW358" s="27" t="n"/>
      <c r="AX358" s="27" t="n"/>
      <c r="AY358" s="204" t="n"/>
      <c r="AZ358" s="204" t="n"/>
      <c r="BA358" s="38" t="inlineStr">
        <is>
          <t>.</t>
        </is>
      </c>
      <c r="BB358" s="190">
        <f>SUM(BC358:BN358)</f>
        <v/>
      </c>
      <c r="BC358" s="191">
        <f>L358*0.0702730030</f>
        <v/>
      </c>
      <c r="BD358" s="191">
        <f>L358*0.0734327604</f>
        <v/>
      </c>
      <c r="BE358" s="191">
        <f>L358*0.0752022245</f>
        <v/>
      </c>
      <c r="BF358" s="191">
        <f>L358*0.0771612740</f>
        <v/>
      </c>
      <c r="BG358" s="191">
        <f>L358*0.0796890799</f>
        <v/>
      </c>
      <c r="BH358" s="191">
        <f>L358*0.0817745197</f>
        <v/>
      </c>
      <c r="BI358" s="191">
        <f>L358*0.0849342770</f>
        <v/>
      </c>
      <c r="BJ358" s="191">
        <f>L358*0.0870197169</f>
        <v/>
      </c>
      <c r="BK358" s="191">
        <f>L358*0.0889787664</f>
        <v/>
      </c>
      <c r="BL358" s="191">
        <f>L358*0.0911905966</f>
        <v/>
      </c>
      <c r="BM358" s="191">
        <f>L358*0.0935920121</f>
        <v/>
      </c>
      <c r="BN358" s="192">
        <f>L358*0.0967517695</f>
        <v/>
      </c>
      <c r="BO358" s="36" t="inlineStr">
        <is>
          <t>.</t>
        </is>
      </c>
      <c r="BP358" s="193">
        <f>SUM(BQ358:CB358)</f>
        <v/>
      </c>
      <c r="BQ358" s="191">
        <f>MAX(0,BC358-AA358)</f>
        <v/>
      </c>
      <c r="BR358" s="191">
        <f>MAX(0,BD358-AB358)</f>
        <v/>
      </c>
      <c r="BS358" s="191">
        <f>MAX(0,BE358-AC358)</f>
        <v/>
      </c>
      <c r="BT358" s="191">
        <f>MAX(0,BF358-AD358)</f>
        <v/>
      </c>
      <c r="BU358" s="191">
        <f>MAX(0,BG358-AE358)</f>
        <v/>
      </c>
      <c r="BV358" s="191">
        <f>MAX(0,BH358-AF358)</f>
        <v/>
      </c>
      <c r="BW358" s="191">
        <f>MAX(0,BI358-AG358)</f>
        <v/>
      </c>
      <c r="BX358" s="191">
        <f>MAX(0,BJ358-AH358)</f>
        <v/>
      </c>
      <c r="BY358" s="191">
        <f>MAX(0,BK358-AI358)</f>
        <v/>
      </c>
      <c r="BZ358" s="191">
        <f>MAX(0,BL358-AJ358)</f>
        <v/>
      </c>
      <c r="CA358" s="191">
        <f>MAX(0,BM358-AK358)</f>
        <v/>
      </c>
      <c r="CB358" s="192">
        <f>MAX(0,BN358-AL358)</f>
        <v/>
      </c>
    </row>
    <row r="359">
      <c r="A359" s="64" t="inlineStr">
        <is>
          <t>63245503000147</t>
        </is>
      </c>
      <c r="B359" s="57" t="inlineStr">
        <is>
          <t>DS NUTRI GOLD LTDA - ME</t>
        </is>
      </c>
      <c r="C359" s="57" t="inlineStr">
        <is>
          <t>FITLAND</t>
        </is>
      </c>
      <c r="D359" s="61" t="inlineStr">
        <is>
          <t>JULIO GADRET</t>
        </is>
      </c>
      <c r="E359" s="30" t="inlineStr">
        <is>
          <t>.</t>
        </is>
      </c>
      <c r="F359" s="63" t="n">
        <v>89</v>
      </c>
      <c r="G359" s="179" t="n">
        <v>0.298</v>
      </c>
      <c r="H359" s="57" t="inlineStr">
        <is>
          <t>🔴 VERMELHO</t>
        </is>
      </c>
      <c r="I359" s="57" t="inlineStr">
        <is>
          <t>POSITIVAÇÃO</t>
        </is>
      </c>
      <c r="J359" s="61" t="inlineStr">
        <is>
          <t>Aumentar frequência + Expandir base</t>
        </is>
      </c>
      <c r="K359" s="30" t="inlineStr">
        <is>
          <t>.</t>
        </is>
      </c>
      <c r="L359" s="180" t="n">
        <v>2687.58</v>
      </c>
      <c r="M359" s="181" t="n">
        <v>188.86</v>
      </c>
      <c r="N359" s="181" t="n">
        <v>197.36</v>
      </c>
      <c r="O359" s="181" t="n">
        <v>202.11</v>
      </c>
      <c r="P359" s="181" t="n">
        <v>207.38</v>
      </c>
      <c r="Q359" s="181" t="n">
        <v>214.17</v>
      </c>
      <c r="R359" s="181" t="n">
        <v>219.77</v>
      </c>
      <c r="S359" s="181" t="n">
        <v>228.27</v>
      </c>
      <c r="T359" s="181" t="n">
        <v>233.87</v>
      </c>
      <c r="U359" s="181" t="n">
        <v>239.14</v>
      </c>
      <c r="V359" s="181" t="n">
        <v>245.08</v>
      </c>
      <c r="W359" s="181" t="n">
        <v>251.54</v>
      </c>
      <c r="X359" s="182" t="n">
        <v>260.03</v>
      </c>
      <c r="Y359" s="183" t="inlineStr">
        <is>
          <t>.</t>
        </is>
      </c>
      <c r="Z359" s="184">
        <f>SUM(AA359:AL359)</f>
        <v/>
      </c>
      <c r="AA359" s="185" t="n">
        <v>0</v>
      </c>
      <c r="AB359" s="185" t="n">
        <v>0</v>
      </c>
      <c r="AC359" s="185" t="n">
        <v>0</v>
      </c>
      <c r="AD359" s="185" t="n">
        <v>0</v>
      </c>
      <c r="AE359" s="185" t="n">
        <v>0</v>
      </c>
      <c r="AF359" s="185" t="n">
        <v>0</v>
      </c>
      <c r="AG359" s="185" t="n">
        <v>0</v>
      </c>
      <c r="AH359" s="185" t="n">
        <v>0</v>
      </c>
      <c r="AI359" s="185" t="n">
        <v>0</v>
      </c>
      <c r="AJ359" s="185" t="n">
        <v>0</v>
      </c>
      <c r="AK359" s="185" t="n">
        <v>1433.61</v>
      </c>
      <c r="AL359" s="186" t="n">
        <v>0</v>
      </c>
      <c r="AM359" s="30" t="inlineStr">
        <is>
          <t>.</t>
        </is>
      </c>
      <c r="AN359" s="187">
        <f>IF(L359=0,0,Z359/L359)</f>
        <v/>
      </c>
      <c r="AO359" s="57">
        <f>IF(AN359&gt;=1,"🟢",IF(AN359&gt;=0.7,"🟡",IF(AN359&gt;=0.4,"🟠","🔴")))</f>
        <v/>
      </c>
      <c r="AP359" s="185">
        <f>L359-Z359</f>
        <v/>
      </c>
      <c r="AQ359" s="55">
        <f>RANK(Z359,$Z$4:$Z$503,0)</f>
        <v/>
      </c>
      <c r="AR359" s="39" t="inlineStr">
        <is>
          <t>.</t>
        </is>
      </c>
      <c r="AS359" s="27" t="n"/>
      <c r="AT359" s="27" t="n"/>
      <c r="AU359" s="27" t="n"/>
      <c r="AV359" s="27" t="n"/>
      <c r="AW359" s="27" t="n"/>
      <c r="AX359" s="27" t="n"/>
      <c r="AY359" s="204" t="n"/>
      <c r="AZ359" s="204" t="n"/>
      <c r="BA359" s="38" t="inlineStr">
        <is>
          <t>.</t>
        </is>
      </c>
      <c r="BB359" s="190">
        <f>SUM(BC359:BN359)</f>
        <v/>
      </c>
      <c r="BC359" s="191">
        <f>L359*0.0702730030</f>
        <v/>
      </c>
      <c r="BD359" s="191">
        <f>L359*0.0734327604</f>
        <v/>
      </c>
      <c r="BE359" s="191">
        <f>L359*0.0752022245</f>
        <v/>
      </c>
      <c r="BF359" s="191">
        <f>L359*0.0771612740</f>
        <v/>
      </c>
      <c r="BG359" s="191">
        <f>L359*0.0796890799</f>
        <v/>
      </c>
      <c r="BH359" s="191">
        <f>L359*0.0817745197</f>
        <v/>
      </c>
      <c r="BI359" s="191">
        <f>L359*0.0849342770</f>
        <v/>
      </c>
      <c r="BJ359" s="191">
        <f>L359*0.0870197169</f>
        <v/>
      </c>
      <c r="BK359" s="191">
        <f>L359*0.0889787664</f>
        <v/>
      </c>
      <c r="BL359" s="191">
        <f>L359*0.0911905966</f>
        <v/>
      </c>
      <c r="BM359" s="191">
        <f>L359*0.0935920121</f>
        <v/>
      </c>
      <c r="BN359" s="192">
        <f>L359*0.0967517695</f>
        <v/>
      </c>
      <c r="BO359" s="36" t="inlineStr">
        <is>
          <t>.</t>
        </is>
      </c>
      <c r="BP359" s="193">
        <f>SUM(BQ359:CB359)</f>
        <v/>
      </c>
      <c r="BQ359" s="191">
        <f>MAX(0,BC359-AA359)</f>
        <v/>
      </c>
      <c r="BR359" s="191">
        <f>MAX(0,BD359-AB359)</f>
        <v/>
      </c>
      <c r="BS359" s="191">
        <f>MAX(0,BE359-AC359)</f>
        <v/>
      </c>
      <c r="BT359" s="191">
        <f>MAX(0,BF359-AD359)</f>
        <v/>
      </c>
      <c r="BU359" s="191">
        <f>MAX(0,BG359-AE359)</f>
        <v/>
      </c>
      <c r="BV359" s="191">
        <f>MAX(0,BH359-AF359)</f>
        <v/>
      </c>
      <c r="BW359" s="191">
        <f>MAX(0,BI359-AG359)</f>
        <v/>
      </c>
      <c r="BX359" s="191">
        <f>MAX(0,BJ359-AH359)</f>
        <v/>
      </c>
      <c r="BY359" s="191">
        <f>MAX(0,BK359-AI359)</f>
        <v/>
      </c>
      <c r="BZ359" s="191">
        <f>MAX(0,BL359-AJ359)</f>
        <v/>
      </c>
      <c r="CA359" s="191">
        <f>MAX(0,BM359-AK359)</f>
        <v/>
      </c>
      <c r="CB359" s="192">
        <f>MAX(0,BN359-AL359)</f>
        <v/>
      </c>
    </row>
    <row r="360">
      <c r="A360" s="64" t="inlineStr">
        <is>
          <t>27141630000132</t>
        </is>
      </c>
      <c r="B360" s="57" t="inlineStr">
        <is>
          <t>CARD NUTRICAO SPE LTDA - EPP</t>
        </is>
      </c>
      <c r="C360" s="57" t="inlineStr">
        <is>
          <t>FITLAND</t>
        </is>
      </c>
      <c r="D360" s="61" t="inlineStr">
        <is>
          <t>JULIO GADRET</t>
        </is>
      </c>
      <c r="E360" s="30" t="inlineStr">
        <is>
          <t>.</t>
        </is>
      </c>
      <c r="F360" s="63" t="n">
        <v>89</v>
      </c>
      <c r="G360" s="179" t="n">
        <v>0.298</v>
      </c>
      <c r="H360" s="57" t="inlineStr">
        <is>
          <t>🔴 VERMELHO</t>
        </is>
      </c>
      <c r="I360" s="57" t="inlineStr">
        <is>
          <t>POSITIVAÇÃO</t>
        </is>
      </c>
      <c r="J360" s="61" t="inlineStr">
        <is>
          <t>Aumentar frequência + Expandir base</t>
        </is>
      </c>
      <c r="K360" s="30" t="inlineStr">
        <is>
          <t>.</t>
        </is>
      </c>
      <c r="L360" s="180" t="n">
        <v>2684.34</v>
      </c>
      <c r="M360" s="181" t="n">
        <v>188.64</v>
      </c>
      <c r="N360" s="181" t="n">
        <v>197.12</v>
      </c>
      <c r="O360" s="181" t="n">
        <v>201.87</v>
      </c>
      <c r="P360" s="181" t="n">
        <v>207.13</v>
      </c>
      <c r="Q360" s="181" t="n">
        <v>213.91</v>
      </c>
      <c r="R360" s="181" t="n">
        <v>219.51</v>
      </c>
      <c r="S360" s="181" t="n">
        <v>227.99</v>
      </c>
      <c r="T360" s="181" t="n">
        <v>233.59</v>
      </c>
      <c r="U360" s="181" t="n">
        <v>238.85</v>
      </c>
      <c r="V360" s="181" t="n">
        <v>244.79</v>
      </c>
      <c r="W360" s="181" t="n">
        <v>251.23</v>
      </c>
      <c r="X360" s="182" t="n">
        <v>259.71</v>
      </c>
      <c r="Y360" s="183" t="inlineStr">
        <is>
          <t>.</t>
        </is>
      </c>
      <c r="Z360" s="184">
        <f>SUM(AA360:AL360)</f>
        <v/>
      </c>
      <c r="AA360" s="185" t="n">
        <v>0</v>
      </c>
      <c r="AB360" s="185" t="n">
        <v>0</v>
      </c>
      <c r="AC360" s="185" t="n">
        <v>0</v>
      </c>
      <c r="AD360" s="185" t="n">
        <v>0</v>
      </c>
      <c r="AE360" s="185" t="n">
        <v>0</v>
      </c>
      <c r="AF360" s="185" t="n">
        <v>0</v>
      </c>
      <c r="AG360" s="185" t="n">
        <v>0</v>
      </c>
      <c r="AH360" s="185" t="n">
        <v>0</v>
      </c>
      <c r="AI360" s="185" t="n">
        <v>0</v>
      </c>
      <c r="AJ360" s="185" t="n">
        <v>0</v>
      </c>
      <c r="AK360" s="185" t="n">
        <v>1433.61</v>
      </c>
      <c r="AL360" s="186" t="n">
        <v>0</v>
      </c>
      <c r="AM360" s="30" t="inlineStr">
        <is>
          <t>.</t>
        </is>
      </c>
      <c r="AN360" s="187">
        <f>IF(L360=0,0,Z360/L360)</f>
        <v/>
      </c>
      <c r="AO360" s="57">
        <f>IF(AN360&gt;=1,"🟢",IF(AN360&gt;=0.7,"🟡",IF(AN360&gt;=0.4,"🟠","🔴")))</f>
        <v/>
      </c>
      <c r="AP360" s="185">
        <f>L360-Z360</f>
        <v/>
      </c>
      <c r="AQ360" s="55">
        <f>RANK(Z360,$Z$4:$Z$503,0)</f>
        <v/>
      </c>
      <c r="AR360" s="39" t="inlineStr">
        <is>
          <t>.</t>
        </is>
      </c>
      <c r="AS360" s="27" t="n"/>
      <c r="AT360" s="27" t="n"/>
      <c r="AU360" s="27" t="n"/>
      <c r="AV360" s="27" t="n"/>
      <c r="AW360" s="27" t="n"/>
      <c r="AX360" s="27" t="n"/>
      <c r="AY360" s="204" t="n"/>
      <c r="AZ360" s="204" t="n"/>
      <c r="BA360" s="38" t="inlineStr">
        <is>
          <t>.</t>
        </is>
      </c>
      <c r="BB360" s="190">
        <f>SUM(BC360:BN360)</f>
        <v/>
      </c>
      <c r="BC360" s="191">
        <f>L360*0.0702730030</f>
        <v/>
      </c>
      <c r="BD360" s="191">
        <f>L360*0.0734327604</f>
        <v/>
      </c>
      <c r="BE360" s="191">
        <f>L360*0.0752022245</f>
        <v/>
      </c>
      <c r="BF360" s="191">
        <f>L360*0.0771612740</f>
        <v/>
      </c>
      <c r="BG360" s="191">
        <f>L360*0.0796890799</f>
        <v/>
      </c>
      <c r="BH360" s="191">
        <f>L360*0.0817745197</f>
        <v/>
      </c>
      <c r="BI360" s="191">
        <f>L360*0.0849342770</f>
        <v/>
      </c>
      <c r="BJ360" s="191">
        <f>L360*0.0870197169</f>
        <v/>
      </c>
      <c r="BK360" s="191">
        <f>L360*0.0889787664</f>
        <v/>
      </c>
      <c r="BL360" s="191">
        <f>L360*0.0911905966</f>
        <v/>
      </c>
      <c r="BM360" s="191">
        <f>L360*0.0935920121</f>
        <v/>
      </c>
      <c r="BN360" s="192">
        <f>L360*0.0967517695</f>
        <v/>
      </c>
      <c r="BO360" s="36" t="inlineStr">
        <is>
          <t>.</t>
        </is>
      </c>
      <c r="BP360" s="193">
        <f>SUM(BQ360:CB360)</f>
        <v/>
      </c>
      <c r="BQ360" s="191">
        <f>MAX(0,BC360-AA360)</f>
        <v/>
      </c>
      <c r="BR360" s="191">
        <f>MAX(0,BD360-AB360)</f>
        <v/>
      </c>
      <c r="BS360" s="191">
        <f>MAX(0,BE360-AC360)</f>
        <v/>
      </c>
      <c r="BT360" s="191">
        <f>MAX(0,BF360-AD360)</f>
        <v/>
      </c>
      <c r="BU360" s="191">
        <f>MAX(0,BG360-AE360)</f>
        <v/>
      </c>
      <c r="BV360" s="191">
        <f>MAX(0,BH360-AF360)</f>
        <v/>
      </c>
      <c r="BW360" s="191">
        <f>MAX(0,BI360-AG360)</f>
        <v/>
      </c>
      <c r="BX360" s="191">
        <f>MAX(0,BJ360-AH360)</f>
        <v/>
      </c>
      <c r="BY360" s="191">
        <f>MAX(0,BK360-AI360)</f>
        <v/>
      </c>
      <c r="BZ360" s="191">
        <f>MAX(0,BL360-AJ360)</f>
        <v/>
      </c>
      <c r="CA360" s="191">
        <f>MAX(0,BM360-AK360)</f>
        <v/>
      </c>
      <c r="CB360" s="192">
        <f>MAX(0,BN360-AL360)</f>
        <v/>
      </c>
    </row>
    <row r="361">
      <c r="A361" s="64" t="inlineStr">
        <is>
          <t>60484125000166</t>
        </is>
      </c>
      <c r="B361" s="57" t="inlineStr">
        <is>
          <t>LAKOSKI MERCEARIA SEM GLUTEN LTDA - EPP</t>
        </is>
      </c>
      <c r="C361" s="57" t="inlineStr">
        <is>
          <t>SEM GRUPO</t>
        </is>
      </c>
      <c r="D361" s="61" t="inlineStr">
        <is>
          <t>HEMANUELE DITZEL (MANU)</t>
        </is>
      </c>
      <c r="E361" s="30" t="inlineStr">
        <is>
          <t>.</t>
        </is>
      </c>
      <c r="F361" s="63" t="inlineStr"/>
      <c r="G361" s="179" t="inlineStr"/>
      <c r="H361" s="57" t="inlineStr"/>
      <c r="I361" s="57" t="inlineStr"/>
      <c r="J361" s="61" t="inlineStr"/>
      <c r="K361" s="30" t="inlineStr">
        <is>
          <t>.</t>
        </is>
      </c>
      <c r="L361" s="180" t="n">
        <v>2683.57</v>
      </c>
      <c r="M361" s="181" t="n">
        <v>188.58</v>
      </c>
      <c r="N361" s="181" t="n">
        <v>197.06</v>
      </c>
      <c r="O361" s="181" t="n">
        <v>201.81</v>
      </c>
      <c r="P361" s="181" t="n">
        <v>207.07</v>
      </c>
      <c r="Q361" s="181" t="n">
        <v>213.85</v>
      </c>
      <c r="R361" s="181" t="n">
        <v>219.45</v>
      </c>
      <c r="S361" s="181" t="n">
        <v>227.93</v>
      </c>
      <c r="T361" s="181" t="n">
        <v>233.52</v>
      </c>
      <c r="U361" s="181" t="n">
        <v>238.78</v>
      </c>
      <c r="V361" s="181" t="n">
        <v>244.72</v>
      </c>
      <c r="W361" s="181" t="n">
        <v>251.16</v>
      </c>
      <c r="X361" s="182" t="n">
        <v>259.64</v>
      </c>
      <c r="Y361" s="183" t="inlineStr">
        <is>
          <t>.</t>
        </is>
      </c>
      <c r="Z361" s="184">
        <f>SUM(AA361:AL361)</f>
        <v/>
      </c>
      <c r="AA361" s="185" t="n">
        <v>0</v>
      </c>
      <c r="AB361" s="185" t="n">
        <v>0</v>
      </c>
      <c r="AC361" s="185" t="n">
        <v>0</v>
      </c>
      <c r="AD361" s="185" t="n">
        <v>0</v>
      </c>
      <c r="AE361" s="185" t="n">
        <v>0</v>
      </c>
      <c r="AF361" s="185" t="n">
        <v>0</v>
      </c>
      <c r="AG361" s="185" t="n">
        <v>0</v>
      </c>
      <c r="AH361" s="185" t="n">
        <v>678.51</v>
      </c>
      <c r="AI361" s="185" t="n">
        <v>0</v>
      </c>
      <c r="AJ361" s="185" t="n">
        <v>0</v>
      </c>
      <c r="AK361" s="185" t="n">
        <v>572.54</v>
      </c>
      <c r="AL361" s="186" t="n">
        <v>0</v>
      </c>
      <c r="AM361" s="30" t="inlineStr">
        <is>
          <t>.</t>
        </is>
      </c>
      <c r="AN361" s="187">
        <f>IF(L361=0,0,Z361/L361)</f>
        <v/>
      </c>
      <c r="AO361" s="57">
        <f>IF(AN361&gt;=1,"🟢",IF(AN361&gt;=0.7,"🟡",IF(AN361&gt;=0.4,"🟠","🔴")))</f>
        <v/>
      </c>
      <c r="AP361" s="185">
        <f>L361-Z361</f>
        <v/>
      </c>
      <c r="AQ361" s="55">
        <f>RANK(Z361,$Z$4:$Z$503,0)</f>
        <v/>
      </c>
      <c r="AR361" s="39" t="inlineStr">
        <is>
          <t>.</t>
        </is>
      </c>
      <c r="AS361" s="27" t="n"/>
      <c r="AT361" s="27" t="n"/>
      <c r="AU361" s="27" t="n"/>
      <c r="AV361" s="27" t="n"/>
      <c r="AW361" s="27" t="n"/>
      <c r="AX361" s="27" t="n"/>
      <c r="AY361" s="204" t="n"/>
      <c r="AZ361" s="204" t="n"/>
      <c r="BA361" s="38" t="inlineStr">
        <is>
          <t>.</t>
        </is>
      </c>
      <c r="BB361" s="190">
        <f>SUM(BC361:BN361)</f>
        <v/>
      </c>
      <c r="BC361" s="191">
        <f>L361*0.0702730030</f>
        <v/>
      </c>
      <c r="BD361" s="191">
        <f>L361*0.0734327604</f>
        <v/>
      </c>
      <c r="BE361" s="191">
        <f>L361*0.0752022245</f>
        <v/>
      </c>
      <c r="BF361" s="191">
        <f>L361*0.0771612740</f>
        <v/>
      </c>
      <c r="BG361" s="191">
        <f>L361*0.0796890799</f>
        <v/>
      </c>
      <c r="BH361" s="191">
        <f>L361*0.0817745197</f>
        <v/>
      </c>
      <c r="BI361" s="191">
        <f>L361*0.0849342770</f>
        <v/>
      </c>
      <c r="BJ361" s="191">
        <f>L361*0.0870197169</f>
        <v/>
      </c>
      <c r="BK361" s="191">
        <f>L361*0.0889787664</f>
        <v/>
      </c>
      <c r="BL361" s="191">
        <f>L361*0.0911905966</f>
        <v/>
      </c>
      <c r="BM361" s="191">
        <f>L361*0.0935920121</f>
        <v/>
      </c>
      <c r="BN361" s="192">
        <f>L361*0.0967517695</f>
        <v/>
      </c>
      <c r="BO361" s="36" t="inlineStr">
        <is>
          <t>.</t>
        </is>
      </c>
      <c r="BP361" s="193">
        <f>SUM(BQ361:CB361)</f>
        <v/>
      </c>
      <c r="BQ361" s="191">
        <f>MAX(0,BC361-AA361)</f>
        <v/>
      </c>
      <c r="BR361" s="191">
        <f>MAX(0,BD361-AB361)</f>
        <v/>
      </c>
      <c r="BS361" s="191">
        <f>MAX(0,BE361-AC361)</f>
        <v/>
      </c>
      <c r="BT361" s="191">
        <f>MAX(0,BF361-AD361)</f>
        <v/>
      </c>
      <c r="BU361" s="191">
        <f>MAX(0,BG361-AE361)</f>
        <v/>
      </c>
      <c r="BV361" s="191">
        <f>MAX(0,BH361-AF361)</f>
        <v/>
      </c>
      <c r="BW361" s="191">
        <f>MAX(0,BI361-AG361)</f>
        <v/>
      </c>
      <c r="BX361" s="191">
        <f>MAX(0,BJ361-AH361)</f>
        <v/>
      </c>
      <c r="BY361" s="191">
        <f>MAX(0,BK361-AI361)</f>
        <v/>
      </c>
      <c r="BZ361" s="191">
        <f>MAX(0,BL361-AJ361)</f>
        <v/>
      </c>
      <c r="CA361" s="191">
        <f>MAX(0,BM361-AK361)</f>
        <v/>
      </c>
      <c r="CB361" s="192">
        <f>MAX(0,BN361-AL361)</f>
        <v/>
      </c>
    </row>
    <row r="362">
      <c r="A362" s="64" t="inlineStr">
        <is>
          <t>05132031000110</t>
        </is>
      </c>
      <c r="B362" s="57" t="inlineStr">
        <is>
          <t>RESTAURANTE NOSSA SENHORA DE CARAVAGGIO</t>
        </is>
      </c>
      <c r="C362" s="57" t="inlineStr">
        <is>
          <t>SEM GRUPO</t>
        </is>
      </c>
      <c r="D362" s="61" t="inlineStr">
        <is>
          <t>HEMANUELE DITZEL (MANU)</t>
        </is>
      </c>
      <c r="E362" s="30" t="inlineStr">
        <is>
          <t>.</t>
        </is>
      </c>
      <c r="F362" s="63" t="inlineStr"/>
      <c r="G362" s="179" t="inlineStr"/>
      <c r="H362" s="57" t="inlineStr"/>
      <c r="I362" s="57" t="inlineStr"/>
      <c r="J362" s="61" t="inlineStr"/>
      <c r="K362" s="30" t="inlineStr">
        <is>
          <t>.</t>
        </is>
      </c>
      <c r="L362" s="180" t="n">
        <v>2655.73</v>
      </c>
      <c r="M362" s="181" t="n">
        <v>186.63</v>
      </c>
      <c r="N362" s="181" t="n">
        <v>195.02</v>
      </c>
      <c r="O362" s="181" t="n">
        <v>199.72</v>
      </c>
      <c r="P362" s="181" t="n">
        <v>204.92</v>
      </c>
      <c r="Q362" s="181" t="n">
        <v>211.63</v>
      </c>
      <c r="R362" s="181" t="n">
        <v>217.17</v>
      </c>
      <c r="S362" s="181" t="n">
        <v>225.56</v>
      </c>
      <c r="T362" s="181" t="n">
        <v>231.1</v>
      </c>
      <c r="U362" s="181" t="n">
        <v>236.3</v>
      </c>
      <c r="V362" s="181" t="n">
        <v>242.18</v>
      </c>
      <c r="W362" s="181" t="n">
        <v>248.55</v>
      </c>
      <c r="X362" s="182" t="n">
        <v>256.95</v>
      </c>
      <c r="Y362" s="183" t="inlineStr">
        <is>
          <t>.</t>
        </is>
      </c>
      <c r="Z362" s="184">
        <f>SUM(AA362:AL362)</f>
        <v/>
      </c>
      <c r="AA362" s="185" t="n">
        <v>0</v>
      </c>
      <c r="AB362" s="185" t="n">
        <v>0</v>
      </c>
      <c r="AC362" s="185" t="n">
        <v>0</v>
      </c>
      <c r="AD362" s="185" t="n">
        <v>0</v>
      </c>
      <c r="AE362" s="185" t="n">
        <v>0</v>
      </c>
      <c r="AF362" s="185" t="n">
        <v>0</v>
      </c>
      <c r="AG362" s="185" t="n">
        <v>0</v>
      </c>
      <c r="AH362" s="185" t="n">
        <v>0</v>
      </c>
      <c r="AI362" s="185" t="n">
        <v>0</v>
      </c>
      <c r="AJ362" s="185" t="n">
        <v>0</v>
      </c>
      <c r="AK362" s="185" t="n">
        <v>0</v>
      </c>
      <c r="AL362" s="186" t="n">
        <v>1170.45</v>
      </c>
      <c r="AM362" s="30" t="inlineStr">
        <is>
          <t>.</t>
        </is>
      </c>
      <c r="AN362" s="187">
        <f>IF(L362=0,0,Z362/L362)</f>
        <v/>
      </c>
      <c r="AO362" s="57">
        <f>IF(AN362&gt;=1,"🟢",IF(AN362&gt;=0.7,"🟡",IF(AN362&gt;=0.4,"🟠","🔴")))</f>
        <v/>
      </c>
      <c r="AP362" s="185">
        <f>L362-Z362</f>
        <v/>
      </c>
      <c r="AQ362" s="55">
        <f>RANK(Z362,$Z$4:$Z$503,0)</f>
        <v/>
      </c>
      <c r="AR362" s="39" t="inlineStr">
        <is>
          <t>.</t>
        </is>
      </c>
      <c r="AS362" s="27" t="n"/>
      <c r="AT362" s="27" t="n"/>
      <c r="AU362" s="27" t="n"/>
      <c r="AV362" s="27" t="n"/>
      <c r="AW362" s="27" t="n"/>
      <c r="AX362" s="27" t="n"/>
      <c r="AY362" s="204" t="n"/>
      <c r="AZ362" s="204" t="n"/>
      <c r="BA362" s="38" t="inlineStr">
        <is>
          <t>.</t>
        </is>
      </c>
      <c r="BB362" s="190">
        <f>SUM(BC362:BN362)</f>
        <v/>
      </c>
      <c r="BC362" s="191">
        <f>L362*0.0702730030</f>
        <v/>
      </c>
      <c r="BD362" s="191">
        <f>L362*0.0734327604</f>
        <v/>
      </c>
      <c r="BE362" s="191">
        <f>L362*0.0752022245</f>
        <v/>
      </c>
      <c r="BF362" s="191">
        <f>L362*0.0771612740</f>
        <v/>
      </c>
      <c r="BG362" s="191">
        <f>L362*0.0796890799</f>
        <v/>
      </c>
      <c r="BH362" s="191">
        <f>L362*0.0817745197</f>
        <v/>
      </c>
      <c r="BI362" s="191">
        <f>L362*0.0849342770</f>
        <v/>
      </c>
      <c r="BJ362" s="191">
        <f>L362*0.0870197169</f>
        <v/>
      </c>
      <c r="BK362" s="191">
        <f>L362*0.0889787664</f>
        <v/>
      </c>
      <c r="BL362" s="191">
        <f>L362*0.0911905966</f>
        <v/>
      </c>
      <c r="BM362" s="191">
        <f>L362*0.0935920121</f>
        <v/>
      </c>
      <c r="BN362" s="192">
        <f>L362*0.0967517695</f>
        <v/>
      </c>
      <c r="BO362" s="36" t="inlineStr">
        <is>
          <t>.</t>
        </is>
      </c>
      <c r="BP362" s="193">
        <f>SUM(BQ362:CB362)</f>
        <v/>
      </c>
      <c r="BQ362" s="191">
        <f>MAX(0,BC362-AA362)</f>
        <v/>
      </c>
      <c r="BR362" s="191">
        <f>MAX(0,BD362-AB362)</f>
        <v/>
      </c>
      <c r="BS362" s="191">
        <f>MAX(0,BE362-AC362)</f>
        <v/>
      </c>
      <c r="BT362" s="191">
        <f>MAX(0,BF362-AD362)</f>
        <v/>
      </c>
      <c r="BU362" s="191">
        <f>MAX(0,BG362-AE362)</f>
        <v/>
      </c>
      <c r="BV362" s="191">
        <f>MAX(0,BH362-AF362)</f>
        <v/>
      </c>
      <c r="BW362" s="191">
        <f>MAX(0,BI362-AG362)</f>
        <v/>
      </c>
      <c r="BX362" s="191">
        <f>MAX(0,BJ362-AH362)</f>
        <v/>
      </c>
      <c r="BY362" s="191">
        <f>MAX(0,BK362-AI362)</f>
        <v/>
      </c>
      <c r="BZ362" s="191">
        <f>MAX(0,BL362-AJ362)</f>
        <v/>
      </c>
      <c r="CA362" s="191">
        <f>MAX(0,BM362-AK362)</f>
        <v/>
      </c>
      <c r="CB362" s="192">
        <f>MAX(0,BN362-AL362)</f>
        <v/>
      </c>
    </row>
    <row r="363">
      <c r="A363" s="64" t="inlineStr">
        <is>
          <t>34788640000120</t>
        </is>
      </c>
      <c r="B363" s="57" t="inlineStr">
        <is>
          <t>TICO AUTO POSTO LOBATO LTDA - EPP</t>
        </is>
      </c>
      <c r="C363" s="57" t="inlineStr">
        <is>
          <t>SEM GRUPO</t>
        </is>
      </c>
      <c r="D363" s="61" t="inlineStr">
        <is>
          <t>HEMANUELE DITZEL (MANU)</t>
        </is>
      </c>
      <c r="E363" s="30" t="inlineStr">
        <is>
          <t>.</t>
        </is>
      </c>
      <c r="F363" s="63" t="inlineStr"/>
      <c r="G363" s="179" t="inlineStr"/>
      <c r="H363" s="57" t="inlineStr"/>
      <c r="I363" s="57" t="inlineStr"/>
      <c r="J363" s="61" t="inlineStr"/>
      <c r="K363" s="30" t="inlineStr">
        <is>
          <t>.</t>
        </is>
      </c>
      <c r="L363" s="180" t="n">
        <v>2646.35</v>
      </c>
      <c r="M363" s="181" t="n">
        <v>185.97</v>
      </c>
      <c r="N363" s="181" t="n">
        <v>194.33</v>
      </c>
      <c r="O363" s="181" t="n">
        <v>199.01</v>
      </c>
      <c r="P363" s="181" t="n">
        <v>204.2</v>
      </c>
      <c r="Q363" s="181" t="n">
        <v>210.88</v>
      </c>
      <c r="R363" s="181" t="n">
        <v>216.4</v>
      </c>
      <c r="S363" s="181" t="n">
        <v>224.77</v>
      </c>
      <c r="T363" s="181" t="n">
        <v>230.28</v>
      </c>
      <c r="U363" s="181" t="n">
        <v>235.47</v>
      </c>
      <c r="V363" s="181" t="n">
        <v>241.32</v>
      </c>
      <c r="W363" s="181" t="n">
        <v>247.68</v>
      </c>
      <c r="X363" s="182" t="n">
        <v>256.04</v>
      </c>
      <c r="Y363" s="183" t="inlineStr">
        <is>
          <t>.</t>
        </is>
      </c>
      <c r="Z363" s="184">
        <f>SUM(AA363:AL363)</f>
        <v/>
      </c>
      <c r="AA363" s="185" t="n">
        <v>0</v>
      </c>
      <c r="AB363" s="185" t="n">
        <v>0</v>
      </c>
      <c r="AC363" s="185" t="n">
        <v>0</v>
      </c>
      <c r="AD363" s="185" t="n">
        <v>0</v>
      </c>
      <c r="AE363" s="185" t="n">
        <v>0</v>
      </c>
      <c r="AF363" s="185" t="n">
        <v>0</v>
      </c>
      <c r="AG363" s="185" t="n">
        <v>0</v>
      </c>
      <c r="AH363" s="185" t="n">
        <v>1483.81</v>
      </c>
      <c r="AI363" s="185" t="n">
        <v>0</v>
      </c>
      <c r="AJ363" s="185" t="n">
        <v>0</v>
      </c>
      <c r="AK363" s="185" t="n">
        <v>0</v>
      </c>
      <c r="AL363" s="186" t="n">
        <v>0</v>
      </c>
      <c r="AM363" s="30" t="inlineStr">
        <is>
          <t>.</t>
        </is>
      </c>
      <c r="AN363" s="187">
        <f>IF(L363=0,0,Z363/L363)</f>
        <v/>
      </c>
      <c r="AO363" s="57">
        <f>IF(AN363&gt;=1,"🟢",IF(AN363&gt;=0.7,"🟡",IF(AN363&gt;=0.4,"🟠","🔴")))</f>
        <v/>
      </c>
      <c r="AP363" s="185">
        <f>L363-Z363</f>
        <v/>
      </c>
      <c r="AQ363" s="55">
        <f>RANK(Z363,$Z$4:$Z$503,0)</f>
        <v/>
      </c>
      <c r="AR363" s="39" t="inlineStr">
        <is>
          <t>.</t>
        </is>
      </c>
      <c r="AS363" s="27" t="n"/>
      <c r="AT363" s="27" t="n"/>
      <c r="AU363" s="27" t="n"/>
      <c r="AV363" s="27" t="n"/>
      <c r="AW363" s="27" t="n"/>
      <c r="AX363" s="27" t="n"/>
      <c r="AY363" s="204" t="n"/>
      <c r="AZ363" s="204" t="n"/>
      <c r="BA363" s="38" t="inlineStr">
        <is>
          <t>.</t>
        </is>
      </c>
      <c r="BB363" s="190">
        <f>SUM(BC363:BN363)</f>
        <v/>
      </c>
      <c r="BC363" s="191">
        <f>L363*0.0702730030</f>
        <v/>
      </c>
      <c r="BD363" s="191">
        <f>L363*0.0734327604</f>
        <v/>
      </c>
      <c r="BE363" s="191">
        <f>L363*0.0752022245</f>
        <v/>
      </c>
      <c r="BF363" s="191">
        <f>L363*0.0771612740</f>
        <v/>
      </c>
      <c r="BG363" s="191">
        <f>L363*0.0796890799</f>
        <v/>
      </c>
      <c r="BH363" s="191">
        <f>L363*0.0817745197</f>
        <v/>
      </c>
      <c r="BI363" s="191">
        <f>L363*0.0849342770</f>
        <v/>
      </c>
      <c r="BJ363" s="191">
        <f>L363*0.0870197169</f>
        <v/>
      </c>
      <c r="BK363" s="191">
        <f>L363*0.0889787664</f>
        <v/>
      </c>
      <c r="BL363" s="191">
        <f>L363*0.0911905966</f>
        <v/>
      </c>
      <c r="BM363" s="191">
        <f>L363*0.0935920121</f>
        <v/>
      </c>
      <c r="BN363" s="192">
        <f>L363*0.0967517695</f>
        <v/>
      </c>
      <c r="BO363" s="36" t="inlineStr">
        <is>
          <t>.</t>
        </is>
      </c>
      <c r="BP363" s="193">
        <f>SUM(BQ363:CB363)</f>
        <v/>
      </c>
      <c r="BQ363" s="191">
        <f>MAX(0,BC363-AA363)</f>
        <v/>
      </c>
      <c r="BR363" s="191">
        <f>MAX(0,BD363-AB363)</f>
        <v/>
      </c>
      <c r="BS363" s="191">
        <f>MAX(0,BE363-AC363)</f>
        <v/>
      </c>
      <c r="BT363" s="191">
        <f>MAX(0,BF363-AD363)</f>
        <v/>
      </c>
      <c r="BU363" s="191">
        <f>MAX(0,BG363-AE363)</f>
        <v/>
      </c>
      <c r="BV363" s="191">
        <f>MAX(0,BH363-AF363)</f>
        <v/>
      </c>
      <c r="BW363" s="191">
        <f>MAX(0,BI363-AG363)</f>
        <v/>
      </c>
      <c r="BX363" s="191">
        <f>MAX(0,BJ363-AH363)</f>
        <v/>
      </c>
      <c r="BY363" s="191">
        <f>MAX(0,BK363-AI363)</f>
        <v/>
      </c>
      <c r="BZ363" s="191">
        <f>MAX(0,BL363-AJ363)</f>
        <v/>
      </c>
      <c r="CA363" s="191">
        <f>MAX(0,BM363-AK363)</f>
        <v/>
      </c>
      <c r="CB363" s="192">
        <f>MAX(0,BN363-AL363)</f>
        <v/>
      </c>
    </row>
    <row r="364">
      <c r="A364" s="64" t="inlineStr">
        <is>
          <t>12104010000156</t>
        </is>
      </c>
      <c r="B364" s="57" t="inlineStr">
        <is>
          <t>JULIANA ROBERTA CARNIO DE CASTRO - ME</t>
        </is>
      </c>
      <c r="C364" s="57" t="inlineStr">
        <is>
          <t>SEM GRUPO</t>
        </is>
      </c>
      <c r="D364" s="61" t="inlineStr">
        <is>
          <t>HEMANUELE DITZEL (MANU)</t>
        </is>
      </c>
      <c r="E364" s="30" t="inlineStr">
        <is>
          <t>.</t>
        </is>
      </c>
      <c r="F364" s="63" t="inlineStr"/>
      <c r="G364" s="179" t="inlineStr"/>
      <c r="H364" s="57" t="inlineStr"/>
      <c r="I364" s="57" t="inlineStr"/>
      <c r="J364" s="61" t="inlineStr"/>
      <c r="K364" s="30" t="inlineStr">
        <is>
          <t>.</t>
        </is>
      </c>
      <c r="L364" s="180" t="n">
        <v>2627.7</v>
      </c>
      <c r="M364" s="181" t="n">
        <v>184.66</v>
      </c>
      <c r="N364" s="181" t="n">
        <v>192.96</v>
      </c>
      <c r="O364" s="181" t="n">
        <v>197.61</v>
      </c>
      <c r="P364" s="181" t="n">
        <v>202.76</v>
      </c>
      <c r="Q364" s="181" t="n">
        <v>209.4</v>
      </c>
      <c r="R364" s="181" t="n">
        <v>214.88</v>
      </c>
      <c r="S364" s="181" t="n">
        <v>223.18</v>
      </c>
      <c r="T364" s="181" t="n">
        <v>228.66</v>
      </c>
      <c r="U364" s="181" t="n">
        <v>233.81</v>
      </c>
      <c r="V364" s="181" t="n">
        <v>239.62</v>
      </c>
      <c r="W364" s="181" t="n">
        <v>245.93</v>
      </c>
      <c r="X364" s="182" t="n">
        <v>254.23</v>
      </c>
      <c r="Y364" s="183" t="inlineStr">
        <is>
          <t>.</t>
        </is>
      </c>
      <c r="Z364" s="184">
        <f>SUM(AA364:AL364)</f>
        <v/>
      </c>
      <c r="AA364" s="185" t="n">
        <v>0</v>
      </c>
      <c r="AB364" s="185" t="n">
        <v>0</v>
      </c>
      <c r="AC364" s="185" t="n">
        <v>0</v>
      </c>
      <c r="AD364" s="185" t="n">
        <v>0</v>
      </c>
      <c r="AE364" s="185" t="n">
        <v>0</v>
      </c>
      <c r="AF364" s="185" t="n">
        <v>0</v>
      </c>
      <c r="AG364" s="185" t="n">
        <v>0</v>
      </c>
      <c r="AH364" s="185" t="n">
        <v>0</v>
      </c>
      <c r="AI364" s="185" t="n">
        <v>0</v>
      </c>
      <c r="AJ364" s="185" t="n">
        <v>899.54</v>
      </c>
      <c r="AK364" s="185" t="n">
        <v>0</v>
      </c>
      <c r="AL364" s="186" t="n">
        <v>461.18</v>
      </c>
      <c r="AM364" s="30" t="inlineStr">
        <is>
          <t>.</t>
        </is>
      </c>
      <c r="AN364" s="187">
        <f>IF(L364=0,0,Z364/L364)</f>
        <v/>
      </c>
      <c r="AO364" s="57">
        <f>IF(AN364&gt;=1,"🟢",IF(AN364&gt;=0.7,"🟡",IF(AN364&gt;=0.4,"🟠","🔴")))</f>
        <v/>
      </c>
      <c r="AP364" s="185">
        <f>L364-Z364</f>
        <v/>
      </c>
      <c r="AQ364" s="55">
        <f>RANK(Z364,$Z$4:$Z$503,0)</f>
        <v/>
      </c>
      <c r="AR364" s="39" t="inlineStr">
        <is>
          <t>.</t>
        </is>
      </c>
      <c r="AS364" s="27" t="n"/>
      <c r="AT364" s="27" t="n"/>
      <c r="AU364" s="27" t="n"/>
      <c r="AV364" s="27" t="n"/>
      <c r="AW364" s="27" t="n"/>
      <c r="AX364" s="27" t="n"/>
      <c r="AY364" s="204" t="n"/>
      <c r="AZ364" s="204" t="n"/>
      <c r="BA364" s="38" t="inlineStr">
        <is>
          <t>.</t>
        </is>
      </c>
      <c r="BB364" s="190">
        <f>SUM(BC364:BN364)</f>
        <v/>
      </c>
      <c r="BC364" s="191">
        <f>L364*0.0702730030</f>
        <v/>
      </c>
      <c r="BD364" s="191">
        <f>L364*0.0734327604</f>
        <v/>
      </c>
      <c r="BE364" s="191">
        <f>L364*0.0752022245</f>
        <v/>
      </c>
      <c r="BF364" s="191">
        <f>L364*0.0771612740</f>
        <v/>
      </c>
      <c r="BG364" s="191">
        <f>L364*0.0796890799</f>
        <v/>
      </c>
      <c r="BH364" s="191">
        <f>L364*0.0817745197</f>
        <v/>
      </c>
      <c r="BI364" s="191">
        <f>L364*0.0849342770</f>
        <v/>
      </c>
      <c r="BJ364" s="191">
        <f>L364*0.0870197169</f>
        <v/>
      </c>
      <c r="BK364" s="191">
        <f>L364*0.0889787664</f>
        <v/>
      </c>
      <c r="BL364" s="191">
        <f>L364*0.0911905966</f>
        <v/>
      </c>
      <c r="BM364" s="191">
        <f>L364*0.0935920121</f>
        <v/>
      </c>
      <c r="BN364" s="192">
        <f>L364*0.0967517695</f>
        <v/>
      </c>
      <c r="BO364" s="36" t="inlineStr">
        <is>
          <t>.</t>
        </is>
      </c>
      <c r="BP364" s="193">
        <f>SUM(BQ364:CB364)</f>
        <v/>
      </c>
      <c r="BQ364" s="191">
        <f>MAX(0,BC364-AA364)</f>
        <v/>
      </c>
      <c r="BR364" s="191">
        <f>MAX(0,BD364-AB364)</f>
        <v/>
      </c>
      <c r="BS364" s="191">
        <f>MAX(0,BE364-AC364)</f>
        <v/>
      </c>
      <c r="BT364" s="191">
        <f>MAX(0,BF364-AD364)</f>
        <v/>
      </c>
      <c r="BU364" s="191">
        <f>MAX(0,BG364-AE364)</f>
        <v/>
      </c>
      <c r="BV364" s="191">
        <f>MAX(0,BH364-AF364)</f>
        <v/>
      </c>
      <c r="BW364" s="191">
        <f>MAX(0,BI364-AG364)</f>
        <v/>
      </c>
      <c r="BX364" s="191">
        <f>MAX(0,BJ364-AH364)</f>
        <v/>
      </c>
      <c r="BY364" s="191">
        <f>MAX(0,BK364-AI364)</f>
        <v/>
      </c>
      <c r="BZ364" s="191">
        <f>MAX(0,BL364-AJ364)</f>
        <v/>
      </c>
      <c r="CA364" s="191">
        <f>MAX(0,BM364-AK364)</f>
        <v/>
      </c>
      <c r="CB364" s="192">
        <f>MAX(0,BN364-AL364)</f>
        <v/>
      </c>
    </row>
    <row r="365">
      <c r="A365" s="64" t="inlineStr">
        <is>
          <t>41808865000166</t>
        </is>
      </c>
      <c r="B365" s="57" t="inlineStr">
        <is>
          <t>FL PRODUTOS NATURAIS LTDA - ME</t>
        </is>
      </c>
      <c r="C365" s="57" t="inlineStr">
        <is>
          <t>CIA DA SAUDE</t>
        </is>
      </c>
      <c r="D365" s="61" t="inlineStr">
        <is>
          <t>JULIO GADRET</t>
        </is>
      </c>
      <c r="E365" s="30" t="inlineStr">
        <is>
          <t>.</t>
        </is>
      </c>
      <c r="F365" s="63" t="n">
        <v>163</v>
      </c>
      <c r="G365" s="179" t="n">
        <v>0.026</v>
      </c>
      <c r="H365" s="57" t="inlineStr">
        <is>
          <t>🔴 VERMELHO</t>
        </is>
      </c>
      <c r="I365" s="57" t="inlineStr">
        <is>
          <t>ATIVAÇÃO</t>
        </is>
      </c>
      <c r="J365" s="61" t="inlineStr">
        <is>
          <t>Reativar inativos + Prospectar</t>
        </is>
      </c>
      <c r="K365" s="30" t="inlineStr">
        <is>
          <t>.</t>
        </is>
      </c>
      <c r="L365" s="180" t="n">
        <v>2614.4</v>
      </c>
      <c r="M365" s="181" t="n">
        <v>183.72</v>
      </c>
      <c r="N365" s="181" t="n">
        <v>191.98</v>
      </c>
      <c r="O365" s="181" t="n">
        <v>196.61</v>
      </c>
      <c r="P365" s="181" t="n">
        <v>201.73</v>
      </c>
      <c r="Q365" s="181" t="n">
        <v>208.34</v>
      </c>
      <c r="R365" s="181" t="n">
        <v>213.79</v>
      </c>
      <c r="S365" s="181" t="n">
        <v>222.05</v>
      </c>
      <c r="T365" s="181" t="n">
        <v>227.5</v>
      </c>
      <c r="U365" s="181" t="n">
        <v>232.63</v>
      </c>
      <c r="V365" s="181" t="n">
        <v>238.41</v>
      </c>
      <c r="W365" s="181" t="n">
        <v>244.69</v>
      </c>
      <c r="X365" s="182" t="n">
        <v>252.95</v>
      </c>
      <c r="Y365" s="183" t="inlineStr">
        <is>
          <t>.</t>
        </is>
      </c>
      <c r="Z365" s="184">
        <f>SUM(AA365:AL365)</f>
        <v/>
      </c>
      <c r="AA365" s="185" t="n">
        <v>0</v>
      </c>
      <c r="AB365" s="185" t="n">
        <v>0</v>
      </c>
      <c r="AC365" s="185" t="n">
        <v>0</v>
      </c>
      <c r="AD365" s="185" t="n">
        <v>0</v>
      </c>
      <c r="AE365" s="185" t="n">
        <v>0</v>
      </c>
      <c r="AF365" s="185" t="n">
        <v>0</v>
      </c>
      <c r="AG365" s="185" t="n">
        <v>0</v>
      </c>
      <c r="AH365" s="185" t="n">
        <v>0</v>
      </c>
      <c r="AI365" s="185" t="n">
        <v>0</v>
      </c>
      <c r="AJ365" s="185" t="n">
        <v>1487.22</v>
      </c>
      <c r="AK365" s="185" t="n">
        <v>0</v>
      </c>
      <c r="AL365" s="186" t="n">
        <v>0</v>
      </c>
      <c r="AM365" s="30" t="inlineStr">
        <is>
          <t>.</t>
        </is>
      </c>
      <c r="AN365" s="187">
        <f>IF(L365=0,0,Z365/L365)</f>
        <v/>
      </c>
      <c r="AO365" s="57">
        <f>IF(AN365&gt;=1,"🟢",IF(AN365&gt;=0.7,"🟡",IF(AN365&gt;=0.4,"🟠","🔴")))</f>
        <v/>
      </c>
      <c r="AP365" s="185">
        <f>L365-Z365</f>
        <v/>
      </c>
      <c r="AQ365" s="55">
        <f>RANK(Z365,$Z$4:$Z$503,0)</f>
        <v/>
      </c>
      <c r="AR365" s="39" t="inlineStr">
        <is>
          <t>.</t>
        </is>
      </c>
      <c r="AS365" s="27" t="n"/>
      <c r="AT365" s="27" t="n"/>
      <c r="AU365" s="27" t="n"/>
      <c r="AV365" s="27" t="n"/>
      <c r="AW365" s="27" t="n"/>
      <c r="AX365" s="27" t="n"/>
      <c r="AY365" s="204" t="n"/>
      <c r="AZ365" s="204" t="n"/>
      <c r="BA365" s="38" t="inlineStr">
        <is>
          <t>.</t>
        </is>
      </c>
      <c r="BB365" s="190">
        <f>SUM(BC365:BN365)</f>
        <v/>
      </c>
      <c r="BC365" s="191">
        <f>L365*0.0702730030</f>
        <v/>
      </c>
      <c r="BD365" s="191">
        <f>L365*0.0734327604</f>
        <v/>
      </c>
      <c r="BE365" s="191">
        <f>L365*0.0752022245</f>
        <v/>
      </c>
      <c r="BF365" s="191">
        <f>L365*0.0771612740</f>
        <v/>
      </c>
      <c r="BG365" s="191">
        <f>L365*0.0796890799</f>
        <v/>
      </c>
      <c r="BH365" s="191">
        <f>L365*0.0817745197</f>
        <v/>
      </c>
      <c r="BI365" s="191">
        <f>L365*0.0849342770</f>
        <v/>
      </c>
      <c r="BJ365" s="191">
        <f>L365*0.0870197169</f>
        <v/>
      </c>
      <c r="BK365" s="191">
        <f>L365*0.0889787664</f>
        <v/>
      </c>
      <c r="BL365" s="191">
        <f>L365*0.0911905966</f>
        <v/>
      </c>
      <c r="BM365" s="191">
        <f>L365*0.0935920121</f>
        <v/>
      </c>
      <c r="BN365" s="192">
        <f>L365*0.0967517695</f>
        <v/>
      </c>
      <c r="BO365" s="36" t="inlineStr">
        <is>
          <t>.</t>
        </is>
      </c>
      <c r="BP365" s="193">
        <f>SUM(BQ365:CB365)</f>
        <v/>
      </c>
      <c r="BQ365" s="191">
        <f>MAX(0,BC365-AA365)</f>
        <v/>
      </c>
      <c r="BR365" s="191">
        <f>MAX(0,BD365-AB365)</f>
        <v/>
      </c>
      <c r="BS365" s="191">
        <f>MAX(0,BE365-AC365)</f>
        <v/>
      </c>
      <c r="BT365" s="191">
        <f>MAX(0,BF365-AD365)</f>
        <v/>
      </c>
      <c r="BU365" s="191">
        <f>MAX(0,BG365-AE365)</f>
        <v/>
      </c>
      <c r="BV365" s="191">
        <f>MAX(0,BH365-AF365)</f>
        <v/>
      </c>
      <c r="BW365" s="191">
        <f>MAX(0,BI365-AG365)</f>
        <v/>
      </c>
      <c r="BX365" s="191">
        <f>MAX(0,BJ365-AH365)</f>
        <v/>
      </c>
      <c r="BY365" s="191">
        <f>MAX(0,BK365-AI365)</f>
        <v/>
      </c>
      <c r="BZ365" s="191">
        <f>MAX(0,BL365-AJ365)</f>
        <v/>
      </c>
      <c r="CA365" s="191">
        <f>MAX(0,BM365-AK365)</f>
        <v/>
      </c>
      <c r="CB365" s="192">
        <f>MAX(0,BN365-AL365)</f>
        <v/>
      </c>
    </row>
    <row r="366">
      <c r="A366" s="64" t="inlineStr">
        <is>
          <t>62862222000170</t>
        </is>
      </c>
      <c r="B366" s="57" t="inlineStr">
        <is>
          <t>SEMEANDO PRODUTOS NATURAIS LTDA - ME</t>
        </is>
      </c>
      <c r="C366" s="57" t="inlineStr">
        <is>
          <t>SEM GRUPO</t>
        </is>
      </c>
      <c r="D366" s="61" t="inlineStr">
        <is>
          <t>LARISSA PADILHA</t>
        </is>
      </c>
      <c r="E366" s="30" t="inlineStr">
        <is>
          <t>.</t>
        </is>
      </c>
      <c r="F366" s="63" t="inlineStr"/>
      <c r="G366" s="179" t="inlineStr"/>
      <c r="H366" s="57" t="inlineStr"/>
      <c r="I366" s="57" t="inlineStr"/>
      <c r="J366" s="61" t="inlineStr"/>
      <c r="K366" s="30" t="inlineStr">
        <is>
          <t>.</t>
        </is>
      </c>
      <c r="L366" s="180" t="n">
        <v>2613.68</v>
      </c>
      <c r="M366" s="181" t="n">
        <v>183.67</v>
      </c>
      <c r="N366" s="181" t="n">
        <v>191.93</v>
      </c>
      <c r="O366" s="181" t="n">
        <v>196.56</v>
      </c>
      <c r="P366" s="181" t="n">
        <v>201.68</v>
      </c>
      <c r="Q366" s="181" t="n">
        <v>208.28</v>
      </c>
      <c r="R366" s="181" t="n">
        <v>213.73</v>
      </c>
      <c r="S366" s="181" t="n">
        <v>221.99</v>
      </c>
      <c r="T366" s="181" t="n">
        <v>227.44</v>
      </c>
      <c r="U366" s="181" t="n">
        <v>232.56</v>
      </c>
      <c r="V366" s="181" t="n">
        <v>238.34</v>
      </c>
      <c r="W366" s="181" t="n">
        <v>244.62</v>
      </c>
      <c r="X366" s="182" t="n">
        <v>252.88</v>
      </c>
      <c r="Y366" s="183" t="inlineStr">
        <is>
          <t>.</t>
        </is>
      </c>
      <c r="Z366" s="184">
        <f>SUM(AA366:AL366)</f>
        <v/>
      </c>
      <c r="AA366" s="185" t="n">
        <v>0</v>
      </c>
      <c r="AB366" s="185" t="n">
        <v>0</v>
      </c>
      <c r="AC366" s="185" t="n">
        <v>0</v>
      </c>
      <c r="AD366" s="185" t="n">
        <v>0</v>
      </c>
      <c r="AE366" s="185" t="n">
        <v>0</v>
      </c>
      <c r="AF366" s="185" t="n">
        <v>0</v>
      </c>
      <c r="AG366" s="185" t="n">
        <v>0</v>
      </c>
      <c r="AH366" s="185" t="n">
        <v>0</v>
      </c>
      <c r="AI366" s="185" t="n">
        <v>0</v>
      </c>
      <c r="AJ366" s="185" t="n">
        <v>876.17</v>
      </c>
      <c r="AK366" s="185" t="n">
        <v>0</v>
      </c>
      <c r="AL366" s="186" t="n">
        <v>0</v>
      </c>
      <c r="AM366" s="30" t="inlineStr">
        <is>
          <t>.</t>
        </is>
      </c>
      <c r="AN366" s="187">
        <f>IF(L366=0,0,Z366/L366)</f>
        <v/>
      </c>
      <c r="AO366" s="57">
        <f>IF(AN366&gt;=1,"🟢",IF(AN366&gt;=0.7,"🟡",IF(AN366&gt;=0.4,"🟠","🔴")))</f>
        <v/>
      </c>
      <c r="AP366" s="185">
        <f>L366-Z366</f>
        <v/>
      </c>
      <c r="AQ366" s="55">
        <f>RANK(Z366,$Z$4:$Z$503,0)</f>
        <v/>
      </c>
      <c r="AR366" s="39" t="inlineStr">
        <is>
          <t>.</t>
        </is>
      </c>
      <c r="AS366" s="27" t="n"/>
      <c r="AT366" s="27" t="n"/>
      <c r="AU366" s="27" t="n"/>
      <c r="AV366" s="27" t="n"/>
      <c r="AW366" s="27" t="n"/>
      <c r="AX366" s="27" t="n"/>
      <c r="AY366" s="204" t="n"/>
      <c r="AZ366" s="204" t="n"/>
      <c r="BA366" s="38" t="inlineStr">
        <is>
          <t>.</t>
        </is>
      </c>
      <c r="BB366" s="190">
        <f>SUM(BC366:BN366)</f>
        <v/>
      </c>
      <c r="BC366" s="191">
        <f>L366*0.0702730030</f>
        <v/>
      </c>
      <c r="BD366" s="191">
        <f>L366*0.0734327604</f>
        <v/>
      </c>
      <c r="BE366" s="191">
        <f>L366*0.0752022245</f>
        <v/>
      </c>
      <c r="BF366" s="191">
        <f>L366*0.0771612740</f>
        <v/>
      </c>
      <c r="BG366" s="191">
        <f>L366*0.0796890799</f>
        <v/>
      </c>
      <c r="BH366" s="191">
        <f>L366*0.0817745197</f>
        <v/>
      </c>
      <c r="BI366" s="191">
        <f>L366*0.0849342770</f>
        <v/>
      </c>
      <c r="BJ366" s="191">
        <f>L366*0.0870197169</f>
        <v/>
      </c>
      <c r="BK366" s="191">
        <f>L366*0.0889787664</f>
        <v/>
      </c>
      <c r="BL366" s="191">
        <f>L366*0.0911905966</f>
        <v/>
      </c>
      <c r="BM366" s="191">
        <f>L366*0.0935920121</f>
        <v/>
      </c>
      <c r="BN366" s="192">
        <f>L366*0.0967517695</f>
        <v/>
      </c>
      <c r="BO366" s="36" t="inlineStr">
        <is>
          <t>.</t>
        </is>
      </c>
      <c r="BP366" s="193">
        <f>SUM(BQ366:CB366)</f>
        <v/>
      </c>
      <c r="BQ366" s="191">
        <f>MAX(0,BC366-AA366)</f>
        <v/>
      </c>
      <c r="BR366" s="191">
        <f>MAX(0,BD366-AB366)</f>
        <v/>
      </c>
      <c r="BS366" s="191">
        <f>MAX(0,BE366-AC366)</f>
        <v/>
      </c>
      <c r="BT366" s="191">
        <f>MAX(0,BF366-AD366)</f>
        <v/>
      </c>
      <c r="BU366" s="191">
        <f>MAX(0,BG366-AE366)</f>
        <v/>
      </c>
      <c r="BV366" s="191">
        <f>MAX(0,BH366-AF366)</f>
        <v/>
      </c>
      <c r="BW366" s="191">
        <f>MAX(0,BI366-AG366)</f>
        <v/>
      </c>
      <c r="BX366" s="191">
        <f>MAX(0,BJ366-AH366)</f>
        <v/>
      </c>
      <c r="BY366" s="191">
        <f>MAX(0,BK366-AI366)</f>
        <v/>
      </c>
      <c r="BZ366" s="191">
        <f>MAX(0,BL366-AJ366)</f>
        <v/>
      </c>
      <c r="CA366" s="191">
        <f>MAX(0,BM366-AK366)</f>
        <v/>
      </c>
      <c r="CB366" s="192">
        <f>MAX(0,BN366-AL366)</f>
        <v/>
      </c>
    </row>
    <row r="367">
      <c r="A367" s="64" t="inlineStr">
        <is>
          <t>54606760000176</t>
        </is>
      </c>
      <c r="B367" s="57" t="inlineStr">
        <is>
          <t>BELA SAUDE PRODUTOS NATURAIS LTDA - ME</t>
        </is>
      </c>
      <c r="C367" s="57" t="inlineStr">
        <is>
          <t>SEM GRUPO</t>
        </is>
      </c>
      <c r="D367" s="61" t="inlineStr">
        <is>
          <t>LARISSA PADILHA</t>
        </is>
      </c>
      <c r="E367" s="30" t="inlineStr">
        <is>
          <t>.</t>
        </is>
      </c>
      <c r="F367" s="63" t="inlineStr"/>
      <c r="G367" s="179" t="inlineStr"/>
      <c r="H367" s="57" t="inlineStr"/>
      <c r="I367" s="57" t="inlineStr"/>
      <c r="J367" s="61" t="inlineStr"/>
      <c r="K367" s="30" t="inlineStr">
        <is>
          <t>.</t>
        </is>
      </c>
      <c r="L367" s="180" t="n">
        <v>2601.67</v>
      </c>
      <c r="M367" s="181" t="n">
        <v>182.83</v>
      </c>
      <c r="N367" s="181" t="n">
        <v>191.05</v>
      </c>
      <c r="O367" s="181" t="n">
        <v>195.65</v>
      </c>
      <c r="P367" s="181" t="n">
        <v>200.75</v>
      </c>
      <c r="Q367" s="181" t="n">
        <v>207.32</v>
      </c>
      <c r="R367" s="181" t="n">
        <v>212.75</v>
      </c>
      <c r="S367" s="181" t="n">
        <v>220.97</v>
      </c>
      <c r="T367" s="181" t="n">
        <v>226.4</v>
      </c>
      <c r="U367" s="181" t="n">
        <v>231.49</v>
      </c>
      <c r="V367" s="181" t="n">
        <v>237.25</v>
      </c>
      <c r="W367" s="181" t="n">
        <v>243.49</v>
      </c>
      <c r="X367" s="182" t="n">
        <v>251.72</v>
      </c>
      <c r="Y367" s="183" t="inlineStr">
        <is>
          <t>.</t>
        </is>
      </c>
      <c r="Z367" s="184">
        <f>SUM(AA367:AL367)</f>
        <v/>
      </c>
      <c r="AA367" s="185" t="n">
        <v>0</v>
      </c>
      <c r="AB367" s="185" t="n">
        <v>0</v>
      </c>
      <c r="AC367" s="185" t="n">
        <v>0</v>
      </c>
      <c r="AD367" s="185" t="n">
        <v>0</v>
      </c>
      <c r="AE367" s="185" t="n">
        <v>0</v>
      </c>
      <c r="AF367" s="185" t="n">
        <v>0</v>
      </c>
      <c r="AG367" s="185" t="n">
        <v>0</v>
      </c>
      <c r="AH367" s="185" t="n">
        <v>0</v>
      </c>
      <c r="AI367" s="185" t="n">
        <v>0</v>
      </c>
      <c r="AJ367" s="185" t="n">
        <v>0</v>
      </c>
      <c r="AK367" s="185" t="n">
        <v>0</v>
      </c>
      <c r="AL367" s="186" t="n">
        <v>1146.63</v>
      </c>
      <c r="AM367" s="30" t="inlineStr">
        <is>
          <t>.</t>
        </is>
      </c>
      <c r="AN367" s="187">
        <f>IF(L367=0,0,Z367/L367)</f>
        <v/>
      </c>
      <c r="AO367" s="57">
        <f>IF(AN367&gt;=1,"🟢",IF(AN367&gt;=0.7,"🟡",IF(AN367&gt;=0.4,"🟠","🔴")))</f>
        <v/>
      </c>
      <c r="AP367" s="185">
        <f>L367-Z367</f>
        <v/>
      </c>
      <c r="AQ367" s="55">
        <f>RANK(Z367,$Z$4:$Z$503,0)</f>
        <v/>
      </c>
      <c r="AR367" s="39" t="inlineStr">
        <is>
          <t>.</t>
        </is>
      </c>
      <c r="AS367" s="27" t="n"/>
      <c r="AT367" s="27" t="n"/>
      <c r="AU367" s="27" t="n"/>
      <c r="AV367" s="27" t="n"/>
      <c r="AW367" s="27" t="n"/>
      <c r="AX367" s="27" t="n"/>
      <c r="AY367" s="204" t="n"/>
      <c r="AZ367" s="204" t="n"/>
      <c r="BA367" s="38" t="inlineStr">
        <is>
          <t>.</t>
        </is>
      </c>
      <c r="BB367" s="190">
        <f>SUM(BC367:BN367)</f>
        <v/>
      </c>
      <c r="BC367" s="191">
        <f>L367*0.0702730030</f>
        <v/>
      </c>
      <c r="BD367" s="191">
        <f>L367*0.0734327604</f>
        <v/>
      </c>
      <c r="BE367" s="191">
        <f>L367*0.0752022245</f>
        <v/>
      </c>
      <c r="BF367" s="191">
        <f>L367*0.0771612740</f>
        <v/>
      </c>
      <c r="BG367" s="191">
        <f>L367*0.0796890799</f>
        <v/>
      </c>
      <c r="BH367" s="191">
        <f>L367*0.0817745197</f>
        <v/>
      </c>
      <c r="BI367" s="191">
        <f>L367*0.0849342770</f>
        <v/>
      </c>
      <c r="BJ367" s="191">
        <f>L367*0.0870197169</f>
        <v/>
      </c>
      <c r="BK367" s="191">
        <f>L367*0.0889787664</f>
        <v/>
      </c>
      <c r="BL367" s="191">
        <f>L367*0.0911905966</f>
        <v/>
      </c>
      <c r="BM367" s="191">
        <f>L367*0.0935920121</f>
        <v/>
      </c>
      <c r="BN367" s="192">
        <f>L367*0.0967517695</f>
        <v/>
      </c>
      <c r="BO367" s="36" t="inlineStr">
        <is>
          <t>.</t>
        </is>
      </c>
      <c r="BP367" s="193">
        <f>SUM(BQ367:CB367)</f>
        <v/>
      </c>
      <c r="BQ367" s="191">
        <f>MAX(0,BC367-AA367)</f>
        <v/>
      </c>
      <c r="BR367" s="191">
        <f>MAX(0,BD367-AB367)</f>
        <v/>
      </c>
      <c r="BS367" s="191">
        <f>MAX(0,BE367-AC367)</f>
        <v/>
      </c>
      <c r="BT367" s="191">
        <f>MAX(0,BF367-AD367)</f>
        <v/>
      </c>
      <c r="BU367" s="191">
        <f>MAX(0,BG367-AE367)</f>
        <v/>
      </c>
      <c r="BV367" s="191">
        <f>MAX(0,BH367-AF367)</f>
        <v/>
      </c>
      <c r="BW367" s="191">
        <f>MAX(0,BI367-AG367)</f>
        <v/>
      </c>
      <c r="BX367" s="191">
        <f>MAX(0,BJ367-AH367)</f>
        <v/>
      </c>
      <c r="BY367" s="191">
        <f>MAX(0,BK367-AI367)</f>
        <v/>
      </c>
      <c r="BZ367" s="191">
        <f>MAX(0,BL367-AJ367)</f>
        <v/>
      </c>
      <c r="CA367" s="191">
        <f>MAX(0,BM367-AK367)</f>
        <v/>
      </c>
      <c r="CB367" s="192">
        <f>MAX(0,BN367-AL367)</f>
        <v/>
      </c>
    </row>
    <row r="368">
      <c r="A368" s="64" t="inlineStr">
        <is>
          <t>59481985000167</t>
        </is>
      </c>
      <c r="B368" s="57" t="inlineStr">
        <is>
          <t>EMPORIO VIDA PLENA LTDA - ME</t>
        </is>
      </c>
      <c r="C368" s="57" t="inlineStr">
        <is>
          <t>SEM GRUPO</t>
        </is>
      </c>
      <c r="D368" s="61" t="inlineStr">
        <is>
          <t>LARISSA PADILHA</t>
        </is>
      </c>
      <c r="E368" s="30" t="inlineStr">
        <is>
          <t>.</t>
        </is>
      </c>
      <c r="F368" s="63" t="inlineStr"/>
      <c r="G368" s="179" t="inlineStr"/>
      <c r="H368" s="57" t="inlineStr"/>
      <c r="I368" s="57" t="inlineStr"/>
      <c r="J368" s="61" t="inlineStr"/>
      <c r="K368" s="30" t="inlineStr">
        <is>
          <t>.</t>
        </is>
      </c>
      <c r="L368" s="180" t="n">
        <v>2588.59</v>
      </c>
      <c r="M368" s="181" t="n">
        <v>181.91</v>
      </c>
      <c r="N368" s="181" t="n">
        <v>190.09</v>
      </c>
      <c r="O368" s="181" t="n">
        <v>194.67</v>
      </c>
      <c r="P368" s="181" t="n">
        <v>199.74</v>
      </c>
      <c r="Q368" s="181" t="n">
        <v>206.28</v>
      </c>
      <c r="R368" s="181" t="n">
        <v>211.68</v>
      </c>
      <c r="S368" s="181" t="n">
        <v>219.86</v>
      </c>
      <c r="T368" s="181" t="n">
        <v>225.26</v>
      </c>
      <c r="U368" s="181" t="n">
        <v>230.33</v>
      </c>
      <c r="V368" s="181" t="n">
        <v>236.05</v>
      </c>
      <c r="W368" s="181" t="n">
        <v>242.27</v>
      </c>
      <c r="X368" s="182" t="n">
        <v>250.45</v>
      </c>
      <c r="Y368" s="183" t="inlineStr">
        <is>
          <t>.</t>
        </is>
      </c>
      <c r="Z368" s="184">
        <f>SUM(AA368:AL368)</f>
        <v/>
      </c>
      <c r="AA368" s="185" t="n">
        <v>0</v>
      </c>
      <c r="AB368" s="185" t="n">
        <v>0</v>
      </c>
      <c r="AC368" s="185" t="n">
        <v>0</v>
      </c>
      <c r="AD368" s="185" t="n">
        <v>0</v>
      </c>
      <c r="AE368" s="185" t="n">
        <v>0</v>
      </c>
      <c r="AF368" s="185" t="n">
        <v>0</v>
      </c>
      <c r="AG368" s="185" t="n">
        <v>0</v>
      </c>
      <c r="AH368" s="185" t="n">
        <v>0</v>
      </c>
      <c r="AI368" s="185" t="n">
        <v>0</v>
      </c>
      <c r="AJ368" s="185" t="n">
        <v>0</v>
      </c>
      <c r="AK368" s="185" t="n">
        <v>0</v>
      </c>
      <c r="AL368" s="186" t="n">
        <v>1140.86</v>
      </c>
      <c r="AM368" s="30" t="inlineStr">
        <is>
          <t>.</t>
        </is>
      </c>
      <c r="AN368" s="187">
        <f>IF(L368=0,0,Z368/L368)</f>
        <v/>
      </c>
      <c r="AO368" s="57">
        <f>IF(AN368&gt;=1,"🟢",IF(AN368&gt;=0.7,"🟡",IF(AN368&gt;=0.4,"🟠","🔴")))</f>
        <v/>
      </c>
      <c r="AP368" s="185">
        <f>L368-Z368</f>
        <v/>
      </c>
      <c r="AQ368" s="55">
        <f>RANK(Z368,$Z$4:$Z$503,0)</f>
        <v/>
      </c>
      <c r="AR368" s="39" t="inlineStr">
        <is>
          <t>.</t>
        </is>
      </c>
      <c r="AS368" s="27" t="n"/>
      <c r="AT368" s="27" t="n"/>
      <c r="AU368" s="27" t="n"/>
      <c r="AV368" s="27" t="n"/>
      <c r="AW368" s="27" t="n"/>
      <c r="AX368" s="27" t="n"/>
      <c r="AY368" s="204" t="n"/>
      <c r="AZ368" s="204" t="n"/>
      <c r="BA368" s="38" t="inlineStr">
        <is>
          <t>.</t>
        </is>
      </c>
      <c r="BB368" s="190">
        <f>SUM(BC368:BN368)</f>
        <v/>
      </c>
      <c r="BC368" s="191">
        <f>L368*0.0702730030</f>
        <v/>
      </c>
      <c r="BD368" s="191">
        <f>L368*0.0734327604</f>
        <v/>
      </c>
      <c r="BE368" s="191">
        <f>L368*0.0752022245</f>
        <v/>
      </c>
      <c r="BF368" s="191">
        <f>L368*0.0771612740</f>
        <v/>
      </c>
      <c r="BG368" s="191">
        <f>L368*0.0796890799</f>
        <v/>
      </c>
      <c r="BH368" s="191">
        <f>L368*0.0817745197</f>
        <v/>
      </c>
      <c r="BI368" s="191">
        <f>L368*0.0849342770</f>
        <v/>
      </c>
      <c r="BJ368" s="191">
        <f>L368*0.0870197169</f>
        <v/>
      </c>
      <c r="BK368" s="191">
        <f>L368*0.0889787664</f>
        <v/>
      </c>
      <c r="BL368" s="191">
        <f>L368*0.0911905966</f>
        <v/>
      </c>
      <c r="BM368" s="191">
        <f>L368*0.0935920121</f>
        <v/>
      </c>
      <c r="BN368" s="192">
        <f>L368*0.0967517695</f>
        <v/>
      </c>
      <c r="BO368" s="36" t="inlineStr">
        <is>
          <t>.</t>
        </is>
      </c>
      <c r="BP368" s="193">
        <f>SUM(BQ368:CB368)</f>
        <v/>
      </c>
      <c r="BQ368" s="191">
        <f>MAX(0,BC368-AA368)</f>
        <v/>
      </c>
      <c r="BR368" s="191">
        <f>MAX(0,BD368-AB368)</f>
        <v/>
      </c>
      <c r="BS368" s="191">
        <f>MAX(0,BE368-AC368)</f>
        <v/>
      </c>
      <c r="BT368" s="191">
        <f>MAX(0,BF368-AD368)</f>
        <v/>
      </c>
      <c r="BU368" s="191">
        <f>MAX(0,BG368-AE368)</f>
        <v/>
      </c>
      <c r="BV368" s="191">
        <f>MAX(0,BH368-AF368)</f>
        <v/>
      </c>
      <c r="BW368" s="191">
        <f>MAX(0,BI368-AG368)</f>
        <v/>
      </c>
      <c r="BX368" s="191">
        <f>MAX(0,BJ368-AH368)</f>
        <v/>
      </c>
      <c r="BY368" s="191">
        <f>MAX(0,BK368-AI368)</f>
        <v/>
      </c>
      <c r="BZ368" s="191">
        <f>MAX(0,BL368-AJ368)</f>
        <v/>
      </c>
      <c r="CA368" s="191">
        <f>MAX(0,BM368-AK368)</f>
        <v/>
      </c>
      <c r="CB368" s="192">
        <f>MAX(0,BN368-AL368)</f>
        <v/>
      </c>
    </row>
    <row r="369">
      <c r="A369" s="64" t="inlineStr">
        <is>
          <t>61631938000102</t>
        </is>
      </c>
      <c r="B369" s="57" t="inlineStr">
        <is>
          <t>ELEMENTHAR PRODUTOS NATURAIS LTDA - ME</t>
        </is>
      </c>
      <c r="C369" s="57" t="inlineStr">
        <is>
          <t>CIA DA SAUDE</t>
        </is>
      </c>
      <c r="D369" s="61" t="inlineStr">
        <is>
          <t>JULIO GADRET</t>
        </is>
      </c>
      <c r="E369" s="30" t="inlineStr">
        <is>
          <t>.</t>
        </is>
      </c>
      <c r="F369" s="63" t="n">
        <v>163</v>
      </c>
      <c r="G369" s="179" t="n">
        <v>0.026</v>
      </c>
      <c r="H369" s="57" t="inlineStr">
        <is>
          <t>🔴 VERMELHO</t>
        </is>
      </c>
      <c r="I369" s="57" t="inlineStr">
        <is>
          <t>ATIVAÇÃO</t>
        </is>
      </c>
      <c r="J369" s="61" t="inlineStr">
        <is>
          <t>Reativar inativos + Prospectar</t>
        </is>
      </c>
      <c r="K369" s="30" t="inlineStr">
        <is>
          <t>.</t>
        </is>
      </c>
      <c r="L369" s="180" t="n">
        <v>2570.53</v>
      </c>
      <c r="M369" s="181" t="n">
        <v>180.64</v>
      </c>
      <c r="N369" s="181" t="n">
        <v>188.76</v>
      </c>
      <c r="O369" s="181" t="n">
        <v>193.31</v>
      </c>
      <c r="P369" s="181" t="n">
        <v>198.35</v>
      </c>
      <c r="Q369" s="181" t="n">
        <v>204.84</v>
      </c>
      <c r="R369" s="181" t="n">
        <v>210.2</v>
      </c>
      <c r="S369" s="181" t="n">
        <v>218.33</v>
      </c>
      <c r="T369" s="181" t="n">
        <v>223.69</v>
      </c>
      <c r="U369" s="181" t="n">
        <v>228.72</v>
      </c>
      <c r="V369" s="181" t="n">
        <v>234.41</v>
      </c>
      <c r="W369" s="181" t="n">
        <v>240.58</v>
      </c>
      <c r="X369" s="182" t="n">
        <v>248.7</v>
      </c>
      <c r="Y369" s="183" t="inlineStr">
        <is>
          <t>.</t>
        </is>
      </c>
      <c r="Z369" s="184">
        <f>SUM(AA369:AL369)</f>
        <v/>
      </c>
      <c r="AA369" s="185" t="n">
        <v>0</v>
      </c>
      <c r="AB369" s="185" t="n">
        <v>0</v>
      </c>
      <c r="AC369" s="185" t="n">
        <v>0</v>
      </c>
      <c r="AD369" s="185" t="n">
        <v>0</v>
      </c>
      <c r="AE369" s="185" t="n">
        <v>0</v>
      </c>
      <c r="AF369" s="185" t="n">
        <v>0</v>
      </c>
      <c r="AG369" s="185" t="n">
        <v>0</v>
      </c>
      <c r="AH369" s="185" t="n">
        <v>0</v>
      </c>
      <c r="AI369" s="185" t="n">
        <v>0</v>
      </c>
      <c r="AJ369" s="185" t="n">
        <v>0</v>
      </c>
      <c r="AK369" s="185" t="n">
        <v>1371.17</v>
      </c>
      <c r="AL369" s="186" t="n">
        <v>0</v>
      </c>
      <c r="AM369" s="30" t="inlineStr">
        <is>
          <t>.</t>
        </is>
      </c>
      <c r="AN369" s="187">
        <f>IF(L369=0,0,Z369/L369)</f>
        <v/>
      </c>
      <c r="AO369" s="57">
        <f>IF(AN369&gt;=1,"🟢",IF(AN369&gt;=0.7,"🟡",IF(AN369&gt;=0.4,"🟠","🔴")))</f>
        <v/>
      </c>
      <c r="AP369" s="185">
        <f>L369-Z369</f>
        <v/>
      </c>
      <c r="AQ369" s="55">
        <f>RANK(Z369,$Z$4:$Z$503,0)</f>
        <v/>
      </c>
      <c r="AR369" s="39" t="inlineStr">
        <is>
          <t>.</t>
        </is>
      </c>
      <c r="AS369" s="27" t="n"/>
      <c r="AT369" s="27" t="n"/>
      <c r="AU369" s="27" t="n"/>
      <c r="AV369" s="27" t="n"/>
      <c r="AW369" s="27" t="n"/>
      <c r="AX369" s="27" t="n"/>
      <c r="AY369" s="204" t="n"/>
      <c r="AZ369" s="204" t="n"/>
      <c r="BA369" s="38" t="inlineStr">
        <is>
          <t>.</t>
        </is>
      </c>
      <c r="BB369" s="190">
        <f>SUM(BC369:BN369)</f>
        <v/>
      </c>
      <c r="BC369" s="191">
        <f>L369*0.0702730030</f>
        <v/>
      </c>
      <c r="BD369" s="191">
        <f>L369*0.0734327604</f>
        <v/>
      </c>
      <c r="BE369" s="191">
        <f>L369*0.0752022245</f>
        <v/>
      </c>
      <c r="BF369" s="191">
        <f>L369*0.0771612740</f>
        <v/>
      </c>
      <c r="BG369" s="191">
        <f>L369*0.0796890799</f>
        <v/>
      </c>
      <c r="BH369" s="191">
        <f>L369*0.0817745197</f>
        <v/>
      </c>
      <c r="BI369" s="191">
        <f>L369*0.0849342770</f>
        <v/>
      </c>
      <c r="BJ369" s="191">
        <f>L369*0.0870197169</f>
        <v/>
      </c>
      <c r="BK369" s="191">
        <f>L369*0.0889787664</f>
        <v/>
      </c>
      <c r="BL369" s="191">
        <f>L369*0.0911905966</f>
        <v/>
      </c>
      <c r="BM369" s="191">
        <f>L369*0.0935920121</f>
        <v/>
      </c>
      <c r="BN369" s="192">
        <f>L369*0.0967517695</f>
        <v/>
      </c>
      <c r="BO369" s="36" t="inlineStr">
        <is>
          <t>.</t>
        </is>
      </c>
      <c r="BP369" s="193">
        <f>SUM(BQ369:CB369)</f>
        <v/>
      </c>
      <c r="BQ369" s="191">
        <f>MAX(0,BC369-AA369)</f>
        <v/>
      </c>
      <c r="BR369" s="191">
        <f>MAX(0,BD369-AB369)</f>
        <v/>
      </c>
      <c r="BS369" s="191">
        <f>MAX(0,BE369-AC369)</f>
        <v/>
      </c>
      <c r="BT369" s="191">
        <f>MAX(0,BF369-AD369)</f>
        <v/>
      </c>
      <c r="BU369" s="191">
        <f>MAX(0,BG369-AE369)</f>
        <v/>
      </c>
      <c r="BV369" s="191">
        <f>MAX(0,BH369-AF369)</f>
        <v/>
      </c>
      <c r="BW369" s="191">
        <f>MAX(0,BI369-AG369)</f>
        <v/>
      </c>
      <c r="BX369" s="191">
        <f>MAX(0,BJ369-AH369)</f>
        <v/>
      </c>
      <c r="BY369" s="191">
        <f>MAX(0,BK369-AI369)</f>
        <v/>
      </c>
      <c r="BZ369" s="191">
        <f>MAX(0,BL369-AJ369)</f>
        <v/>
      </c>
      <c r="CA369" s="191">
        <f>MAX(0,BM369-AK369)</f>
        <v/>
      </c>
      <c r="CB369" s="192">
        <f>MAX(0,BN369-AL369)</f>
        <v/>
      </c>
    </row>
    <row r="370">
      <c r="A370" s="64" t="inlineStr">
        <is>
          <t>60487702000173</t>
        </is>
      </c>
      <c r="B370" s="57" t="inlineStr">
        <is>
          <t>IMPORT LAND DOCES LTDA - ME</t>
        </is>
      </c>
      <c r="C370" s="57" t="inlineStr">
        <is>
          <t>SEM GRUPO</t>
        </is>
      </c>
      <c r="D370" s="61" t="inlineStr">
        <is>
          <t>HEMANUELE DITZEL (MANU)</t>
        </is>
      </c>
      <c r="E370" s="30" t="inlineStr">
        <is>
          <t>.</t>
        </is>
      </c>
      <c r="F370" s="63" t="inlineStr"/>
      <c r="G370" s="179" t="inlineStr"/>
      <c r="H370" s="57" t="inlineStr"/>
      <c r="I370" s="57" t="inlineStr"/>
      <c r="J370" s="61" t="inlineStr"/>
      <c r="K370" s="30" t="inlineStr">
        <is>
          <t>.</t>
        </is>
      </c>
      <c r="L370" s="180" t="n">
        <v>2546.64</v>
      </c>
      <c r="M370" s="181" t="n">
        <v>178.96</v>
      </c>
      <c r="N370" s="181" t="n">
        <v>187.01</v>
      </c>
      <c r="O370" s="181" t="n">
        <v>191.51</v>
      </c>
      <c r="P370" s="181" t="n">
        <v>196.5</v>
      </c>
      <c r="Q370" s="181" t="n">
        <v>202.94</v>
      </c>
      <c r="R370" s="181" t="n">
        <v>208.25</v>
      </c>
      <c r="S370" s="181" t="n">
        <v>216.3</v>
      </c>
      <c r="T370" s="181" t="n">
        <v>221.61</v>
      </c>
      <c r="U370" s="181" t="n">
        <v>226.6</v>
      </c>
      <c r="V370" s="181" t="n">
        <v>232.23</v>
      </c>
      <c r="W370" s="181" t="n">
        <v>238.34</v>
      </c>
      <c r="X370" s="182" t="n">
        <v>246.39</v>
      </c>
      <c r="Y370" s="183" t="inlineStr">
        <is>
          <t>.</t>
        </is>
      </c>
      <c r="Z370" s="184">
        <f>SUM(AA370:AL370)</f>
        <v/>
      </c>
      <c r="AA370" s="185" t="n">
        <v>0</v>
      </c>
      <c r="AB370" s="185" t="n">
        <v>0</v>
      </c>
      <c r="AC370" s="185" t="n">
        <v>0</v>
      </c>
      <c r="AD370" s="185" t="n">
        <v>920.6</v>
      </c>
      <c r="AE370" s="185" t="n">
        <v>0</v>
      </c>
      <c r="AF370" s="185" t="n">
        <v>0</v>
      </c>
      <c r="AG370" s="185" t="n">
        <v>0</v>
      </c>
      <c r="AH370" s="185" t="n">
        <v>0</v>
      </c>
      <c r="AI370" s="185" t="n">
        <v>0</v>
      </c>
      <c r="AJ370" s="185" t="n">
        <v>0</v>
      </c>
      <c r="AK370" s="185" t="n">
        <v>0</v>
      </c>
      <c r="AL370" s="186" t="n">
        <v>0</v>
      </c>
      <c r="AM370" s="30" t="inlineStr">
        <is>
          <t>.</t>
        </is>
      </c>
      <c r="AN370" s="187">
        <f>IF(L370=0,0,Z370/L370)</f>
        <v/>
      </c>
      <c r="AO370" s="57">
        <f>IF(AN370&gt;=1,"🟢",IF(AN370&gt;=0.7,"🟡",IF(AN370&gt;=0.4,"🟠","🔴")))</f>
        <v/>
      </c>
      <c r="AP370" s="185">
        <f>L370-Z370</f>
        <v/>
      </c>
      <c r="AQ370" s="55">
        <f>RANK(Z370,$Z$4:$Z$503,0)</f>
        <v/>
      </c>
      <c r="AR370" s="39" t="inlineStr">
        <is>
          <t>.</t>
        </is>
      </c>
      <c r="AS370" s="27" t="n"/>
      <c r="AT370" s="27" t="n"/>
      <c r="AU370" s="27" t="n"/>
      <c r="AV370" s="27" t="n"/>
      <c r="AW370" s="27" t="n"/>
      <c r="AX370" s="27" t="n"/>
      <c r="AY370" s="204" t="n"/>
      <c r="AZ370" s="204" t="n"/>
      <c r="BA370" s="38" t="inlineStr">
        <is>
          <t>.</t>
        </is>
      </c>
      <c r="BB370" s="190">
        <f>SUM(BC370:BN370)</f>
        <v/>
      </c>
      <c r="BC370" s="191">
        <f>L370*0.0702730030</f>
        <v/>
      </c>
      <c r="BD370" s="191">
        <f>L370*0.0734327604</f>
        <v/>
      </c>
      <c r="BE370" s="191">
        <f>L370*0.0752022245</f>
        <v/>
      </c>
      <c r="BF370" s="191">
        <f>L370*0.0771612740</f>
        <v/>
      </c>
      <c r="BG370" s="191">
        <f>L370*0.0796890799</f>
        <v/>
      </c>
      <c r="BH370" s="191">
        <f>L370*0.0817745197</f>
        <v/>
      </c>
      <c r="BI370" s="191">
        <f>L370*0.0849342770</f>
        <v/>
      </c>
      <c r="BJ370" s="191">
        <f>L370*0.0870197169</f>
        <v/>
      </c>
      <c r="BK370" s="191">
        <f>L370*0.0889787664</f>
        <v/>
      </c>
      <c r="BL370" s="191">
        <f>L370*0.0911905966</f>
        <v/>
      </c>
      <c r="BM370" s="191">
        <f>L370*0.0935920121</f>
        <v/>
      </c>
      <c r="BN370" s="192">
        <f>L370*0.0967517695</f>
        <v/>
      </c>
      <c r="BO370" s="36" t="inlineStr">
        <is>
          <t>.</t>
        </is>
      </c>
      <c r="BP370" s="193">
        <f>SUM(BQ370:CB370)</f>
        <v/>
      </c>
      <c r="BQ370" s="191">
        <f>MAX(0,BC370-AA370)</f>
        <v/>
      </c>
      <c r="BR370" s="191">
        <f>MAX(0,BD370-AB370)</f>
        <v/>
      </c>
      <c r="BS370" s="191">
        <f>MAX(0,BE370-AC370)</f>
        <v/>
      </c>
      <c r="BT370" s="191">
        <f>MAX(0,BF370-AD370)</f>
        <v/>
      </c>
      <c r="BU370" s="191">
        <f>MAX(0,BG370-AE370)</f>
        <v/>
      </c>
      <c r="BV370" s="191">
        <f>MAX(0,BH370-AF370)</f>
        <v/>
      </c>
      <c r="BW370" s="191">
        <f>MAX(0,BI370-AG370)</f>
        <v/>
      </c>
      <c r="BX370" s="191">
        <f>MAX(0,BJ370-AH370)</f>
        <v/>
      </c>
      <c r="BY370" s="191">
        <f>MAX(0,BK370-AI370)</f>
        <v/>
      </c>
      <c r="BZ370" s="191">
        <f>MAX(0,BL370-AJ370)</f>
        <v/>
      </c>
      <c r="CA370" s="191">
        <f>MAX(0,BM370-AK370)</f>
        <v/>
      </c>
      <c r="CB370" s="192">
        <f>MAX(0,BN370-AL370)</f>
        <v/>
      </c>
    </row>
    <row r="371">
      <c r="A371" s="64" t="inlineStr">
        <is>
          <t>52088258000195</t>
        </is>
      </c>
      <c r="B371" s="57" t="inlineStr">
        <is>
          <t>HECE PRODUTOS NATURAIS LTDA - EPP</t>
        </is>
      </c>
      <c r="C371" s="57" t="inlineStr">
        <is>
          <t>VIDA LEVE</t>
        </is>
      </c>
      <c r="D371" s="61" t="inlineStr">
        <is>
          <t>DAIANE STAVICKI</t>
        </is>
      </c>
      <c r="E371" s="30" t="inlineStr">
        <is>
          <t>.</t>
        </is>
      </c>
      <c r="F371" s="63" t="n">
        <v>81</v>
      </c>
      <c r="G371" s="179" t="n">
        <v>0.08</v>
      </c>
      <c r="H371" s="57" t="inlineStr">
        <is>
          <t>🔴 VERMELHO</t>
        </is>
      </c>
      <c r="I371" s="57" t="inlineStr">
        <is>
          <t>ATIVAÇÃO</t>
        </is>
      </c>
      <c r="J371" s="61" t="inlineStr">
        <is>
          <t>Reativar inativos + Prospectar</t>
        </is>
      </c>
      <c r="K371" s="30" t="inlineStr">
        <is>
          <t>.</t>
        </is>
      </c>
      <c r="L371" s="180" t="n">
        <v>2525.57</v>
      </c>
      <c r="M371" s="181" t="n">
        <v>177.48</v>
      </c>
      <c r="N371" s="181" t="n">
        <v>185.46</v>
      </c>
      <c r="O371" s="181" t="n">
        <v>189.93</v>
      </c>
      <c r="P371" s="181" t="n">
        <v>194.88</v>
      </c>
      <c r="Q371" s="181" t="n">
        <v>201.26</v>
      </c>
      <c r="R371" s="181" t="n">
        <v>206.53</v>
      </c>
      <c r="S371" s="181" t="n">
        <v>214.51</v>
      </c>
      <c r="T371" s="181" t="n">
        <v>219.77</v>
      </c>
      <c r="U371" s="181" t="n">
        <v>224.72</v>
      </c>
      <c r="V371" s="181" t="n">
        <v>230.31</v>
      </c>
      <c r="W371" s="181" t="n">
        <v>236.37</v>
      </c>
      <c r="X371" s="182" t="n">
        <v>244.35</v>
      </c>
      <c r="Y371" s="183" t="inlineStr">
        <is>
          <t>.</t>
        </is>
      </c>
      <c r="Z371" s="184">
        <f>SUM(AA371:AL371)</f>
        <v/>
      </c>
      <c r="AA371" s="185" t="n">
        <v>0</v>
      </c>
      <c r="AB371" s="185" t="n">
        <v>0</v>
      </c>
      <c r="AC371" s="185" t="n">
        <v>0</v>
      </c>
      <c r="AD371" s="185" t="n">
        <v>0</v>
      </c>
      <c r="AE371" s="185" t="n">
        <v>0</v>
      </c>
      <c r="AF371" s="185" t="n">
        <v>0</v>
      </c>
      <c r="AG371" s="185" t="n">
        <v>0</v>
      </c>
      <c r="AH371" s="185" t="n">
        <v>0</v>
      </c>
      <c r="AI371" s="185" t="n">
        <v>0</v>
      </c>
      <c r="AJ371" s="185" t="n">
        <v>0</v>
      </c>
      <c r="AK371" s="185" t="n">
        <v>0</v>
      </c>
      <c r="AL371" s="186" t="n">
        <v>1113.09</v>
      </c>
      <c r="AM371" s="30" t="inlineStr">
        <is>
          <t>.</t>
        </is>
      </c>
      <c r="AN371" s="187">
        <f>IF(L371=0,0,Z371/L371)</f>
        <v/>
      </c>
      <c r="AO371" s="57">
        <f>IF(AN371&gt;=1,"🟢",IF(AN371&gt;=0.7,"🟡",IF(AN371&gt;=0.4,"🟠","🔴")))</f>
        <v/>
      </c>
      <c r="AP371" s="185">
        <f>L371-Z371</f>
        <v/>
      </c>
      <c r="AQ371" s="55">
        <f>RANK(Z371,$Z$4:$Z$503,0)</f>
        <v/>
      </c>
      <c r="AR371" s="39" t="inlineStr">
        <is>
          <t>.</t>
        </is>
      </c>
      <c r="AS371" s="27" t="n"/>
      <c r="AT371" s="27" t="n"/>
      <c r="AU371" s="27" t="n"/>
      <c r="AV371" s="27" t="n"/>
      <c r="AW371" s="27" t="n"/>
      <c r="AX371" s="27" t="n"/>
      <c r="AY371" s="204" t="n"/>
      <c r="AZ371" s="204" t="n"/>
      <c r="BA371" s="38" t="inlineStr">
        <is>
          <t>.</t>
        </is>
      </c>
      <c r="BB371" s="190">
        <f>SUM(BC371:BN371)</f>
        <v/>
      </c>
      <c r="BC371" s="191">
        <f>L371*0.0702730030</f>
        <v/>
      </c>
      <c r="BD371" s="191">
        <f>L371*0.0734327604</f>
        <v/>
      </c>
      <c r="BE371" s="191">
        <f>L371*0.0752022245</f>
        <v/>
      </c>
      <c r="BF371" s="191">
        <f>L371*0.0771612740</f>
        <v/>
      </c>
      <c r="BG371" s="191">
        <f>L371*0.0796890799</f>
        <v/>
      </c>
      <c r="BH371" s="191">
        <f>L371*0.0817745197</f>
        <v/>
      </c>
      <c r="BI371" s="191">
        <f>L371*0.0849342770</f>
        <v/>
      </c>
      <c r="BJ371" s="191">
        <f>L371*0.0870197169</f>
        <v/>
      </c>
      <c r="BK371" s="191">
        <f>L371*0.0889787664</f>
        <v/>
      </c>
      <c r="BL371" s="191">
        <f>L371*0.0911905966</f>
        <v/>
      </c>
      <c r="BM371" s="191">
        <f>L371*0.0935920121</f>
        <v/>
      </c>
      <c r="BN371" s="192">
        <f>L371*0.0967517695</f>
        <v/>
      </c>
      <c r="BO371" s="36" t="inlineStr">
        <is>
          <t>.</t>
        </is>
      </c>
      <c r="BP371" s="193">
        <f>SUM(BQ371:CB371)</f>
        <v/>
      </c>
      <c r="BQ371" s="191">
        <f>MAX(0,BC371-AA371)</f>
        <v/>
      </c>
      <c r="BR371" s="191">
        <f>MAX(0,BD371-AB371)</f>
        <v/>
      </c>
      <c r="BS371" s="191">
        <f>MAX(0,BE371-AC371)</f>
        <v/>
      </c>
      <c r="BT371" s="191">
        <f>MAX(0,BF371-AD371)</f>
        <v/>
      </c>
      <c r="BU371" s="191">
        <f>MAX(0,BG371-AE371)</f>
        <v/>
      </c>
      <c r="BV371" s="191">
        <f>MAX(0,BH371-AF371)</f>
        <v/>
      </c>
      <c r="BW371" s="191">
        <f>MAX(0,BI371-AG371)</f>
        <v/>
      </c>
      <c r="BX371" s="191">
        <f>MAX(0,BJ371-AH371)</f>
        <v/>
      </c>
      <c r="BY371" s="191">
        <f>MAX(0,BK371-AI371)</f>
        <v/>
      </c>
      <c r="BZ371" s="191">
        <f>MAX(0,BL371-AJ371)</f>
        <v/>
      </c>
      <c r="CA371" s="191">
        <f>MAX(0,BM371-AK371)</f>
        <v/>
      </c>
      <c r="CB371" s="192">
        <f>MAX(0,BN371-AL371)</f>
        <v/>
      </c>
    </row>
    <row r="372">
      <c r="A372" s="64" t="inlineStr">
        <is>
          <t>61668179000144</t>
        </is>
      </c>
      <c r="B372" s="57" t="inlineStr">
        <is>
          <t>PORTONUTRY ALIMENTACAO SAUDAVEL LTDA - M</t>
        </is>
      </c>
      <c r="C372" s="57" t="inlineStr">
        <is>
          <t>FITLAND</t>
        </is>
      </c>
      <c r="D372" s="61" t="inlineStr">
        <is>
          <t>JULIO GADRET</t>
        </is>
      </c>
      <c r="E372" s="30" t="inlineStr">
        <is>
          <t>.</t>
        </is>
      </c>
      <c r="F372" s="63" t="n">
        <v>89</v>
      </c>
      <c r="G372" s="179" t="n">
        <v>0.298</v>
      </c>
      <c r="H372" s="57" t="inlineStr">
        <is>
          <t>🔴 VERMELHO</t>
        </is>
      </c>
      <c r="I372" s="57" t="inlineStr">
        <is>
          <t>POSITIVAÇÃO</t>
        </is>
      </c>
      <c r="J372" s="61" t="inlineStr">
        <is>
          <t>Aumentar frequência + Expandir base</t>
        </is>
      </c>
      <c r="K372" s="30" t="inlineStr">
        <is>
          <t>.</t>
        </is>
      </c>
      <c r="L372" s="180" t="n">
        <v>2525.45</v>
      </c>
      <c r="M372" s="181" t="n">
        <v>177.47</v>
      </c>
      <c r="N372" s="181" t="n">
        <v>185.45</v>
      </c>
      <c r="O372" s="181" t="n">
        <v>189.92</v>
      </c>
      <c r="P372" s="181" t="n">
        <v>194.87</v>
      </c>
      <c r="Q372" s="181" t="n">
        <v>201.25</v>
      </c>
      <c r="R372" s="181" t="n">
        <v>206.52</v>
      </c>
      <c r="S372" s="181" t="n">
        <v>214.5</v>
      </c>
      <c r="T372" s="181" t="n">
        <v>219.76</v>
      </c>
      <c r="U372" s="181" t="n">
        <v>224.71</v>
      </c>
      <c r="V372" s="181" t="n">
        <v>230.3</v>
      </c>
      <c r="W372" s="181" t="n">
        <v>236.36</v>
      </c>
      <c r="X372" s="182" t="n">
        <v>244.34</v>
      </c>
      <c r="Y372" s="183" t="inlineStr">
        <is>
          <t>.</t>
        </is>
      </c>
      <c r="Z372" s="184">
        <f>SUM(AA372:AL372)</f>
        <v/>
      </c>
      <c r="AA372" s="185" t="n">
        <v>0</v>
      </c>
      <c r="AB372" s="185" t="n">
        <v>0</v>
      </c>
      <c r="AC372" s="185" t="n">
        <v>0</v>
      </c>
      <c r="AD372" s="185" t="n">
        <v>0</v>
      </c>
      <c r="AE372" s="185" t="n">
        <v>0</v>
      </c>
      <c r="AF372" s="185" t="n">
        <v>0</v>
      </c>
      <c r="AG372" s="185" t="n">
        <v>0</v>
      </c>
      <c r="AH372" s="185" t="n">
        <v>1064.15</v>
      </c>
      <c r="AI372" s="185" t="n">
        <v>0</v>
      </c>
      <c r="AJ372" s="185" t="n">
        <v>0</v>
      </c>
      <c r="AK372" s="185" t="n">
        <v>0</v>
      </c>
      <c r="AL372" s="186" t="n">
        <v>0</v>
      </c>
      <c r="AM372" s="30" t="inlineStr">
        <is>
          <t>.</t>
        </is>
      </c>
      <c r="AN372" s="187">
        <f>IF(L372=0,0,Z372/L372)</f>
        <v/>
      </c>
      <c r="AO372" s="57">
        <f>IF(AN372&gt;=1,"🟢",IF(AN372&gt;=0.7,"🟡",IF(AN372&gt;=0.4,"🟠","🔴")))</f>
        <v/>
      </c>
      <c r="AP372" s="185">
        <f>L372-Z372</f>
        <v/>
      </c>
      <c r="AQ372" s="55">
        <f>RANK(Z372,$Z$4:$Z$503,0)</f>
        <v/>
      </c>
      <c r="AR372" s="39" t="inlineStr">
        <is>
          <t>.</t>
        </is>
      </c>
      <c r="AS372" s="27" t="n"/>
      <c r="AT372" s="27" t="n"/>
      <c r="AU372" s="27" t="n"/>
      <c r="AV372" s="27" t="n"/>
      <c r="AW372" s="27" t="n"/>
      <c r="AX372" s="27" t="n"/>
      <c r="AY372" s="204" t="n"/>
      <c r="AZ372" s="204" t="n"/>
      <c r="BA372" s="38" t="inlineStr">
        <is>
          <t>.</t>
        </is>
      </c>
      <c r="BB372" s="190">
        <f>SUM(BC372:BN372)</f>
        <v/>
      </c>
      <c r="BC372" s="191">
        <f>L372*0.0702730030</f>
        <v/>
      </c>
      <c r="BD372" s="191">
        <f>L372*0.0734327604</f>
        <v/>
      </c>
      <c r="BE372" s="191">
        <f>L372*0.0752022245</f>
        <v/>
      </c>
      <c r="BF372" s="191">
        <f>L372*0.0771612740</f>
        <v/>
      </c>
      <c r="BG372" s="191">
        <f>L372*0.0796890799</f>
        <v/>
      </c>
      <c r="BH372" s="191">
        <f>L372*0.0817745197</f>
        <v/>
      </c>
      <c r="BI372" s="191">
        <f>L372*0.0849342770</f>
        <v/>
      </c>
      <c r="BJ372" s="191">
        <f>L372*0.0870197169</f>
        <v/>
      </c>
      <c r="BK372" s="191">
        <f>L372*0.0889787664</f>
        <v/>
      </c>
      <c r="BL372" s="191">
        <f>L372*0.0911905966</f>
        <v/>
      </c>
      <c r="BM372" s="191">
        <f>L372*0.0935920121</f>
        <v/>
      </c>
      <c r="BN372" s="192">
        <f>L372*0.0967517695</f>
        <v/>
      </c>
      <c r="BO372" s="36" t="inlineStr">
        <is>
          <t>.</t>
        </is>
      </c>
      <c r="BP372" s="193">
        <f>SUM(BQ372:CB372)</f>
        <v/>
      </c>
      <c r="BQ372" s="191">
        <f>MAX(0,BC372-AA372)</f>
        <v/>
      </c>
      <c r="BR372" s="191">
        <f>MAX(0,BD372-AB372)</f>
        <v/>
      </c>
      <c r="BS372" s="191">
        <f>MAX(0,BE372-AC372)</f>
        <v/>
      </c>
      <c r="BT372" s="191">
        <f>MAX(0,BF372-AD372)</f>
        <v/>
      </c>
      <c r="BU372" s="191">
        <f>MAX(0,BG372-AE372)</f>
        <v/>
      </c>
      <c r="BV372" s="191">
        <f>MAX(0,BH372-AF372)</f>
        <v/>
      </c>
      <c r="BW372" s="191">
        <f>MAX(0,BI372-AG372)</f>
        <v/>
      </c>
      <c r="BX372" s="191">
        <f>MAX(0,BJ372-AH372)</f>
        <v/>
      </c>
      <c r="BY372" s="191">
        <f>MAX(0,BK372-AI372)</f>
        <v/>
      </c>
      <c r="BZ372" s="191">
        <f>MAX(0,BL372-AJ372)</f>
        <v/>
      </c>
      <c r="CA372" s="191">
        <f>MAX(0,BM372-AK372)</f>
        <v/>
      </c>
      <c r="CB372" s="192">
        <f>MAX(0,BN372-AL372)</f>
        <v/>
      </c>
    </row>
    <row r="373">
      <c r="A373" s="64" t="inlineStr">
        <is>
          <t>43603248000150</t>
        </is>
      </c>
      <c r="B373" s="57" t="inlineStr">
        <is>
          <t>NML PRODUTOS NATURAIS LTDA - ME</t>
        </is>
      </c>
      <c r="C373" s="57" t="inlineStr">
        <is>
          <t>CIA DA SAUDE</t>
        </is>
      </c>
      <c r="D373" s="61" t="inlineStr">
        <is>
          <t>JULIO GADRET</t>
        </is>
      </c>
      <c r="E373" s="30" t="inlineStr">
        <is>
          <t>.</t>
        </is>
      </c>
      <c r="F373" s="63" t="n">
        <v>163</v>
      </c>
      <c r="G373" s="179" t="n">
        <v>0.026</v>
      </c>
      <c r="H373" s="57" t="inlineStr">
        <is>
          <t>🔴 VERMELHO</t>
        </is>
      </c>
      <c r="I373" s="57" t="inlineStr">
        <is>
          <t>ATIVAÇÃO</t>
        </is>
      </c>
      <c r="J373" s="61" t="inlineStr">
        <is>
          <t>Reativar inativos + Prospectar</t>
        </is>
      </c>
      <c r="K373" s="30" t="inlineStr">
        <is>
          <t>.</t>
        </is>
      </c>
      <c r="L373" s="180" t="n">
        <v>2523.43</v>
      </c>
      <c r="M373" s="181" t="n">
        <v>177.33</v>
      </c>
      <c r="N373" s="181" t="n">
        <v>185.3</v>
      </c>
      <c r="O373" s="181" t="n">
        <v>189.77</v>
      </c>
      <c r="P373" s="181" t="n">
        <v>194.71</v>
      </c>
      <c r="Q373" s="181" t="n">
        <v>201.09</v>
      </c>
      <c r="R373" s="181" t="n">
        <v>206.35</v>
      </c>
      <c r="S373" s="181" t="n">
        <v>214.33</v>
      </c>
      <c r="T373" s="181" t="n">
        <v>219.59</v>
      </c>
      <c r="U373" s="181" t="n">
        <v>224.53</v>
      </c>
      <c r="V373" s="181" t="n">
        <v>230.11</v>
      </c>
      <c r="W373" s="181" t="n">
        <v>236.17</v>
      </c>
      <c r="X373" s="182" t="n">
        <v>244.15</v>
      </c>
      <c r="Y373" s="183" t="inlineStr">
        <is>
          <t>.</t>
        </is>
      </c>
      <c r="Z373" s="184">
        <f>SUM(AA373:AL373)</f>
        <v/>
      </c>
      <c r="AA373" s="185" t="n">
        <v>0</v>
      </c>
      <c r="AB373" s="185" t="n">
        <v>0</v>
      </c>
      <c r="AC373" s="185" t="n">
        <v>0</v>
      </c>
      <c r="AD373" s="185" t="n">
        <v>0</v>
      </c>
      <c r="AE373" s="185" t="n">
        <v>0</v>
      </c>
      <c r="AF373" s="185" t="n">
        <v>0</v>
      </c>
      <c r="AG373" s="185" t="n">
        <v>0</v>
      </c>
      <c r="AH373" s="185" t="n">
        <v>0</v>
      </c>
      <c r="AI373" s="185" t="n">
        <v>0</v>
      </c>
      <c r="AJ373" s="185" t="n">
        <v>0</v>
      </c>
      <c r="AK373" s="185" t="n">
        <v>1346.05</v>
      </c>
      <c r="AL373" s="186" t="n">
        <v>0</v>
      </c>
      <c r="AM373" s="30" t="inlineStr">
        <is>
          <t>.</t>
        </is>
      </c>
      <c r="AN373" s="187">
        <f>IF(L373=0,0,Z373/L373)</f>
        <v/>
      </c>
      <c r="AO373" s="57">
        <f>IF(AN373&gt;=1,"🟢",IF(AN373&gt;=0.7,"🟡",IF(AN373&gt;=0.4,"🟠","🔴")))</f>
        <v/>
      </c>
      <c r="AP373" s="185">
        <f>L373-Z373</f>
        <v/>
      </c>
      <c r="AQ373" s="55">
        <f>RANK(Z373,$Z$4:$Z$503,0)</f>
        <v/>
      </c>
      <c r="AR373" s="39" t="inlineStr">
        <is>
          <t>.</t>
        </is>
      </c>
      <c r="AS373" s="27" t="n"/>
      <c r="AT373" s="27" t="n"/>
      <c r="AU373" s="27" t="n"/>
      <c r="AV373" s="27" t="n"/>
      <c r="AW373" s="27" t="n"/>
      <c r="AX373" s="27" t="n"/>
      <c r="AY373" s="204" t="n"/>
      <c r="AZ373" s="204" t="n"/>
      <c r="BA373" s="38" t="inlineStr">
        <is>
          <t>.</t>
        </is>
      </c>
      <c r="BB373" s="190">
        <f>SUM(BC373:BN373)</f>
        <v/>
      </c>
      <c r="BC373" s="191">
        <f>L373*0.0702730030</f>
        <v/>
      </c>
      <c r="BD373" s="191">
        <f>L373*0.0734327604</f>
        <v/>
      </c>
      <c r="BE373" s="191">
        <f>L373*0.0752022245</f>
        <v/>
      </c>
      <c r="BF373" s="191">
        <f>L373*0.0771612740</f>
        <v/>
      </c>
      <c r="BG373" s="191">
        <f>L373*0.0796890799</f>
        <v/>
      </c>
      <c r="BH373" s="191">
        <f>L373*0.0817745197</f>
        <v/>
      </c>
      <c r="BI373" s="191">
        <f>L373*0.0849342770</f>
        <v/>
      </c>
      <c r="BJ373" s="191">
        <f>L373*0.0870197169</f>
        <v/>
      </c>
      <c r="BK373" s="191">
        <f>L373*0.0889787664</f>
        <v/>
      </c>
      <c r="BL373" s="191">
        <f>L373*0.0911905966</f>
        <v/>
      </c>
      <c r="BM373" s="191">
        <f>L373*0.0935920121</f>
        <v/>
      </c>
      <c r="BN373" s="192">
        <f>L373*0.0967517695</f>
        <v/>
      </c>
      <c r="BO373" s="36" t="inlineStr">
        <is>
          <t>.</t>
        </is>
      </c>
      <c r="BP373" s="193">
        <f>SUM(BQ373:CB373)</f>
        <v/>
      </c>
      <c r="BQ373" s="191">
        <f>MAX(0,BC373-AA373)</f>
        <v/>
      </c>
      <c r="BR373" s="191">
        <f>MAX(0,BD373-AB373)</f>
        <v/>
      </c>
      <c r="BS373" s="191">
        <f>MAX(0,BE373-AC373)</f>
        <v/>
      </c>
      <c r="BT373" s="191">
        <f>MAX(0,BF373-AD373)</f>
        <v/>
      </c>
      <c r="BU373" s="191">
        <f>MAX(0,BG373-AE373)</f>
        <v/>
      </c>
      <c r="BV373" s="191">
        <f>MAX(0,BH373-AF373)</f>
        <v/>
      </c>
      <c r="BW373" s="191">
        <f>MAX(0,BI373-AG373)</f>
        <v/>
      </c>
      <c r="BX373" s="191">
        <f>MAX(0,BJ373-AH373)</f>
        <v/>
      </c>
      <c r="BY373" s="191">
        <f>MAX(0,BK373-AI373)</f>
        <v/>
      </c>
      <c r="BZ373" s="191">
        <f>MAX(0,BL373-AJ373)</f>
        <v/>
      </c>
      <c r="CA373" s="191">
        <f>MAX(0,BM373-AK373)</f>
        <v/>
      </c>
      <c r="CB373" s="192">
        <f>MAX(0,BN373-AL373)</f>
        <v/>
      </c>
    </row>
    <row r="374">
      <c r="A374" s="64" t="inlineStr">
        <is>
          <t>42415997000190</t>
        </is>
      </c>
      <c r="B374" s="57" t="inlineStr">
        <is>
          <t>FERREIRA &amp; FLORIO COMERCIO DE PRODUTOS A</t>
        </is>
      </c>
      <c r="C374" s="57" t="inlineStr">
        <is>
          <t>DIVINA TERRA</t>
        </is>
      </c>
      <c r="D374" s="61" t="inlineStr">
        <is>
          <t>DAIANE STAVICKI</t>
        </is>
      </c>
      <c r="E374" s="30" t="inlineStr">
        <is>
          <t>.</t>
        </is>
      </c>
      <c r="F374" s="63" t="n">
        <v>85</v>
      </c>
      <c r="G374" s="179" t="n">
        <v>0.1</v>
      </c>
      <c r="H374" s="57" t="inlineStr">
        <is>
          <t>🔴 VERMELHO</t>
        </is>
      </c>
      <c r="I374" s="57" t="inlineStr">
        <is>
          <t>POSITIVAÇÃO</t>
        </is>
      </c>
      <c r="J374" s="61" t="inlineStr">
        <is>
          <t>Aumentar frequência + Expandir base</t>
        </is>
      </c>
      <c r="K374" s="30" t="inlineStr">
        <is>
          <t>.</t>
        </is>
      </c>
      <c r="L374" s="180" t="n">
        <v>2504.52</v>
      </c>
      <c r="M374" s="181" t="n">
        <v>176</v>
      </c>
      <c r="N374" s="181" t="n">
        <v>183.91</v>
      </c>
      <c r="O374" s="181" t="n">
        <v>188.35</v>
      </c>
      <c r="P374" s="181" t="n">
        <v>193.25</v>
      </c>
      <c r="Q374" s="181" t="n">
        <v>199.58</v>
      </c>
      <c r="R374" s="181" t="n">
        <v>204.81</v>
      </c>
      <c r="S374" s="181" t="n">
        <v>212.72</v>
      </c>
      <c r="T374" s="181" t="n">
        <v>217.94</v>
      </c>
      <c r="U374" s="181" t="n">
        <v>222.85</v>
      </c>
      <c r="V374" s="181" t="n">
        <v>228.39</v>
      </c>
      <c r="W374" s="181" t="n">
        <v>234.4</v>
      </c>
      <c r="X374" s="182" t="n">
        <v>242.32</v>
      </c>
      <c r="Y374" s="183" t="inlineStr">
        <is>
          <t>.</t>
        </is>
      </c>
      <c r="Z374" s="184">
        <f>SUM(AA374:AL374)</f>
        <v/>
      </c>
      <c r="AA374" s="185" t="n">
        <v>0</v>
      </c>
      <c r="AB374" s="185" t="n">
        <v>0</v>
      </c>
      <c r="AC374" s="185" t="n">
        <v>0</v>
      </c>
      <c r="AD374" s="185" t="n">
        <v>0</v>
      </c>
      <c r="AE374" s="185" t="n">
        <v>0</v>
      </c>
      <c r="AF374" s="185" t="n">
        <v>0</v>
      </c>
      <c r="AG374" s="185" t="n">
        <v>0</v>
      </c>
      <c r="AH374" s="185" t="n">
        <v>1065.81</v>
      </c>
      <c r="AI374" s="185" t="n">
        <v>0</v>
      </c>
      <c r="AJ374" s="185" t="n">
        <v>0</v>
      </c>
      <c r="AK374" s="185" t="n">
        <v>0</v>
      </c>
      <c r="AL374" s="186" t="n">
        <v>0</v>
      </c>
      <c r="AM374" s="30" t="inlineStr">
        <is>
          <t>.</t>
        </is>
      </c>
      <c r="AN374" s="187">
        <f>IF(L374=0,0,Z374/L374)</f>
        <v/>
      </c>
      <c r="AO374" s="57">
        <f>IF(AN374&gt;=1,"🟢",IF(AN374&gt;=0.7,"🟡",IF(AN374&gt;=0.4,"🟠","🔴")))</f>
        <v/>
      </c>
      <c r="AP374" s="185">
        <f>L374-Z374</f>
        <v/>
      </c>
      <c r="AQ374" s="55">
        <f>RANK(Z374,$Z$4:$Z$503,0)</f>
        <v/>
      </c>
      <c r="AR374" s="39" t="inlineStr">
        <is>
          <t>.</t>
        </is>
      </c>
      <c r="AS374" s="27" t="n"/>
      <c r="AT374" s="27" t="n"/>
      <c r="AU374" s="27" t="n"/>
      <c r="AV374" s="27" t="n"/>
      <c r="AW374" s="27" t="n"/>
      <c r="AX374" s="27" t="n"/>
      <c r="AY374" s="204" t="n"/>
      <c r="AZ374" s="204" t="n"/>
      <c r="BA374" s="38" t="inlineStr">
        <is>
          <t>.</t>
        </is>
      </c>
      <c r="BB374" s="190">
        <f>SUM(BC374:BN374)</f>
        <v/>
      </c>
      <c r="BC374" s="191">
        <f>L374*0.0702730030</f>
        <v/>
      </c>
      <c r="BD374" s="191">
        <f>L374*0.0734327604</f>
        <v/>
      </c>
      <c r="BE374" s="191">
        <f>L374*0.0752022245</f>
        <v/>
      </c>
      <c r="BF374" s="191">
        <f>L374*0.0771612740</f>
        <v/>
      </c>
      <c r="BG374" s="191">
        <f>L374*0.0796890799</f>
        <v/>
      </c>
      <c r="BH374" s="191">
        <f>L374*0.0817745197</f>
        <v/>
      </c>
      <c r="BI374" s="191">
        <f>L374*0.0849342770</f>
        <v/>
      </c>
      <c r="BJ374" s="191">
        <f>L374*0.0870197169</f>
        <v/>
      </c>
      <c r="BK374" s="191">
        <f>L374*0.0889787664</f>
        <v/>
      </c>
      <c r="BL374" s="191">
        <f>L374*0.0911905966</f>
        <v/>
      </c>
      <c r="BM374" s="191">
        <f>L374*0.0935920121</f>
        <v/>
      </c>
      <c r="BN374" s="192">
        <f>L374*0.0967517695</f>
        <v/>
      </c>
      <c r="BO374" s="36" t="inlineStr">
        <is>
          <t>.</t>
        </is>
      </c>
      <c r="BP374" s="193">
        <f>SUM(BQ374:CB374)</f>
        <v/>
      </c>
      <c r="BQ374" s="191">
        <f>MAX(0,BC374-AA374)</f>
        <v/>
      </c>
      <c r="BR374" s="191">
        <f>MAX(0,BD374-AB374)</f>
        <v/>
      </c>
      <c r="BS374" s="191">
        <f>MAX(0,BE374-AC374)</f>
        <v/>
      </c>
      <c r="BT374" s="191">
        <f>MAX(0,BF374-AD374)</f>
        <v/>
      </c>
      <c r="BU374" s="191">
        <f>MAX(0,BG374-AE374)</f>
        <v/>
      </c>
      <c r="BV374" s="191">
        <f>MAX(0,BH374-AF374)</f>
        <v/>
      </c>
      <c r="BW374" s="191">
        <f>MAX(0,BI374-AG374)</f>
        <v/>
      </c>
      <c r="BX374" s="191">
        <f>MAX(0,BJ374-AH374)</f>
        <v/>
      </c>
      <c r="BY374" s="191">
        <f>MAX(0,BK374-AI374)</f>
        <v/>
      </c>
      <c r="BZ374" s="191">
        <f>MAX(0,BL374-AJ374)</f>
        <v/>
      </c>
      <c r="CA374" s="191">
        <f>MAX(0,BM374-AK374)</f>
        <v/>
      </c>
      <c r="CB374" s="192">
        <f>MAX(0,BN374-AL374)</f>
        <v/>
      </c>
    </row>
    <row r="375">
      <c r="A375" s="64" t="inlineStr">
        <is>
          <t>27376725000135</t>
        </is>
      </c>
      <c r="B375" s="57" t="inlineStr">
        <is>
          <t>NUTRIR PRODUTOS NATURAIS LTDA - ME</t>
        </is>
      </c>
      <c r="C375" s="57" t="inlineStr">
        <is>
          <t>SEM GRUPO</t>
        </is>
      </c>
      <c r="D375" s="61" t="inlineStr">
        <is>
          <t>LARISSA PADILHA</t>
        </is>
      </c>
      <c r="E375" s="30" t="inlineStr">
        <is>
          <t>.</t>
        </is>
      </c>
      <c r="F375" s="63" t="inlineStr"/>
      <c r="G375" s="179" t="inlineStr"/>
      <c r="H375" s="57" t="inlineStr"/>
      <c r="I375" s="57" t="inlineStr"/>
      <c r="J375" s="61" t="inlineStr"/>
      <c r="K375" s="30" t="inlineStr">
        <is>
          <t>.</t>
        </is>
      </c>
      <c r="L375" s="180" t="n">
        <v>2502.05</v>
      </c>
      <c r="M375" s="181" t="n">
        <v>175.83</v>
      </c>
      <c r="N375" s="181" t="n">
        <v>183.73</v>
      </c>
      <c r="O375" s="181" t="n">
        <v>188.16</v>
      </c>
      <c r="P375" s="181" t="n">
        <v>193.06</v>
      </c>
      <c r="Q375" s="181" t="n">
        <v>199.39</v>
      </c>
      <c r="R375" s="181" t="n">
        <v>204.6</v>
      </c>
      <c r="S375" s="181" t="n">
        <v>212.51</v>
      </c>
      <c r="T375" s="181" t="n">
        <v>217.73</v>
      </c>
      <c r="U375" s="181" t="n">
        <v>222.63</v>
      </c>
      <c r="V375" s="181" t="n">
        <v>228.16</v>
      </c>
      <c r="W375" s="181" t="n">
        <v>234.17</v>
      </c>
      <c r="X375" s="182" t="n">
        <v>242.08</v>
      </c>
      <c r="Y375" s="183" t="inlineStr">
        <is>
          <t>.</t>
        </is>
      </c>
      <c r="Z375" s="184">
        <f>SUM(AA375:AL375)</f>
        <v/>
      </c>
      <c r="AA375" s="185" t="n">
        <v>0</v>
      </c>
      <c r="AB375" s="185" t="n">
        <v>0</v>
      </c>
      <c r="AC375" s="185" t="n">
        <v>984.26</v>
      </c>
      <c r="AD375" s="185" t="n">
        <v>0</v>
      </c>
      <c r="AE375" s="185" t="n">
        <v>0</v>
      </c>
      <c r="AF375" s="185" t="n">
        <v>0</v>
      </c>
      <c r="AG375" s="185" t="n">
        <v>0</v>
      </c>
      <c r="AH375" s="185" t="n">
        <v>0</v>
      </c>
      <c r="AI375" s="185" t="n">
        <v>0</v>
      </c>
      <c r="AJ375" s="185" t="n">
        <v>0</v>
      </c>
      <c r="AK375" s="185" t="n">
        <v>0</v>
      </c>
      <c r="AL375" s="186" t="n">
        <v>0</v>
      </c>
      <c r="AM375" s="30" t="inlineStr">
        <is>
          <t>.</t>
        </is>
      </c>
      <c r="AN375" s="187">
        <f>IF(L375=0,0,Z375/L375)</f>
        <v/>
      </c>
      <c r="AO375" s="57">
        <f>IF(AN375&gt;=1,"🟢",IF(AN375&gt;=0.7,"🟡",IF(AN375&gt;=0.4,"🟠","🔴")))</f>
        <v/>
      </c>
      <c r="AP375" s="185">
        <f>L375-Z375</f>
        <v/>
      </c>
      <c r="AQ375" s="55">
        <f>RANK(Z375,$Z$4:$Z$503,0)</f>
        <v/>
      </c>
      <c r="AR375" s="39" t="inlineStr">
        <is>
          <t>.</t>
        </is>
      </c>
      <c r="AS375" s="27" t="n"/>
      <c r="AT375" s="27" t="n"/>
      <c r="AU375" s="27" t="n"/>
      <c r="AV375" s="27" t="n"/>
      <c r="AW375" s="27" t="n"/>
      <c r="AX375" s="27" t="n"/>
      <c r="AY375" s="204" t="n"/>
      <c r="AZ375" s="204" t="n"/>
      <c r="BA375" s="38" t="inlineStr">
        <is>
          <t>.</t>
        </is>
      </c>
      <c r="BB375" s="190">
        <f>SUM(BC375:BN375)</f>
        <v/>
      </c>
      <c r="BC375" s="191">
        <f>L375*0.0702730030</f>
        <v/>
      </c>
      <c r="BD375" s="191">
        <f>L375*0.0734327604</f>
        <v/>
      </c>
      <c r="BE375" s="191">
        <f>L375*0.0752022245</f>
        <v/>
      </c>
      <c r="BF375" s="191">
        <f>L375*0.0771612740</f>
        <v/>
      </c>
      <c r="BG375" s="191">
        <f>L375*0.0796890799</f>
        <v/>
      </c>
      <c r="BH375" s="191">
        <f>L375*0.0817745197</f>
        <v/>
      </c>
      <c r="BI375" s="191">
        <f>L375*0.0849342770</f>
        <v/>
      </c>
      <c r="BJ375" s="191">
        <f>L375*0.0870197169</f>
        <v/>
      </c>
      <c r="BK375" s="191">
        <f>L375*0.0889787664</f>
        <v/>
      </c>
      <c r="BL375" s="191">
        <f>L375*0.0911905966</f>
        <v/>
      </c>
      <c r="BM375" s="191">
        <f>L375*0.0935920121</f>
        <v/>
      </c>
      <c r="BN375" s="192">
        <f>L375*0.0967517695</f>
        <v/>
      </c>
      <c r="BO375" s="36" t="inlineStr">
        <is>
          <t>.</t>
        </is>
      </c>
      <c r="BP375" s="193">
        <f>SUM(BQ375:CB375)</f>
        <v/>
      </c>
      <c r="BQ375" s="191">
        <f>MAX(0,BC375-AA375)</f>
        <v/>
      </c>
      <c r="BR375" s="191">
        <f>MAX(0,BD375-AB375)</f>
        <v/>
      </c>
      <c r="BS375" s="191">
        <f>MAX(0,BE375-AC375)</f>
        <v/>
      </c>
      <c r="BT375" s="191">
        <f>MAX(0,BF375-AD375)</f>
        <v/>
      </c>
      <c r="BU375" s="191">
        <f>MAX(0,BG375-AE375)</f>
        <v/>
      </c>
      <c r="BV375" s="191">
        <f>MAX(0,BH375-AF375)</f>
        <v/>
      </c>
      <c r="BW375" s="191">
        <f>MAX(0,BI375-AG375)</f>
        <v/>
      </c>
      <c r="BX375" s="191">
        <f>MAX(0,BJ375-AH375)</f>
        <v/>
      </c>
      <c r="BY375" s="191">
        <f>MAX(0,BK375-AI375)</f>
        <v/>
      </c>
      <c r="BZ375" s="191">
        <f>MAX(0,BL375-AJ375)</f>
        <v/>
      </c>
      <c r="CA375" s="191">
        <f>MAX(0,BM375-AK375)</f>
        <v/>
      </c>
      <c r="CB375" s="192">
        <f>MAX(0,BN375-AL375)</f>
        <v/>
      </c>
    </row>
    <row r="376">
      <c r="A376" s="64" t="inlineStr">
        <is>
          <t>62373627000145</t>
        </is>
      </c>
      <c r="B376" s="57" t="inlineStr">
        <is>
          <t>62.373.627 STELLA SABRINA LEONEL - ME</t>
        </is>
      </c>
      <c r="C376" s="57" t="inlineStr">
        <is>
          <t>SEM GRUPO</t>
        </is>
      </c>
      <c r="D376" s="61" t="inlineStr">
        <is>
          <t>HEMANUELE DITZEL (MANU)</t>
        </is>
      </c>
      <c r="E376" s="30" t="inlineStr">
        <is>
          <t>.</t>
        </is>
      </c>
      <c r="F376" s="63" t="inlineStr"/>
      <c r="G376" s="179" t="inlineStr"/>
      <c r="H376" s="57" t="inlineStr"/>
      <c r="I376" s="57" t="inlineStr"/>
      <c r="J376" s="61" t="inlineStr"/>
      <c r="K376" s="30" t="inlineStr">
        <is>
          <t>.</t>
        </is>
      </c>
      <c r="L376" s="180" t="n">
        <v>2498.99</v>
      </c>
      <c r="M376" s="181" t="n">
        <v>175.61</v>
      </c>
      <c r="N376" s="181" t="n">
        <v>183.51</v>
      </c>
      <c r="O376" s="181" t="n">
        <v>187.93</v>
      </c>
      <c r="P376" s="181" t="n">
        <v>192.83</v>
      </c>
      <c r="Q376" s="181" t="n">
        <v>199.14</v>
      </c>
      <c r="R376" s="181" t="n">
        <v>204.35</v>
      </c>
      <c r="S376" s="181" t="n">
        <v>212.25</v>
      </c>
      <c r="T376" s="181" t="n">
        <v>217.46</v>
      </c>
      <c r="U376" s="181" t="n">
        <v>222.36</v>
      </c>
      <c r="V376" s="181" t="n">
        <v>227.88</v>
      </c>
      <c r="W376" s="181" t="n">
        <v>233.89</v>
      </c>
      <c r="X376" s="182" t="n">
        <v>241.78</v>
      </c>
      <c r="Y376" s="183" t="inlineStr">
        <is>
          <t>.</t>
        </is>
      </c>
      <c r="Z376" s="184">
        <f>SUM(AA376:AL376)</f>
        <v/>
      </c>
      <c r="AA376" s="185" t="n">
        <v>0</v>
      </c>
      <c r="AB376" s="185" t="n">
        <v>0</v>
      </c>
      <c r="AC376" s="185" t="n">
        <v>0</v>
      </c>
      <c r="AD376" s="185" t="n">
        <v>0</v>
      </c>
      <c r="AE376" s="185" t="n">
        <v>0</v>
      </c>
      <c r="AF376" s="185" t="n">
        <v>0</v>
      </c>
      <c r="AG376" s="185" t="n">
        <v>0</v>
      </c>
      <c r="AH376" s="185" t="n">
        <v>0</v>
      </c>
      <c r="AI376" s="185" t="n">
        <v>0</v>
      </c>
      <c r="AJ376" s="185" t="n">
        <v>0</v>
      </c>
      <c r="AK376" s="185" t="n">
        <v>0</v>
      </c>
      <c r="AL376" s="186" t="n">
        <v>1101.38</v>
      </c>
      <c r="AM376" s="30" t="inlineStr">
        <is>
          <t>.</t>
        </is>
      </c>
      <c r="AN376" s="187">
        <f>IF(L376=0,0,Z376/L376)</f>
        <v/>
      </c>
      <c r="AO376" s="57">
        <f>IF(AN376&gt;=1,"🟢",IF(AN376&gt;=0.7,"🟡",IF(AN376&gt;=0.4,"🟠","🔴")))</f>
        <v/>
      </c>
      <c r="AP376" s="185">
        <f>L376-Z376</f>
        <v/>
      </c>
      <c r="AQ376" s="55">
        <f>RANK(Z376,$Z$4:$Z$503,0)</f>
        <v/>
      </c>
      <c r="AR376" s="39" t="inlineStr">
        <is>
          <t>.</t>
        </is>
      </c>
      <c r="AS376" s="27" t="n"/>
      <c r="AT376" s="27" t="n"/>
      <c r="AU376" s="27" t="n"/>
      <c r="AV376" s="27" t="n"/>
      <c r="AW376" s="27" t="n"/>
      <c r="AX376" s="27" t="n"/>
      <c r="AY376" s="204" t="n"/>
      <c r="AZ376" s="204" t="n"/>
      <c r="BA376" s="38" t="inlineStr">
        <is>
          <t>.</t>
        </is>
      </c>
      <c r="BB376" s="190">
        <f>SUM(BC376:BN376)</f>
        <v/>
      </c>
      <c r="BC376" s="191">
        <f>L376*0.0702730030</f>
        <v/>
      </c>
      <c r="BD376" s="191">
        <f>L376*0.0734327604</f>
        <v/>
      </c>
      <c r="BE376" s="191">
        <f>L376*0.0752022245</f>
        <v/>
      </c>
      <c r="BF376" s="191">
        <f>L376*0.0771612740</f>
        <v/>
      </c>
      <c r="BG376" s="191">
        <f>L376*0.0796890799</f>
        <v/>
      </c>
      <c r="BH376" s="191">
        <f>L376*0.0817745197</f>
        <v/>
      </c>
      <c r="BI376" s="191">
        <f>L376*0.0849342770</f>
        <v/>
      </c>
      <c r="BJ376" s="191">
        <f>L376*0.0870197169</f>
        <v/>
      </c>
      <c r="BK376" s="191">
        <f>L376*0.0889787664</f>
        <v/>
      </c>
      <c r="BL376" s="191">
        <f>L376*0.0911905966</f>
        <v/>
      </c>
      <c r="BM376" s="191">
        <f>L376*0.0935920121</f>
        <v/>
      </c>
      <c r="BN376" s="192">
        <f>L376*0.0967517695</f>
        <v/>
      </c>
      <c r="BO376" s="36" t="inlineStr">
        <is>
          <t>.</t>
        </is>
      </c>
      <c r="BP376" s="193">
        <f>SUM(BQ376:CB376)</f>
        <v/>
      </c>
      <c r="BQ376" s="191">
        <f>MAX(0,BC376-AA376)</f>
        <v/>
      </c>
      <c r="BR376" s="191">
        <f>MAX(0,BD376-AB376)</f>
        <v/>
      </c>
      <c r="BS376" s="191">
        <f>MAX(0,BE376-AC376)</f>
        <v/>
      </c>
      <c r="BT376" s="191">
        <f>MAX(0,BF376-AD376)</f>
        <v/>
      </c>
      <c r="BU376" s="191">
        <f>MAX(0,BG376-AE376)</f>
        <v/>
      </c>
      <c r="BV376" s="191">
        <f>MAX(0,BH376-AF376)</f>
        <v/>
      </c>
      <c r="BW376" s="191">
        <f>MAX(0,BI376-AG376)</f>
        <v/>
      </c>
      <c r="BX376" s="191">
        <f>MAX(0,BJ376-AH376)</f>
        <v/>
      </c>
      <c r="BY376" s="191">
        <f>MAX(0,BK376-AI376)</f>
        <v/>
      </c>
      <c r="BZ376" s="191">
        <f>MAX(0,BL376-AJ376)</f>
        <v/>
      </c>
      <c r="CA376" s="191">
        <f>MAX(0,BM376-AK376)</f>
        <v/>
      </c>
      <c r="CB376" s="192">
        <f>MAX(0,BN376-AL376)</f>
        <v/>
      </c>
    </row>
    <row r="377">
      <c r="A377" s="64" t="inlineStr">
        <is>
          <t>58377806000183</t>
        </is>
      </c>
      <c r="B377" s="57" t="inlineStr">
        <is>
          <t>AM PRODUTOS NATURAIS CONDOR LTDA - ME</t>
        </is>
      </c>
      <c r="C377" s="57" t="inlineStr">
        <is>
          <t>CIA DA SAUDE</t>
        </is>
      </c>
      <c r="D377" s="61" t="inlineStr">
        <is>
          <t>JULIO GADRET</t>
        </is>
      </c>
      <c r="E377" s="30" t="inlineStr">
        <is>
          <t>.</t>
        </is>
      </c>
      <c r="F377" s="63" t="n">
        <v>163</v>
      </c>
      <c r="G377" s="179" t="n">
        <v>0.026</v>
      </c>
      <c r="H377" s="57" t="inlineStr">
        <is>
          <t>🔴 VERMELHO</t>
        </is>
      </c>
      <c r="I377" s="57" t="inlineStr">
        <is>
          <t>ATIVAÇÃO</t>
        </is>
      </c>
      <c r="J377" s="61" t="inlineStr">
        <is>
          <t>Reativar inativos + Prospectar</t>
        </is>
      </c>
      <c r="K377" s="30" t="inlineStr">
        <is>
          <t>.</t>
        </is>
      </c>
      <c r="L377" s="180" t="n">
        <v>2474.03</v>
      </c>
      <c r="M377" s="181" t="n">
        <v>173.86</v>
      </c>
      <c r="N377" s="181" t="n">
        <v>181.67</v>
      </c>
      <c r="O377" s="181" t="n">
        <v>186.05</v>
      </c>
      <c r="P377" s="181" t="n">
        <v>190.9</v>
      </c>
      <c r="Q377" s="181" t="n">
        <v>197.15</v>
      </c>
      <c r="R377" s="181" t="n">
        <v>202.31</v>
      </c>
      <c r="S377" s="181" t="n">
        <v>210.13</v>
      </c>
      <c r="T377" s="181" t="n">
        <v>215.29</v>
      </c>
      <c r="U377" s="181" t="n">
        <v>220.14</v>
      </c>
      <c r="V377" s="181" t="n">
        <v>225.61</v>
      </c>
      <c r="W377" s="181" t="n">
        <v>231.55</v>
      </c>
      <c r="X377" s="182" t="n">
        <v>239.37</v>
      </c>
      <c r="Y377" s="183" t="inlineStr">
        <is>
          <t>.</t>
        </is>
      </c>
      <c r="Z377" s="184">
        <f>SUM(AA377:AL377)</f>
        <v/>
      </c>
      <c r="AA377" s="185" t="n">
        <v>0</v>
      </c>
      <c r="AB377" s="185" t="n">
        <v>0</v>
      </c>
      <c r="AC377" s="185" t="n">
        <v>0</v>
      </c>
      <c r="AD377" s="185" t="n">
        <v>0</v>
      </c>
      <c r="AE377" s="185" t="n">
        <v>0</v>
      </c>
      <c r="AF377" s="185" t="n">
        <v>0</v>
      </c>
      <c r="AG377" s="185" t="n">
        <v>0</v>
      </c>
      <c r="AH377" s="185" t="n">
        <v>0</v>
      </c>
      <c r="AI377" s="185" t="n">
        <v>0</v>
      </c>
      <c r="AJ377" s="185" t="n">
        <v>0</v>
      </c>
      <c r="AK377" s="185" t="n">
        <v>1319.69</v>
      </c>
      <c r="AL377" s="186" t="n">
        <v>0</v>
      </c>
      <c r="AM377" s="30" t="inlineStr">
        <is>
          <t>.</t>
        </is>
      </c>
      <c r="AN377" s="187">
        <f>IF(L377=0,0,Z377/L377)</f>
        <v/>
      </c>
      <c r="AO377" s="57">
        <f>IF(AN377&gt;=1,"🟢",IF(AN377&gt;=0.7,"🟡",IF(AN377&gt;=0.4,"🟠","🔴")))</f>
        <v/>
      </c>
      <c r="AP377" s="185">
        <f>L377-Z377</f>
        <v/>
      </c>
      <c r="AQ377" s="55">
        <f>RANK(Z377,$Z$4:$Z$503,0)</f>
        <v/>
      </c>
      <c r="AR377" s="39" t="inlineStr">
        <is>
          <t>.</t>
        </is>
      </c>
      <c r="AS377" s="27" t="n"/>
      <c r="AT377" s="27" t="n"/>
      <c r="AU377" s="27" t="n"/>
      <c r="AV377" s="27" t="n"/>
      <c r="AW377" s="27" t="n"/>
      <c r="AX377" s="27" t="n"/>
      <c r="AY377" s="204" t="n"/>
      <c r="AZ377" s="204" t="n"/>
      <c r="BA377" s="38" t="inlineStr">
        <is>
          <t>.</t>
        </is>
      </c>
      <c r="BB377" s="190">
        <f>SUM(BC377:BN377)</f>
        <v/>
      </c>
      <c r="BC377" s="191">
        <f>L377*0.0702730030</f>
        <v/>
      </c>
      <c r="BD377" s="191">
        <f>L377*0.0734327604</f>
        <v/>
      </c>
      <c r="BE377" s="191">
        <f>L377*0.0752022245</f>
        <v/>
      </c>
      <c r="BF377" s="191">
        <f>L377*0.0771612740</f>
        <v/>
      </c>
      <c r="BG377" s="191">
        <f>L377*0.0796890799</f>
        <v/>
      </c>
      <c r="BH377" s="191">
        <f>L377*0.0817745197</f>
        <v/>
      </c>
      <c r="BI377" s="191">
        <f>L377*0.0849342770</f>
        <v/>
      </c>
      <c r="BJ377" s="191">
        <f>L377*0.0870197169</f>
        <v/>
      </c>
      <c r="BK377" s="191">
        <f>L377*0.0889787664</f>
        <v/>
      </c>
      <c r="BL377" s="191">
        <f>L377*0.0911905966</f>
        <v/>
      </c>
      <c r="BM377" s="191">
        <f>L377*0.0935920121</f>
        <v/>
      </c>
      <c r="BN377" s="192">
        <f>L377*0.0967517695</f>
        <v/>
      </c>
      <c r="BO377" s="36" t="inlineStr">
        <is>
          <t>.</t>
        </is>
      </c>
      <c r="BP377" s="193">
        <f>SUM(BQ377:CB377)</f>
        <v/>
      </c>
      <c r="BQ377" s="191">
        <f>MAX(0,BC377-AA377)</f>
        <v/>
      </c>
      <c r="BR377" s="191">
        <f>MAX(0,BD377-AB377)</f>
        <v/>
      </c>
      <c r="BS377" s="191">
        <f>MAX(0,BE377-AC377)</f>
        <v/>
      </c>
      <c r="BT377" s="191">
        <f>MAX(0,BF377-AD377)</f>
        <v/>
      </c>
      <c r="BU377" s="191">
        <f>MAX(0,BG377-AE377)</f>
        <v/>
      </c>
      <c r="BV377" s="191">
        <f>MAX(0,BH377-AF377)</f>
        <v/>
      </c>
      <c r="BW377" s="191">
        <f>MAX(0,BI377-AG377)</f>
        <v/>
      </c>
      <c r="BX377" s="191">
        <f>MAX(0,BJ377-AH377)</f>
        <v/>
      </c>
      <c r="BY377" s="191">
        <f>MAX(0,BK377-AI377)</f>
        <v/>
      </c>
      <c r="BZ377" s="191">
        <f>MAX(0,BL377-AJ377)</f>
        <v/>
      </c>
      <c r="CA377" s="191">
        <f>MAX(0,BM377-AK377)</f>
        <v/>
      </c>
      <c r="CB377" s="192">
        <f>MAX(0,BN377-AL377)</f>
        <v/>
      </c>
    </row>
    <row r="378">
      <c r="A378" s="64" t="inlineStr">
        <is>
          <t>58094644000176</t>
        </is>
      </c>
      <c r="B378" s="57" t="inlineStr">
        <is>
          <t>AM PRODUTOS NATURAIS SUPER A LTDA - ME</t>
        </is>
      </c>
      <c r="C378" s="57" t="inlineStr">
        <is>
          <t>CIA DA SAUDE</t>
        </is>
      </c>
      <c r="D378" s="61" t="inlineStr">
        <is>
          <t>JULIO GADRET</t>
        </is>
      </c>
      <c r="E378" s="30" t="inlineStr">
        <is>
          <t>.</t>
        </is>
      </c>
      <c r="F378" s="63" t="n">
        <v>163</v>
      </c>
      <c r="G378" s="179" t="n">
        <v>0.026</v>
      </c>
      <c r="H378" s="57" t="inlineStr">
        <is>
          <t>🔴 VERMELHO</t>
        </is>
      </c>
      <c r="I378" s="57" t="inlineStr">
        <is>
          <t>ATIVAÇÃO</t>
        </is>
      </c>
      <c r="J378" s="61" t="inlineStr">
        <is>
          <t>Reativar inativos + Prospectar</t>
        </is>
      </c>
      <c r="K378" s="30" t="inlineStr">
        <is>
          <t>.</t>
        </is>
      </c>
      <c r="L378" s="180" t="n">
        <v>2472.39</v>
      </c>
      <c r="M378" s="181" t="n">
        <v>173.74</v>
      </c>
      <c r="N378" s="181" t="n">
        <v>181.55</v>
      </c>
      <c r="O378" s="181" t="n">
        <v>185.93</v>
      </c>
      <c r="P378" s="181" t="n">
        <v>190.77</v>
      </c>
      <c r="Q378" s="181" t="n">
        <v>197.02</v>
      </c>
      <c r="R378" s="181" t="n">
        <v>202.18</v>
      </c>
      <c r="S378" s="181" t="n">
        <v>209.99</v>
      </c>
      <c r="T378" s="181" t="n">
        <v>215.15</v>
      </c>
      <c r="U378" s="181" t="n">
        <v>219.99</v>
      </c>
      <c r="V378" s="181" t="n">
        <v>225.46</v>
      </c>
      <c r="W378" s="181" t="n">
        <v>231.4</v>
      </c>
      <c r="X378" s="182" t="n">
        <v>239.21</v>
      </c>
      <c r="Y378" s="183" t="inlineStr">
        <is>
          <t>.</t>
        </is>
      </c>
      <c r="Z378" s="184">
        <f>SUM(AA378:AL378)</f>
        <v/>
      </c>
      <c r="AA378" s="185" t="n">
        <v>0</v>
      </c>
      <c r="AB378" s="185" t="n">
        <v>0</v>
      </c>
      <c r="AC378" s="185" t="n">
        <v>0</v>
      </c>
      <c r="AD378" s="185" t="n">
        <v>0</v>
      </c>
      <c r="AE378" s="185" t="n">
        <v>0</v>
      </c>
      <c r="AF378" s="185" t="n">
        <v>0</v>
      </c>
      <c r="AG378" s="185" t="n">
        <v>0</v>
      </c>
      <c r="AH378" s="185" t="n">
        <v>0</v>
      </c>
      <c r="AI378" s="185" t="n">
        <v>0</v>
      </c>
      <c r="AJ378" s="185" t="n">
        <v>0</v>
      </c>
      <c r="AK378" s="185" t="n">
        <v>1318.82</v>
      </c>
      <c r="AL378" s="186" t="n">
        <v>0</v>
      </c>
      <c r="AM378" s="30" t="inlineStr">
        <is>
          <t>.</t>
        </is>
      </c>
      <c r="AN378" s="187">
        <f>IF(L378=0,0,Z378/L378)</f>
        <v/>
      </c>
      <c r="AO378" s="57">
        <f>IF(AN378&gt;=1,"🟢",IF(AN378&gt;=0.7,"🟡",IF(AN378&gt;=0.4,"🟠","🔴")))</f>
        <v/>
      </c>
      <c r="AP378" s="185">
        <f>L378-Z378</f>
        <v/>
      </c>
      <c r="AQ378" s="55">
        <f>RANK(Z378,$Z$4:$Z$503,0)</f>
        <v/>
      </c>
      <c r="AR378" s="39" t="inlineStr">
        <is>
          <t>.</t>
        </is>
      </c>
      <c r="AS378" s="27" t="n"/>
      <c r="AT378" s="27" t="n"/>
      <c r="AU378" s="27" t="n"/>
      <c r="AV378" s="27" t="n"/>
      <c r="AW378" s="27" t="n"/>
      <c r="AX378" s="27" t="n"/>
      <c r="AY378" s="204" t="n"/>
      <c r="AZ378" s="204" t="n"/>
      <c r="BA378" s="38" t="inlineStr">
        <is>
          <t>.</t>
        </is>
      </c>
      <c r="BB378" s="190">
        <f>SUM(BC378:BN378)</f>
        <v/>
      </c>
      <c r="BC378" s="191">
        <f>L378*0.0702730030</f>
        <v/>
      </c>
      <c r="BD378" s="191">
        <f>L378*0.0734327604</f>
        <v/>
      </c>
      <c r="BE378" s="191">
        <f>L378*0.0752022245</f>
        <v/>
      </c>
      <c r="BF378" s="191">
        <f>L378*0.0771612740</f>
        <v/>
      </c>
      <c r="BG378" s="191">
        <f>L378*0.0796890799</f>
        <v/>
      </c>
      <c r="BH378" s="191">
        <f>L378*0.0817745197</f>
        <v/>
      </c>
      <c r="BI378" s="191">
        <f>L378*0.0849342770</f>
        <v/>
      </c>
      <c r="BJ378" s="191">
        <f>L378*0.0870197169</f>
        <v/>
      </c>
      <c r="BK378" s="191">
        <f>L378*0.0889787664</f>
        <v/>
      </c>
      <c r="BL378" s="191">
        <f>L378*0.0911905966</f>
        <v/>
      </c>
      <c r="BM378" s="191">
        <f>L378*0.0935920121</f>
        <v/>
      </c>
      <c r="BN378" s="192">
        <f>L378*0.0967517695</f>
        <v/>
      </c>
      <c r="BO378" s="36" t="inlineStr">
        <is>
          <t>.</t>
        </is>
      </c>
      <c r="BP378" s="193">
        <f>SUM(BQ378:CB378)</f>
        <v/>
      </c>
      <c r="BQ378" s="191">
        <f>MAX(0,BC378-AA378)</f>
        <v/>
      </c>
      <c r="BR378" s="191">
        <f>MAX(0,BD378-AB378)</f>
        <v/>
      </c>
      <c r="BS378" s="191">
        <f>MAX(0,BE378-AC378)</f>
        <v/>
      </c>
      <c r="BT378" s="191">
        <f>MAX(0,BF378-AD378)</f>
        <v/>
      </c>
      <c r="BU378" s="191">
        <f>MAX(0,BG378-AE378)</f>
        <v/>
      </c>
      <c r="BV378" s="191">
        <f>MAX(0,BH378-AF378)</f>
        <v/>
      </c>
      <c r="BW378" s="191">
        <f>MAX(0,BI378-AG378)</f>
        <v/>
      </c>
      <c r="BX378" s="191">
        <f>MAX(0,BJ378-AH378)</f>
        <v/>
      </c>
      <c r="BY378" s="191">
        <f>MAX(0,BK378-AI378)</f>
        <v/>
      </c>
      <c r="BZ378" s="191">
        <f>MAX(0,BL378-AJ378)</f>
        <v/>
      </c>
      <c r="CA378" s="191">
        <f>MAX(0,BM378-AK378)</f>
        <v/>
      </c>
      <c r="CB378" s="192">
        <f>MAX(0,BN378-AL378)</f>
        <v/>
      </c>
    </row>
    <row r="379">
      <c r="A379" s="64" t="inlineStr">
        <is>
          <t>37015609000144</t>
        </is>
      </c>
      <c r="B379" s="57" t="inlineStr">
        <is>
          <t>PILOES - DISTRIBUIDORA, COMERCIO E SERVI</t>
        </is>
      </c>
      <c r="C379" s="57" t="inlineStr">
        <is>
          <t>SEM GRUPO</t>
        </is>
      </c>
      <c r="D379" s="61" t="inlineStr">
        <is>
          <t>LARISSA PADILHA</t>
        </is>
      </c>
      <c r="E379" s="30" t="inlineStr">
        <is>
          <t>.</t>
        </is>
      </c>
      <c r="F379" s="63" t="inlineStr"/>
      <c r="G379" s="179" t="inlineStr"/>
      <c r="H379" s="57" t="inlineStr"/>
      <c r="I379" s="57" t="inlineStr"/>
      <c r="J379" s="61" t="inlineStr"/>
      <c r="K379" s="30" t="inlineStr">
        <is>
          <t>.</t>
        </is>
      </c>
      <c r="L379" s="180" t="n">
        <v>2469.79</v>
      </c>
      <c r="M379" s="181" t="n">
        <v>173.56</v>
      </c>
      <c r="N379" s="181" t="n">
        <v>181.36</v>
      </c>
      <c r="O379" s="181" t="n">
        <v>185.73</v>
      </c>
      <c r="P379" s="181" t="n">
        <v>190.57</v>
      </c>
      <c r="Q379" s="181" t="n">
        <v>196.82</v>
      </c>
      <c r="R379" s="181" t="n">
        <v>201.97</v>
      </c>
      <c r="S379" s="181" t="n">
        <v>209.77</v>
      </c>
      <c r="T379" s="181" t="n">
        <v>214.92</v>
      </c>
      <c r="U379" s="181" t="n">
        <v>219.76</v>
      </c>
      <c r="V379" s="181" t="n">
        <v>225.22</v>
      </c>
      <c r="W379" s="181" t="n">
        <v>231.15</v>
      </c>
      <c r="X379" s="182" t="n">
        <v>238.96</v>
      </c>
      <c r="Y379" s="183" t="inlineStr">
        <is>
          <t>.</t>
        </is>
      </c>
      <c r="Z379" s="184">
        <f>SUM(AA379:AL379)</f>
        <v/>
      </c>
      <c r="AA379" s="185" t="n">
        <v>0</v>
      </c>
      <c r="AB379" s="185" t="n">
        <v>0</v>
      </c>
      <c r="AC379" s="185" t="n">
        <v>0</v>
      </c>
      <c r="AD379" s="185" t="n">
        <v>875.72</v>
      </c>
      <c r="AE379" s="185" t="n">
        <v>0</v>
      </c>
      <c r="AF379" s="185" t="n">
        <v>0</v>
      </c>
      <c r="AG379" s="185" t="n">
        <v>0</v>
      </c>
      <c r="AH379" s="185" t="n">
        <v>0</v>
      </c>
      <c r="AI379" s="185" t="n">
        <v>0</v>
      </c>
      <c r="AJ379" s="185" t="n">
        <v>0</v>
      </c>
      <c r="AK379" s="185" t="n">
        <v>0</v>
      </c>
      <c r="AL379" s="186" t="n">
        <v>0</v>
      </c>
      <c r="AM379" s="30" t="inlineStr">
        <is>
          <t>.</t>
        </is>
      </c>
      <c r="AN379" s="187">
        <f>IF(L379=0,0,Z379/L379)</f>
        <v/>
      </c>
      <c r="AO379" s="57">
        <f>IF(AN379&gt;=1,"🟢",IF(AN379&gt;=0.7,"🟡",IF(AN379&gt;=0.4,"🟠","🔴")))</f>
        <v/>
      </c>
      <c r="AP379" s="185">
        <f>L379-Z379</f>
        <v/>
      </c>
      <c r="AQ379" s="55">
        <f>RANK(Z379,$Z$4:$Z$503,0)</f>
        <v/>
      </c>
      <c r="AR379" s="39" t="inlineStr">
        <is>
          <t>.</t>
        </is>
      </c>
      <c r="AS379" s="27" t="n"/>
      <c r="AT379" s="27" t="n"/>
      <c r="AU379" s="27" t="n"/>
      <c r="AV379" s="27" t="n"/>
      <c r="AW379" s="27" t="n"/>
      <c r="AX379" s="27" t="n"/>
      <c r="AY379" s="204" t="n"/>
      <c r="AZ379" s="204" t="n"/>
      <c r="BA379" s="38" t="inlineStr">
        <is>
          <t>.</t>
        </is>
      </c>
      <c r="BB379" s="190">
        <f>SUM(BC379:BN379)</f>
        <v/>
      </c>
      <c r="BC379" s="191">
        <f>L379*0.0702730030</f>
        <v/>
      </c>
      <c r="BD379" s="191">
        <f>L379*0.0734327604</f>
        <v/>
      </c>
      <c r="BE379" s="191">
        <f>L379*0.0752022245</f>
        <v/>
      </c>
      <c r="BF379" s="191">
        <f>L379*0.0771612740</f>
        <v/>
      </c>
      <c r="BG379" s="191">
        <f>L379*0.0796890799</f>
        <v/>
      </c>
      <c r="BH379" s="191">
        <f>L379*0.0817745197</f>
        <v/>
      </c>
      <c r="BI379" s="191">
        <f>L379*0.0849342770</f>
        <v/>
      </c>
      <c r="BJ379" s="191">
        <f>L379*0.0870197169</f>
        <v/>
      </c>
      <c r="BK379" s="191">
        <f>L379*0.0889787664</f>
        <v/>
      </c>
      <c r="BL379" s="191">
        <f>L379*0.0911905966</f>
        <v/>
      </c>
      <c r="BM379" s="191">
        <f>L379*0.0935920121</f>
        <v/>
      </c>
      <c r="BN379" s="192">
        <f>L379*0.0967517695</f>
        <v/>
      </c>
      <c r="BO379" s="36" t="inlineStr">
        <is>
          <t>.</t>
        </is>
      </c>
      <c r="BP379" s="193">
        <f>SUM(BQ379:CB379)</f>
        <v/>
      </c>
      <c r="BQ379" s="191">
        <f>MAX(0,BC379-AA379)</f>
        <v/>
      </c>
      <c r="BR379" s="191">
        <f>MAX(0,BD379-AB379)</f>
        <v/>
      </c>
      <c r="BS379" s="191">
        <f>MAX(0,BE379-AC379)</f>
        <v/>
      </c>
      <c r="BT379" s="191">
        <f>MAX(0,BF379-AD379)</f>
        <v/>
      </c>
      <c r="BU379" s="191">
        <f>MAX(0,BG379-AE379)</f>
        <v/>
      </c>
      <c r="BV379" s="191">
        <f>MAX(0,BH379-AF379)</f>
        <v/>
      </c>
      <c r="BW379" s="191">
        <f>MAX(0,BI379-AG379)</f>
        <v/>
      </c>
      <c r="BX379" s="191">
        <f>MAX(0,BJ379-AH379)</f>
        <v/>
      </c>
      <c r="BY379" s="191">
        <f>MAX(0,BK379-AI379)</f>
        <v/>
      </c>
      <c r="BZ379" s="191">
        <f>MAX(0,BL379-AJ379)</f>
        <v/>
      </c>
      <c r="CA379" s="191">
        <f>MAX(0,BM379-AK379)</f>
        <v/>
      </c>
      <c r="CB379" s="192">
        <f>MAX(0,BN379-AL379)</f>
        <v/>
      </c>
    </row>
    <row r="380">
      <c r="A380" s="64" t="inlineStr">
        <is>
          <t>36828225000188</t>
        </is>
      </c>
      <c r="B380" s="57" t="inlineStr">
        <is>
          <t>36.828.225 ELANE ABREU BARROS - ME</t>
        </is>
      </c>
      <c r="C380" s="57" t="inlineStr">
        <is>
          <t>SEM GRUPO</t>
        </is>
      </c>
      <c r="D380" s="61" t="inlineStr">
        <is>
          <t>LARISSA PADILHA</t>
        </is>
      </c>
      <c r="E380" s="30" t="inlineStr">
        <is>
          <t>.</t>
        </is>
      </c>
      <c r="F380" s="63" t="inlineStr"/>
      <c r="G380" s="179" t="inlineStr"/>
      <c r="H380" s="57" t="inlineStr"/>
      <c r="I380" s="57" t="inlineStr"/>
      <c r="J380" s="61" t="inlineStr"/>
      <c r="K380" s="30" t="inlineStr">
        <is>
          <t>.</t>
        </is>
      </c>
      <c r="L380" s="180" t="n">
        <v>2463.08</v>
      </c>
      <c r="M380" s="181" t="n">
        <v>173.09</v>
      </c>
      <c r="N380" s="181" t="n">
        <v>180.87</v>
      </c>
      <c r="O380" s="181" t="n">
        <v>185.23</v>
      </c>
      <c r="P380" s="181" t="n">
        <v>190.05</v>
      </c>
      <c r="Q380" s="181" t="n">
        <v>196.28</v>
      </c>
      <c r="R380" s="181" t="n">
        <v>201.42</v>
      </c>
      <c r="S380" s="181" t="n">
        <v>209.2</v>
      </c>
      <c r="T380" s="181" t="n">
        <v>214.34</v>
      </c>
      <c r="U380" s="181" t="n">
        <v>219.16</v>
      </c>
      <c r="V380" s="181" t="n">
        <v>224.61</v>
      </c>
      <c r="W380" s="181" t="n">
        <v>230.52</v>
      </c>
      <c r="X380" s="182" t="n">
        <v>238.31</v>
      </c>
      <c r="Y380" s="183" t="inlineStr">
        <is>
          <t>.</t>
        </is>
      </c>
      <c r="Z380" s="184">
        <f>SUM(AA380:AL380)</f>
        <v/>
      </c>
      <c r="AA380" s="185" t="n">
        <v>0</v>
      </c>
      <c r="AB380" s="185" t="n">
        <v>0</v>
      </c>
      <c r="AC380" s="185" t="n">
        <v>968.9299999999999</v>
      </c>
      <c r="AD380" s="185" t="n">
        <v>0</v>
      </c>
      <c r="AE380" s="185" t="n">
        <v>0</v>
      </c>
      <c r="AF380" s="185" t="n">
        <v>0</v>
      </c>
      <c r="AG380" s="185" t="n">
        <v>0</v>
      </c>
      <c r="AH380" s="185" t="n">
        <v>0</v>
      </c>
      <c r="AI380" s="185" t="n">
        <v>0</v>
      </c>
      <c r="AJ380" s="185" t="n">
        <v>0</v>
      </c>
      <c r="AK380" s="185" t="n">
        <v>0</v>
      </c>
      <c r="AL380" s="186" t="n">
        <v>0</v>
      </c>
      <c r="AM380" s="30" t="inlineStr">
        <is>
          <t>.</t>
        </is>
      </c>
      <c r="AN380" s="187">
        <f>IF(L380=0,0,Z380/L380)</f>
        <v/>
      </c>
      <c r="AO380" s="57">
        <f>IF(AN380&gt;=1,"🟢",IF(AN380&gt;=0.7,"🟡",IF(AN380&gt;=0.4,"🟠","🔴")))</f>
        <v/>
      </c>
      <c r="AP380" s="185">
        <f>L380-Z380</f>
        <v/>
      </c>
      <c r="AQ380" s="55">
        <f>RANK(Z380,$Z$4:$Z$503,0)</f>
        <v/>
      </c>
      <c r="AR380" s="39" t="inlineStr">
        <is>
          <t>.</t>
        </is>
      </c>
      <c r="AS380" s="27" t="n"/>
      <c r="AT380" s="27" t="n"/>
      <c r="AU380" s="27" t="n"/>
      <c r="AV380" s="27" t="n"/>
      <c r="AW380" s="27" t="n"/>
      <c r="AX380" s="27" t="n"/>
      <c r="AY380" s="204" t="n"/>
      <c r="AZ380" s="204" t="n"/>
      <c r="BA380" s="38" t="inlineStr">
        <is>
          <t>.</t>
        </is>
      </c>
      <c r="BB380" s="190">
        <f>SUM(BC380:BN380)</f>
        <v/>
      </c>
      <c r="BC380" s="191">
        <f>L380*0.0702730030</f>
        <v/>
      </c>
      <c r="BD380" s="191">
        <f>L380*0.0734327604</f>
        <v/>
      </c>
      <c r="BE380" s="191">
        <f>L380*0.0752022245</f>
        <v/>
      </c>
      <c r="BF380" s="191">
        <f>L380*0.0771612740</f>
        <v/>
      </c>
      <c r="BG380" s="191">
        <f>L380*0.0796890799</f>
        <v/>
      </c>
      <c r="BH380" s="191">
        <f>L380*0.0817745197</f>
        <v/>
      </c>
      <c r="BI380" s="191">
        <f>L380*0.0849342770</f>
        <v/>
      </c>
      <c r="BJ380" s="191">
        <f>L380*0.0870197169</f>
        <v/>
      </c>
      <c r="BK380" s="191">
        <f>L380*0.0889787664</f>
        <v/>
      </c>
      <c r="BL380" s="191">
        <f>L380*0.0911905966</f>
        <v/>
      </c>
      <c r="BM380" s="191">
        <f>L380*0.0935920121</f>
        <v/>
      </c>
      <c r="BN380" s="192">
        <f>L380*0.0967517695</f>
        <v/>
      </c>
      <c r="BO380" s="36" t="inlineStr">
        <is>
          <t>.</t>
        </is>
      </c>
      <c r="BP380" s="193">
        <f>SUM(BQ380:CB380)</f>
        <v/>
      </c>
      <c r="BQ380" s="191">
        <f>MAX(0,BC380-AA380)</f>
        <v/>
      </c>
      <c r="BR380" s="191">
        <f>MAX(0,BD380-AB380)</f>
        <v/>
      </c>
      <c r="BS380" s="191">
        <f>MAX(0,BE380-AC380)</f>
        <v/>
      </c>
      <c r="BT380" s="191">
        <f>MAX(0,BF380-AD380)</f>
        <v/>
      </c>
      <c r="BU380" s="191">
        <f>MAX(0,BG380-AE380)</f>
        <v/>
      </c>
      <c r="BV380" s="191">
        <f>MAX(0,BH380-AF380)</f>
        <v/>
      </c>
      <c r="BW380" s="191">
        <f>MAX(0,BI380-AG380)</f>
        <v/>
      </c>
      <c r="BX380" s="191">
        <f>MAX(0,BJ380-AH380)</f>
        <v/>
      </c>
      <c r="BY380" s="191">
        <f>MAX(0,BK380-AI380)</f>
        <v/>
      </c>
      <c r="BZ380" s="191">
        <f>MAX(0,BL380-AJ380)</f>
        <v/>
      </c>
      <c r="CA380" s="191">
        <f>MAX(0,BM380-AK380)</f>
        <v/>
      </c>
      <c r="CB380" s="192">
        <f>MAX(0,BN380-AL380)</f>
        <v/>
      </c>
    </row>
    <row r="381">
      <c r="A381" s="64" t="inlineStr">
        <is>
          <t>37191155000162</t>
        </is>
      </c>
      <c r="B381" s="57" t="inlineStr">
        <is>
          <t>AVILA DO TERMINAL PRODUTOS NATURAIS LTDA</t>
        </is>
      </c>
      <c r="C381" s="57" t="inlineStr">
        <is>
          <t>CIA DA SAUDE</t>
        </is>
      </c>
      <c r="D381" s="61" t="inlineStr">
        <is>
          <t>JULIO GADRET</t>
        </is>
      </c>
      <c r="E381" s="30" t="inlineStr">
        <is>
          <t>.</t>
        </is>
      </c>
      <c r="F381" s="63" t="n">
        <v>163</v>
      </c>
      <c r="G381" s="179" t="n">
        <v>0.026</v>
      </c>
      <c r="H381" s="57" t="inlineStr">
        <is>
          <t>🔴 VERMELHO</t>
        </is>
      </c>
      <c r="I381" s="57" t="inlineStr">
        <is>
          <t>ATIVAÇÃO</t>
        </is>
      </c>
      <c r="J381" s="61" t="inlineStr">
        <is>
          <t>Reativar inativos + Prospectar</t>
        </is>
      </c>
      <c r="K381" s="30" t="inlineStr">
        <is>
          <t>.</t>
        </is>
      </c>
      <c r="L381" s="180" t="n">
        <v>2453</v>
      </c>
      <c r="M381" s="181" t="n">
        <v>172.38</v>
      </c>
      <c r="N381" s="181" t="n">
        <v>180.13</v>
      </c>
      <c r="O381" s="181" t="n">
        <v>184.47</v>
      </c>
      <c r="P381" s="181" t="n">
        <v>189.28</v>
      </c>
      <c r="Q381" s="181" t="n">
        <v>195.48</v>
      </c>
      <c r="R381" s="181" t="n">
        <v>200.59</v>
      </c>
      <c r="S381" s="181" t="n">
        <v>208.34</v>
      </c>
      <c r="T381" s="181" t="n">
        <v>213.46</v>
      </c>
      <c r="U381" s="181" t="n">
        <v>218.27</v>
      </c>
      <c r="V381" s="181" t="n">
        <v>223.69</v>
      </c>
      <c r="W381" s="181" t="n">
        <v>229.58</v>
      </c>
      <c r="X381" s="182" t="n">
        <v>237.33</v>
      </c>
      <c r="Y381" s="183" t="inlineStr">
        <is>
          <t>.</t>
        </is>
      </c>
      <c r="Z381" s="184">
        <f>SUM(AA381:AL381)</f>
        <v/>
      </c>
      <c r="AA381" s="185" t="n">
        <v>0</v>
      </c>
      <c r="AB381" s="185" t="n">
        <v>0</v>
      </c>
      <c r="AC381" s="185" t="n">
        <v>0</v>
      </c>
      <c r="AD381" s="185" t="n">
        <v>0</v>
      </c>
      <c r="AE381" s="185" t="n">
        <v>0</v>
      </c>
      <c r="AF381" s="185" t="n">
        <v>0</v>
      </c>
      <c r="AG381" s="185" t="n">
        <v>0</v>
      </c>
      <c r="AH381" s="185" t="n">
        <v>0</v>
      </c>
      <c r="AI381" s="185" t="n">
        <v>0</v>
      </c>
      <c r="AJ381" s="185" t="n">
        <v>0</v>
      </c>
      <c r="AK381" s="185" t="n">
        <v>1308.49</v>
      </c>
      <c r="AL381" s="186" t="n">
        <v>0</v>
      </c>
      <c r="AM381" s="30" t="inlineStr">
        <is>
          <t>.</t>
        </is>
      </c>
      <c r="AN381" s="187">
        <f>IF(L381=0,0,Z381/L381)</f>
        <v/>
      </c>
      <c r="AO381" s="57">
        <f>IF(AN381&gt;=1,"🟢",IF(AN381&gt;=0.7,"🟡",IF(AN381&gt;=0.4,"🟠","🔴")))</f>
        <v/>
      </c>
      <c r="AP381" s="185">
        <f>L381-Z381</f>
        <v/>
      </c>
      <c r="AQ381" s="55">
        <f>RANK(Z381,$Z$4:$Z$503,0)</f>
        <v/>
      </c>
      <c r="AR381" s="39" t="inlineStr">
        <is>
          <t>.</t>
        </is>
      </c>
      <c r="AS381" s="27" t="n"/>
      <c r="AT381" s="27" t="n"/>
      <c r="AU381" s="27" t="n"/>
      <c r="AV381" s="27" t="n"/>
      <c r="AW381" s="27" t="n"/>
      <c r="AX381" s="27" t="n"/>
      <c r="AY381" s="204" t="n"/>
      <c r="AZ381" s="204" t="n"/>
      <c r="BA381" s="38" t="inlineStr">
        <is>
          <t>.</t>
        </is>
      </c>
      <c r="BB381" s="190">
        <f>SUM(BC381:BN381)</f>
        <v/>
      </c>
      <c r="BC381" s="191">
        <f>L381*0.0702730030</f>
        <v/>
      </c>
      <c r="BD381" s="191">
        <f>L381*0.0734327604</f>
        <v/>
      </c>
      <c r="BE381" s="191">
        <f>L381*0.0752022245</f>
        <v/>
      </c>
      <c r="BF381" s="191">
        <f>L381*0.0771612740</f>
        <v/>
      </c>
      <c r="BG381" s="191">
        <f>L381*0.0796890799</f>
        <v/>
      </c>
      <c r="BH381" s="191">
        <f>L381*0.0817745197</f>
        <v/>
      </c>
      <c r="BI381" s="191">
        <f>L381*0.0849342770</f>
        <v/>
      </c>
      <c r="BJ381" s="191">
        <f>L381*0.0870197169</f>
        <v/>
      </c>
      <c r="BK381" s="191">
        <f>L381*0.0889787664</f>
        <v/>
      </c>
      <c r="BL381" s="191">
        <f>L381*0.0911905966</f>
        <v/>
      </c>
      <c r="BM381" s="191">
        <f>L381*0.0935920121</f>
        <v/>
      </c>
      <c r="BN381" s="192">
        <f>L381*0.0967517695</f>
        <v/>
      </c>
      <c r="BO381" s="36" t="inlineStr">
        <is>
          <t>.</t>
        </is>
      </c>
      <c r="BP381" s="193">
        <f>SUM(BQ381:CB381)</f>
        <v/>
      </c>
      <c r="BQ381" s="191">
        <f>MAX(0,BC381-AA381)</f>
        <v/>
      </c>
      <c r="BR381" s="191">
        <f>MAX(0,BD381-AB381)</f>
        <v/>
      </c>
      <c r="BS381" s="191">
        <f>MAX(0,BE381-AC381)</f>
        <v/>
      </c>
      <c r="BT381" s="191">
        <f>MAX(0,BF381-AD381)</f>
        <v/>
      </c>
      <c r="BU381" s="191">
        <f>MAX(0,BG381-AE381)</f>
        <v/>
      </c>
      <c r="BV381" s="191">
        <f>MAX(0,BH381-AF381)</f>
        <v/>
      </c>
      <c r="BW381" s="191">
        <f>MAX(0,BI381-AG381)</f>
        <v/>
      </c>
      <c r="BX381" s="191">
        <f>MAX(0,BJ381-AH381)</f>
        <v/>
      </c>
      <c r="BY381" s="191">
        <f>MAX(0,BK381-AI381)</f>
        <v/>
      </c>
      <c r="BZ381" s="191">
        <f>MAX(0,BL381-AJ381)</f>
        <v/>
      </c>
      <c r="CA381" s="191">
        <f>MAX(0,BM381-AK381)</f>
        <v/>
      </c>
      <c r="CB381" s="192">
        <f>MAX(0,BN381-AL381)</f>
        <v/>
      </c>
    </row>
    <row r="382">
      <c r="A382" s="64" t="inlineStr">
        <is>
          <t>55222424000192</t>
        </is>
      </c>
      <c r="B382" s="57" t="inlineStr">
        <is>
          <t>55.222.424 LUANA CRISTINA DE ANGELO VALV</t>
        </is>
      </c>
      <c r="C382" s="57" t="inlineStr">
        <is>
          <t>SEM GRUPO</t>
        </is>
      </c>
      <c r="D382" s="61" t="inlineStr">
        <is>
          <t>LARISSA PADILHA</t>
        </is>
      </c>
      <c r="E382" s="30" t="inlineStr">
        <is>
          <t>.</t>
        </is>
      </c>
      <c r="F382" s="63" t="inlineStr"/>
      <c r="G382" s="179" t="inlineStr"/>
      <c r="H382" s="57" t="inlineStr"/>
      <c r="I382" s="57" t="inlineStr"/>
      <c r="J382" s="61" t="inlineStr"/>
      <c r="K382" s="30" t="inlineStr">
        <is>
          <t>.</t>
        </is>
      </c>
      <c r="L382" s="180" t="n">
        <v>2417.5</v>
      </c>
      <c r="M382" s="181" t="n">
        <v>169.88</v>
      </c>
      <c r="N382" s="181" t="n">
        <v>177.52</v>
      </c>
      <c r="O382" s="181" t="n">
        <v>181.8</v>
      </c>
      <c r="P382" s="181" t="n">
        <v>186.54</v>
      </c>
      <c r="Q382" s="181" t="n">
        <v>192.65</v>
      </c>
      <c r="R382" s="181" t="n">
        <v>197.69</v>
      </c>
      <c r="S382" s="181" t="n">
        <v>205.33</v>
      </c>
      <c r="T382" s="181" t="n">
        <v>210.37</v>
      </c>
      <c r="U382" s="181" t="n">
        <v>215.11</v>
      </c>
      <c r="V382" s="181" t="n">
        <v>220.45</v>
      </c>
      <c r="W382" s="181" t="n">
        <v>226.26</v>
      </c>
      <c r="X382" s="182" t="n">
        <v>233.9</v>
      </c>
      <c r="Y382" s="183" t="inlineStr">
        <is>
          <t>.</t>
        </is>
      </c>
      <c r="Z382" s="184">
        <f>SUM(AA382:AL382)</f>
        <v/>
      </c>
      <c r="AA382" s="185" t="n">
        <v>0</v>
      </c>
      <c r="AB382" s="185" t="n">
        <v>0</v>
      </c>
      <c r="AC382" s="185" t="n">
        <v>0</v>
      </c>
      <c r="AD382" s="185" t="n">
        <v>0</v>
      </c>
      <c r="AE382" s="185" t="n">
        <v>0</v>
      </c>
      <c r="AF382" s="185" t="n">
        <v>0</v>
      </c>
      <c r="AG382" s="185" t="n">
        <v>0</v>
      </c>
      <c r="AH382" s="185" t="n">
        <v>1018.66</v>
      </c>
      <c r="AI382" s="185" t="n">
        <v>0</v>
      </c>
      <c r="AJ382" s="185" t="n">
        <v>0</v>
      </c>
      <c r="AK382" s="185" t="n">
        <v>0</v>
      </c>
      <c r="AL382" s="186" t="n">
        <v>0</v>
      </c>
      <c r="AM382" s="30" t="inlineStr">
        <is>
          <t>.</t>
        </is>
      </c>
      <c r="AN382" s="187">
        <f>IF(L382=0,0,Z382/L382)</f>
        <v/>
      </c>
      <c r="AO382" s="57">
        <f>IF(AN382&gt;=1,"🟢",IF(AN382&gt;=0.7,"🟡",IF(AN382&gt;=0.4,"🟠","🔴")))</f>
        <v/>
      </c>
      <c r="AP382" s="185">
        <f>L382-Z382</f>
        <v/>
      </c>
      <c r="AQ382" s="55">
        <f>RANK(Z382,$Z$4:$Z$503,0)</f>
        <v/>
      </c>
      <c r="AR382" s="39" t="inlineStr">
        <is>
          <t>.</t>
        </is>
      </c>
      <c r="AS382" s="27" t="n"/>
      <c r="AT382" s="27" t="n"/>
      <c r="AU382" s="27" t="n"/>
      <c r="AV382" s="27" t="n"/>
      <c r="AW382" s="27" t="n"/>
      <c r="AX382" s="27" t="n"/>
      <c r="AY382" s="204" t="n"/>
      <c r="AZ382" s="204" t="n"/>
      <c r="BA382" s="38" t="inlineStr">
        <is>
          <t>.</t>
        </is>
      </c>
      <c r="BB382" s="190">
        <f>SUM(BC382:BN382)</f>
        <v/>
      </c>
      <c r="BC382" s="191">
        <f>L382*0.0702730030</f>
        <v/>
      </c>
      <c r="BD382" s="191">
        <f>L382*0.0734327604</f>
        <v/>
      </c>
      <c r="BE382" s="191">
        <f>L382*0.0752022245</f>
        <v/>
      </c>
      <c r="BF382" s="191">
        <f>L382*0.0771612740</f>
        <v/>
      </c>
      <c r="BG382" s="191">
        <f>L382*0.0796890799</f>
        <v/>
      </c>
      <c r="BH382" s="191">
        <f>L382*0.0817745197</f>
        <v/>
      </c>
      <c r="BI382" s="191">
        <f>L382*0.0849342770</f>
        <v/>
      </c>
      <c r="BJ382" s="191">
        <f>L382*0.0870197169</f>
        <v/>
      </c>
      <c r="BK382" s="191">
        <f>L382*0.0889787664</f>
        <v/>
      </c>
      <c r="BL382" s="191">
        <f>L382*0.0911905966</f>
        <v/>
      </c>
      <c r="BM382" s="191">
        <f>L382*0.0935920121</f>
        <v/>
      </c>
      <c r="BN382" s="192">
        <f>L382*0.0967517695</f>
        <v/>
      </c>
      <c r="BO382" s="36" t="inlineStr">
        <is>
          <t>.</t>
        </is>
      </c>
      <c r="BP382" s="193">
        <f>SUM(BQ382:CB382)</f>
        <v/>
      </c>
      <c r="BQ382" s="191">
        <f>MAX(0,BC382-AA382)</f>
        <v/>
      </c>
      <c r="BR382" s="191">
        <f>MAX(0,BD382-AB382)</f>
        <v/>
      </c>
      <c r="BS382" s="191">
        <f>MAX(0,BE382-AC382)</f>
        <v/>
      </c>
      <c r="BT382" s="191">
        <f>MAX(0,BF382-AD382)</f>
        <v/>
      </c>
      <c r="BU382" s="191">
        <f>MAX(0,BG382-AE382)</f>
        <v/>
      </c>
      <c r="BV382" s="191">
        <f>MAX(0,BH382-AF382)</f>
        <v/>
      </c>
      <c r="BW382" s="191">
        <f>MAX(0,BI382-AG382)</f>
        <v/>
      </c>
      <c r="BX382" s="191">
        <f>MAX(0,BJ382-AH382)</f>
        <v/>
      </c>
      <c r="BY382" s="191">
        <f>MAX(0,BK382-AI382)</f>
        <v/>
      </c>
      <c r="BZ382" s="191">
        <f>MAX(0,BL382-AJ382)</f>
        <v/>
      </c>
      <c r="CA382" s="191">
        <f>MAX(0,BM382-AK382)</f>
        <v/>
      </c>
      <c r="CB382" s="192">
        <f>MAX(0,BN382-AL382)</f>
        <v/>
      </c>
    </row>
    <row r="383">
      <c r="A383" s="64" t="inlineStr">
        <is>
          <t>47895365000195</t>
        </is>
      </c>
      <c r="B383" s="57" t="inlineStr">
        <is>
          <t>VIVIANE CRISTINA CASONATO BORGES - ME</t>
        </is>
      </c>
      <c r="C383" s="57" t="inlineStr">
        <is>
          <t>SEM GRUPO</t>
        </is>
      </c>
      <c r="D383" s="61" t="inlineStr">
        <is>
          <t>LARISSA PADILHA</t>
        </is>
      </c>
      <c r="E383" s="30" t="inlineStr">
        <is>
          <t>.</t>
        </is>
      </c>
      <c r="F383" s="63" t="inlineStr"/>
      <c r="G383" s="179" t="inlineStr"/>
      <c r="H383" s="57" t="inlineStr"/>
      <c r="I383" s="57" t="inlineStr"/>
      <c r="J383" s="61" t="inlineStr"/>
      <c r="K383" s="30" t="inlineStr">
        <is>
          <t>.</t>
        </is>
      </c>
      <c r="L383" s="180" t="n">
        <v>2394.42</v>
      </c>
      <c r="M383" s="181" t="n">
        <v>168.26</v>
      </c>
      <c r="N383" s="181" t="n">
        <v>175.83</v>
      </c>
      <c r="O383" s="181" t="n">
        <v>180.07</v>
      </c>
      <c r="P383" s="181" t="n">
        <v>184.76</v>
      </c>
      <c r="Q383" s="181" t="n">
        <v>190.81</v>
      </c>
      <c r="R383" s="181" t="n">
        <v>195.8</v>
      </c>
      <c r="S383" s="181" t="n">
        <v>203.37</v>
      </c>
      <c r="T383" s="181" t="n">
        <v>208.36</v>
      </c>
      <c r="U383" s="181" t="n">
        <v>213.05</v>
      </c>
      <c r="V383" s="181" t="n">
        <v>218.35</v>
      </c>
      <c r="W383" s="181" t="n">
        <v>224.1</v>
      </c>
      <c r="X383" s="182" t="n">
        <v>231.66</v>
      </c>
      <c r="Y383" s="183" t="inlineStr">
        <is>
          <t>.</t>
        </is>
      </c>
      <c r="Z383" s="184">
        <f>SUM(AA383:AL383)</f>
        <v/>
      </c>
      <c r="AA383" s="185" t="n">
        <v>0</v>
      </c>
      <c r="AB383" s="185" t="n">
        <v>0</v>
      </c>
      <c r="AC383" s="185" t="n">
        <v>0</v>
      </c>
      <c r="AD383" s="185" t="n">
        <v>0</v>
      </c>
      <c r="AE383" s="185" t="n">
        <v>0</v>
      </c>
      <c r="AF383" s="185" t="n">
        <v>0</v>
      </c>
      <c r="AG383" s="185" t="n">
        <v>0</v>
      </c>
      <c r="AH383" s="185" t="n">
        <v>0</v>
      </c>
      <c r="AI383" s="185" t="n">
        <v>0</v>
      </c>
      <c r="AJ383" s="185" t="n">
        <v>0</v>
      </c>
      <c r="AK383" s="185" t="n">
        <v>0</v>
      </c>
      <c r="AL383" s="186" t="n">
        <v>1055.29</v>
      </c>
      <c r="AM383" s="30" t="inlineStr">
        <is>
          <t>.</t>
        </is>
      </c>
      <c r="AN383" s="187">
        <f>IF(L383=0,0,Z383/L383)</f>
        <v/>
      </c>
      <c r="AO383" s="57">
        <f>IF(AN383&gt;=1,"🟢",IF(AN383&gt;=0.7,"🟡",IF(AN383&gt;=0.4,"🟠","🔴")))</f>
        <v/>
      </c>
      <c r="AP383" s="185">
        <f>L383-Z383</f>
        <v/>
      </c>
      <c r="AQ383" s="55">
        <f>RANK(Z383,$Z$4:$Z$503,0)</f>
        <v/>
      </c>
      <c r="AR383" s="39" t="inlineStr">
        <is>
          <t>.</t>
        </is>
      </c>
      <c r="AS383" s="27" t="n"/>
      <c r="AT383" s="27" t="n"/>
      <c r="AU383" s="27" t="n"/>
      <c r="AV383" s="27" t="n"/>
      <c r="AW383" s="27" t="n"/>
      <c r="AX383" s="27" t="n"/>
      <c r="AY383" s="204" t="n"/>
      <c r="AZ383" s="204" t="n"/>
      <c r="BA383" s="38" t="inlineStr">
        <is>
          <t>.</t>
        </is>
      </c>
      <c r="BB383" s="190">
        <f>SUM(BC383:BN383)</f>
        <v/>
      </c>
      <c r="BC383" s="191">
        <f>L383*0.0702730030</f>
        <v/>
      </c>
      <c r="BD383" s="191">
        <f>L383*0.0734327604</f>
        <v/>
      </c>
      <c r="BE383" s="191">
        <f>L383*0.0752022245</f>
        <v/>
      </c>
      <c r="BF383" s="191">
        <f>L383*0.0771612740</f>
        <v/>
      </c>
      <c r="BG383" s="191">
        <f>L383*0.0796890799</f>
        <v/>
      </c>
      <c r="BH383" s="191">
        <f>L383*0.0817745197</f>
        <v/>
      </c>
      <c r="BI383" s="191">
        <f>L383*0.0849342770</f>
        <v/>
      </c>
      <c r="BJ383" s="191">
        <f>L383*0.0870197169</f>
        <v/>
      </c>
      <c r="BK383" s="191">
        <f>L383*0.0889787664</f>
        <v/>
      </c>
      <c r="BL383" s="191">
        <f>L383*0.0911905966</f>
        <v/>
      </c>
      <c r="BM383" s="191">
        <f>L383*0.0935920121</f>
        <v/>
      </c>
      <c r="BN383" s="192">
        <f>L383*0.0967517695</f>
        <v/>
      </c>
      <c r="BO383" s="36" t="inlineStr">
        <is>
          <t>.</t>
        </is>
      </c>
      <c r="BP383" s="193">
        <f>SUM(BQ383:CB383)</f>
        <v/>
      </c>
      <c r="BQ383" s="191">
        <f>MAX(0,BC383-AA383)</f>
        <v/>
      </c>
      <c r="BR383" s="191">
        <f>MAX(0,BD383-AB383)</f>
        <v/>
      </c>
      <c r="BS383" s="191">
        <f>MAX(0,BE383-AC383)</f>
        <v/>
      </c>
      <c r="BT383" s="191">
        <f>MAX(0,BF383-AD383)</f>
        <v/>
      </c>
      <c r="BU383" s="191">
        <f>MAX(0,BG383-AE383)</f>
        <v/>
      </c>
      <c r="BV383" s="191">
        <f>MAX(0,BH383-AF383)</f>
        <v/>
      </c>
      <c r="BW383" s="191">
        <f>MAX(0,BI383-AG383)</f>
        <v/>
      </c>
      <c r="BX383" s="191">
        <f>MAX(0,BJ383-AH383)</f>
        <v/>
      </c>
      <c r="BY383" s="191">
        <f>MAX(0,BK383-AI383)</f>
        <v/>
      </c>
      <c r="BZ383" s="191">
        <f>MAX(0,BL383-AJ383)</f>
        <v/>
      </c>
      <c r="CA383" s="191">
        <f>MAX(0,BM383-AK383)</f>
        <v/>
      </c>
      <c r="CB383" s="192">
        <f>MAX(0,BN383-AL383)</f>
        <v/>
      </c>
    </row>
    <row r="384">
      <c r="A384" s="64" t="inlineStr">
        <is>
          <t>13975801000114</t>
        </is>
      </c>
      <c r="B384" s="57" t="inlineStr">
        <is>
          <t>TERRA DIVINA COMERCIO DE ALIMENTOS EIREL</t>
        </is>
      </c>
      <c r="C384" s="57" t="inlineStr">
        <is>
          <t>DIVINA TERRA</t>
        </is>
      </c>
      <c r="D384" s="61" t="inlineStr">
        <is>
          <t>DAIANE STAVICKI</t>
        </is>
      </c>
      <c r="E384" s="30" t="inlineStr">
        <is>
          <t>.</t>
        </is>
      </c>
      <c r="F384" s="63" t="n">
        <v>85</v>
      </c>
      <c r="G384" s="179" t="n">
        <v>0.1</v>
      </c>
      <c r="H384" s="57" t="inlineStr">
        <is>
          <t>🔴 VERMELHO</t>
        </is>
      </c>
      <c r="I384" s="57" t="inlineStr">
        <is>
          <t>POSITIVAÇÃO</t>
        </is>
      </c>
      <c r="J384" s="61" t="inlineStr">
        <is>
          <t>Aumentar frequência + Expandir base</t>
        </is>
      </c>
      <c r="K384" s="30" t="inlineStr">
        <is>
          <t>.</t>
        </is>
      </c>
      <c r="L384" s="180" t="n">
        <v>2388.75</v>
      </c>
      <c r="M384" s="181" t="n">
        <v>167.86</v>
      </c>
      <c r="N384" s="181" t="n">
        <v>175.41</v>
      </c>
      <c r="O384" s="181" t="n">
        <v>179.64</v>
      </c>
      <c r="P384" s="181" t="n">
        <v>184.32</v>
      </c>
      <c r="Q384" s="181" t="n">
        <v>190.36</v>
      </c>
      <c r="R384" s="181" t="n">
        <v>195.34</v>
      </c>
      <c r="S384" s="181" t="n">
        <v>202.89</v>
      </c>
      <c r="T384" s="181" t="n">
        <v>207.87</v>
      </c>
      <c r="U384" s="181" t="n">
        <v>212.55</v>
      </c>
      <c r="V384" s="181" t="n">
        <v>217.83</v>
      </c>
      <c r="W384" s="181" t="n">
        <v>223.57</v>
      </c>
      <c r="X384" s="182" t="n">
        <v>231.11</v>
      </c>
      <c r="Y384" s="183" t="inlineStr">
        <is>
          <t>.</t>
        </is>
      </c>
      <c r="Z384" s="184">
        <f>SUM(AA384:AL384)</f>
        <v/>
      </c>
      <c r="AA384" s="185" t="n">
        <v>0</v>
      </c>
      <c r="AB384" s="185" t="n">
        <v>0</v>
      </c>
      <c r="AC384" s="185" t="n">
        <v>0</v>
      </c>
      <c r="AD384" s="185" t="n">
        <v>0</v>
      </c>
      <c r="AE384" s="185" t="n">
        <v>0</v>
      </c>
      <c r="AF384" s="185" t="n">
        <v>0</v>
      </c>
      <c r="AG384" s="185" t="n">
        <v>0</v>
      </c>
      <c r="AH384" s="185" t="n">
        <v>0</v>
      </c>
      <c r="AI384" s="185" t="n">
        <v>1066.75</v>
      </c>
      <c r="AJ384" s="185" t="n">
        <v>0</v>
      </c>
      <c r="AK384" s="185" t="n">
        <v>2883.04</v>
      </c>
      <c r="AL384" s="186" t="n">
        <v>0</v>
      </c>
      <c r="AM384" s="30" t="inlineStr">
        <is>
          <t>.</t>
        </is>
      </c>
      <c r="AN384" s="187">
        <f>IF(L384=0,0,Z384/L384)</f>
        <v/>
      </c>
      <c r="AO384" s="57">
        <f>IF(AN384&gt;=1,"🟢",IF(AN384&gt;=0.7,"🟡",IF(AN384&gt;=0.4,"🟠","🔴")))</f>
        <v/>
      </c>
      <c r="AP384" s="185">
        <f>L384-Z384</f>
        <v/>
      </c>
      <c r="AQ384" s="55">
        <f>RANK(Z384,$Z$4:$Z$503,0)</f>
        <v/>
      </c>
      <c r="AR384" s="39" t="inlineStr">
        <is>
          <t>.</t>
        </is>
      </c>
      <c r="AS384" s="27" t="n"/>
      <c r="AT384" s="27" t="n"/>
      <c r="AU384" s="27" t="n"/>
      <c r="AV384" s="27" t="n"/>
      <c r="AW384" s="27" t="n"/>
      <c r="AX384" s="27" t="n"/>
      <c r="AY384" s="204" t="n"/>
      <c r="AZ384" s="204" t="n"/>
      <c r="BA384" s="38" t="inlineStr">
        <is>
          <t>.</t>
        </is>
      </c>
      <c r="BB384" s="190">
        <f>SUM(BC384:BN384)</f>
        <v/>
      </c>
      <c r="BC384" s="191">
        <f>L384*0.0702730030</f>
        <v/>
      </c>
      <c r="BD384" s="191">
        <f>L384*0.0734327604</f>
        <v/>
      </c>
      <c r="BE384" s="191">
        <f>L384*0.0752022245</f>
        <v/>
      </c>
      <c r="BF384" s="191">
        <f>L384*0.0771612740</f>
        <v/>
      </c>
      <c r="BG384" s="191">
        <f>L384*0.0796890799</f>
        <v/>
      </c>
      <c r="BH384" s="191">
        <f>L384*0.0817745197</f>
        <v/>
      </c>
      <c r="BI384" s="191">
        <f>L384*0.0849342770</f>
        <v/>
      </c>
      <c r="BJ384" s="191">
        <f>L384*0.0870197169</f>
        <v/>
      </c>
      <c r="BK384" s="191">
        <f>L384*0.0889787664</f>
        <v/>
      </c>
      <c r="BL384" s="191">
        <f>L384*0.0911905966</f>
        <v/>
      </c>
      <c r="BM384" s="191">
        <f>L384*0.0935920121</f>
        <v/>
      </c>
      <c r="BN384" s="192">
        <f>L384*0.0967517695</f>
        <v/>
      </c>
      <c r="BO384" s="36" t="inlineStr">
        <is>
          <t>.</t>
        </is>
      </c>
      <c r="BP384" s="193">
        <f>SUM(BQ384:CB384)</f>
        <v/>
      </c>
      <c r="BQ384" s="191">
        <f>MAX(0,BC384-AA384)</f>
        <v/>
      </c>
      <c r="BR384" s="191">
        <f>MAX(0,BD384-AB384)</f>
        <v/>
      </c>
      <c r="BS384" s="191">
        <f>MAX(0,BE384-AC384)</f>
        <v/>
      </c>
      <c r="BT384" s="191">
        <f>MAX(0,BF384-AD384)</f>
        <v/>
      </c>
      <c r="BU384" s="191">
        <f>MAX(0,BG384-AE384)</f>
        <v/>
      </c>
      <c r="BV384" s="191">
        <f>MAX(0,BH384-AF384)</f>
        <v/>
      </c>
      <c r="BW384" s="191">
        <f>MAX(0,BI384-AG384)</f>
        <v/>
      </c>
      <c r="BX384" s="191">
        <f>MAX(0,BJ384-AH384)</f>
        <v/>
      </c>
      <c r="BY384" s="191">
        <f>MAX(0,BK384-AI384)</f>
        <v/>
      </c>
      <c r="BZ384" s="191">
        <f>MAX(0,BL384-AJ384)</f>
        <v/>
      </c>
      <c r="CA384" s="191">
        <f>MAX(0,BM384-AK384)</f>
        <v/>
      </c>
      <c r="CB384" s="192">
        <f>MAX(0,BN384-AL384)</f>
        <v/>
      </c>
    </row>
    <row r="385">
      <c r="A385" s="64" t="inlineStr">
        <is>
          <t>37790248000103</t>
        </is>
      </c>
      <c r="B385" s="57" t="inlineStr">
        <is>
          <t>MS COMERCIO DE PRODUTOS NATURAIS LTDA -M</t>
        </is>
      </c>
      <c r="C385" s="57" t="inlineStr">
        <is>
          <t>SEM GRUPO</t>
        </is>
      </c>
      <c r="D385" s="61" t="inlineStr">
        <is>
          <t>HEMANUELE DITZEL (MANU)</t>
        </is>
      </c>
      <c r="E385" s="30" t="inlineStr">
        <is>
          <t>.</t>
        </is>
      </c>
      <c r="F385" s="63" t="inlineStr"/>
      <c r="G385" s="179" t="inlineStr"/>
      <c r="H385" s="57" t="inlineStr"/>
      <c r="I385" s="57" t="inlineStr"/>
      <c r="J385" s="61" t="inlineStr"/>
      <c r="K385" s="30" t="inlineStr">
        <is>
          <t>.</t>
        </is>
      </c>
      <c r="L385" s="180" t="n">
        <v>2385.47</v>
      </c>
      <c r="M385" s="181" t="n">
        <v>167.63</v>
      </c>
      <c r="N385" s="181" t="n">
        <v>175.17</v>
      </c>
      <c r="O385" s="181" t="n">
        <v>179.39</v>
      </c>
      <c r="P385" s="181" t="n">
        <v>184.07</v>
      </c>
      <c r="Q385" s="181" t="n">
        <v>190.1</v>
      </c>
      <c r="R385" s="181" t="n">
        <v>195.07</v>
      </c>
      <c r="S385" s="181" t="n">
        <v>202.61</v>
      </c>
      <c r="T385" s="181" t="n">
        <v>207.58</v>
      </c>
      <c r="U385" s="181" t="n">
        <v>212.26</v>
      </c>
      <c r="V385" s="181" t="n">
        <v>217.53</v>
      </c>
      <c r="W385" s="181" t="n">
        <v>223.26</v>
      </c>
      <c r="X385" s="182" t="n">
        <v>230.8</v>
      </c>
      <c r="Y385" s="183" t="inlineStr">
        <is>
          <t>.</t>
        </is>
      </c>
      <c r="Z385" s="184">
        <f>SUM(AA385:AL385)</f>
        <v/>
      </c>
      <c r="AA385" s="185" t="n">
        <v>0</v>
      </c>
      <c r="AB385" s="185" t="n">
        <v>0</v>
      </c>
      <c r="AC385" s="185" t="n">
        <v>0</v>
      </c>
      <c r="AD385" s="185" t="n">
        <v>0</v>
      </c>
      <c r="AE385" s="185" t="n">
        <v>0</v>
      </c>
      <c r="AF385" s="185" t="n">
        <v>0</v>
      </c>
      <c r="AG385" s="185" t="n">
        <v>0</v>
      </c>
      <c r="AH385" s="185" t="n">
        <v>0</v>
      </c>
      <c r="AI385" s="185" t="n">
        <v>1080.54</v>
      </c>
      <c r="AJ385" s="185" t="n">
        <v>0</v>
      </c>
      <c r="AK385" s="185" t="n">
        <v>0</v>
      </c>
      <c r="AL385" s="186" t="n">
        <v>0</v>
      </c>
      <c r="AM385" s="30" t="inlineStr">
        <is>
          <t>.</t>
        </is>
      </c>
      <c r="AN385" s="187">
        <f>IF(L385=0,0,Z385/L385)</f>
        <v/>
      </c>
      <c r="AO385" s="57">
        <f>IF(AN385&gt;=1,"🟢",IF(AN385&gt;=0.7,"🟡",IF(AN385&gt;=0.4,"🟠","🔴")))</f>
        <v/>
      </c>
      <c r="AP385" s="185">
        <f>L385-Z385</f>
        <v/>
      </c>
      <c r="AQ385" s="55">
        <f>RANK(Z385,$Z$4:$Z$503,0)</f>
        <v/>
      </c>
      <c r="AR385" s="39" t="inlineStr">
        <is>
          <t>.</t>
        </is>
      </c>
      <c r="AS385" s="27" t="n"/>
      <c r="AT385" s="27" t="n"/>
      <c r="AU385" s="27" t="n"/>
      <c r="AV385" s="27" t="n"/>
      <c r="AW385" s="27" t="n"/>
      <c r="AX385" s="27" t="n"/>
      <c r="AY385" s="204" t="n"/>
      <c r="AZ385" s="204" t="n"/>
      <c r="BA385" s="38" t="inlineStr">
        <is>
          <t>.</t>
        </is>
      </c>
      <c r="BB385" s="190">
        <f>SUM(BC385:BN385)</f>
        <v/>
      </c>
      <c r="BC385" s="191">
        <f>L385*0.0702730030</f>
        <v/>
      </c>
      <c r="BD385" s="191">
        <f>L385*0.0734327604</f>
        <v/>
      </c>
      <c r="BE385" s="191">
        <f>L385*0.0752022245</f>
        <v/>
      </c>
      <c r="BF385" s="191">
        <f>L385*0.0771612740</f>
        <v/>
      </c>
      <c r="BG385" s="191">
        <f>L385*0.0796890799</f>
        <v/>
      </c>
      <c r="BH385" s="191">
        <f>L385*0.0817745197</f>
        <v/>
      </c>
      <c r="BI385" s="191">
        <f>L385*0.0849342770</f>
        <v/>
      </c>
      <c r="BJ385" s="191">
        <f>L385*0.0870197169</f>
        <v/>
      </c>
      <c r="BK385" s="191">
        <f>L385*0.0889787664</f>
        <v/>
      </c>
      <c r="BL385" s="191">
        <f>L385*0.0911905966</f>
        <v/>
      </c>
      <c r="BM385" s="191">
        <f>L385*0.0935920121</f>
        <v/>
      </c>
      <c r="BN385" s="192">
        <f>L385*0.0967517695</f>
        <v/>
      </c>
      <c r="BO385" s="36" t="inlineStr">
        <is>
          <t>.</t>
        </is>
      </c>
      <c r="BP385" s="193">
        <f>SUM(BQ385:CB385)</f>
        <v/>
      </c>
      <c r="BQ385" s="191">
        <f>MAX(0,BC385-AA385)</f>
        <v/>
      </c>
      <c r="BR385" s="191">
        <f>MAX(0,BD385-AB385)</f>
        <v/>
      </c>
      <c r="BS385" s="191">
        <f>MAX(0,BE385-AC385)</f>
        <v/>
      </c>
      <c r="BT385" s="191">
        <f>MAX(0,BF385-AD385)</f>
        <v/>
      </c>
      <c r="BU385" s="191">
        <f>MAX(0,BG385-AE385)</f>
        <v/>
      </c>
      <c r="BV385" s="191">
        <f>MAX(0,BH385-AF385)</f>
        <v/>
      </c>
      <c r="BW385" s="191">
        <f>MAX(0,BI385-AG385)</f>
        <v/>
      </c>
      <c r="BX385" s="191">
        <f>MAX(0,BJ385-AH385)</f>
        <v/>
      </c>
      <c r="BY385" s="191">
        <f>MAX(0,BK385-AI385)</f>
        <v/>
      </c>
      <c r="BZ385" s="191">
        <f>MAX(0,BL385-AJ385)</f>
        <v/>
      </c>
      <c r="CA385" s="191">
        <f>MAX(0,BM385-AK385)</f>
        <v/>
      </c>
      <c r="CB385" s="192">
        <f>MAX(0,BN385-AL385)</f>
        <v/>
      </c>
    </row>
    <row r="386">
      <c r="A386" s="64" t="inlineStr">
        <is>
          <t>22081589000132</t>
        </is>
      </c>
      <c r="B386" s="57" t="inlineStr">
        <is>
          <t>SOUZA &amp; FERREIRA COMERCIO DE PRODUTOS NA</t>
        </is>
      </c>
      <c r="C386" s="57" t="inlineStr">
        <is>
          <t>PROSAUDE</t>
        </is>
      </c>
      <c r="D386" s="61" t="inlineStr">
        <is>
          <t>LARISSA PADILHA</t>
        </is>
      </c>
      <c r="E386" s="30" t="inlineStr">
        <is>
          <t>.</t>
        </is>
      </c>
      <c r="F386" s="63" t="inlineStr"/>
      <c r="G386" s="179" t="inlineStr"/>
      <c r="H386" s="57" t="inlineStr"/>
      <c r="I386" s="57" t="inlineStr"/>
      <c r="J386" s="61" t="inlineStr"/>
      <c r="K386" s="30" t="inlineStr">
        <is>
          <t>.</t>
        </is>
      </c>
      <c r="L386" s="180" t="n">
        <v>2371.87</v>
      </c>
      <c r="M386" s="181" t="n">
        <v>166.68</v>
      </c>
      <c r="N386" s="181" t="n">
        <v>174.17</v>
      </c>
      <c r="O386" s="181" t="n">
        <v>178.37</v>
      </c>
      <c r="P386" s="181" t="n">
        <v>183.02</v>
      </c>
      <c r="Q386" s="181" t="n">
        <v>189.01</v>
      </c>
      <c r="R386" s="181" t="n">
        <v>193.96</v>
      </c>
      <c r="S386" s="181" t="n">
        <v>201.45</v>
      </c>
      <c r="T386" s="181" t="n">
        <v>206.4</v>
      </c>
      <c r="U386" s="181" t="n">
        <v>211.05</v>
      </c>
      <c r="V386" s="181" t="n">
        <v>216.29</v>
      </c>
      <c r="W386" s="181" t="n">
        <v>221.99</v>
      </c>
      <c r="X386" s="182" t="n">
        <v>229.48</v>
      </c>
      <c r="Y386" s="183" t="inlineStr">
        <is>
          <t>.</t>
        </is>
      </c>
      <c r="Z386" s="184">
        <f>SUM(AA386:AL386)</f>
        <v/>
      </c>
      <c r="AA386" s="185" t="n">
        <v>0</v>
      </c>
      <c r="AB386" s="185" t="n">
        <v>0</v>
      </c>
      <c r="AC386" s="185" t="n">
        <v>0</v>
      </c>
      <c r="AD386" s="185" t="n">
        <v>841</v>
      </c>
      <c r="AE386" s="185" t="n">
        <v>0</v>
      </c>
      <c r="AF386" s="185" t="n">
        <v>0</v>
      </c>
      <c r="AG386" s="185" t="n">
        <v>0</v>
      </c>
      <c r="AH386" s="185" t="n">
        <v>0</v>
      </c>
      <c r="AI386" s="185" t="n">
        <v>0</v>
      </c>
      <c r="AJ386" s="185" t="n">
        <v>0</v>
      </c>
      <c r="AK386" s="185" t="n">
        <v>0</v>
      </c>
      <c r="AL386" s="186" t="n">
        <v>0</v>
      </c>
      <c r="AM386" s="30" t="inlineStr">
        <is>
          <t>.</t>
        </is>
      </c>
      <c r="AN386" s="187">
        <f>IF(L386=0,0,Z386/L386)</f>
        <v/>
      </c>
      <c r="AO386" s="57">
        <f>IF(AN386&gt;=1,"🟢",IF(AN386&gt;=0.7,"🟡",IF(AN386&gt;=0.4,"🟠","🔴")))</f>
        <v/>
      </c>
      <c r="AP386" s="185">
        <f>L386-Z386</f>
        <v/>
      </c>
      <c r="AQ386" s="55">
        <f>RANK(Z386,$Z$4:$Z$503,0)</f>
        <v/>
      </c>
      <c r="AR386" s="39" t="inlineStr">
        <is>
          <t>.</t>
        </is>
      </c>
      <c r="AS386" s="27" t="n"/>
      <c r="AT386" s="27" t="n"/>
      <c r="AU386" s="27" t="n"/>
      <c r="AV386" s="27" t="n"/>
      <c r="AW386" s="27" t="n"/>
      <c r="AX386" s="27" t="n"/>
      <c r="AY386" s="204" t="n"/>
      <c r="AZ386" s="204" t="n"/>
      <c r="BA386" s="38" t="inlineStr">
        <is>
          <t>.</t>
        </is>
      </c>
      <c r="BB386" s="190">
        <f>SUM(BC386:BN386)</f>
        <v/>
      </c>
      <c r="BC386" s="191">
        <f>L386*0.0702730030</f>
        <v/>
      </c>
      <c r="BD386" s="191">
        <f>L386*0.0734327604</f>
        <v/>
      </c>
      <c r="BE386" s="191">
        <f>L386*0.0752022245</f>
        <v/>
      </c>
      <c r="BF386" s="191">
        <f>L386*0.0771612740</f>
        <v/>
      </c>
      <c r="BG386" s="191">
        <f>L386*0.0796890799</f>
        <v/>
      </c>
      <c r="BH386" s="191">
        <f>L386*0.0817745197</f>
        <v/>
      </c>
      <c r="BI386" s="191">
        <f>L386*0.0849342770</f>
        <v/>
      </c>
      <c r="BJ386" s="191">
        <f>L386*0.0870197169</f>
        <v/>
      </c>
      <c r="BK386" s="191">
        <f>L386*0.0889787664</f>
        <v/>
      </c>
      <c r="BL386" s="191">
        <f>L386*0.0911905966</f>
        <v/>
      </c>
      <c r="BM386" s="191">
        <f>L386*0.0935920121</f>
        <v/>
      </c>
      <c r="BN386" s="192">
        <f>L386*0.0967517695</f>
        <v/>
      </c>
      <c r="BO386" s="36" t="inlineStr">
        <is>
          <t>.</t>
        </is>
      </c>
      <c r="BP386" s="193">
        <f>SUM(BQ386:CB386)</f>
        <v/>
      </c>
      <c r="BQ386" s="191">
        <f>MAX(0,BC386-AA386)</f>
        <v/>
      </c>
      <c r="BR386" s="191">
        <f>MAX(0,BD386-AB386)</f>
        <v/>
      </c>
      <c r="BS386" s="191">
        <f>MAX(0,BE386-AC386)</f>
        <v/>
      </c>
      <c r="BT386" s="191">
        <f>MAX(0,BF386-AD386)</f>
        <v/>
      </c>
      <c r="BU386" s="191">
        <f>MAX(0,BG386-AE386)</f>
        <v/>
      </c>
      <c r="BV386" s="191">
        <f>MAX(0,BH386-AF386)</f>
        <v/>
      </c>
      <c r="BW386" s="191">
        <f>MAX(0,BI386-AG386)</f>
        <v/>
      </c>
      <c r="BX386" s="191">
        <f>MAX(0,BJ386-AH386)</f>
        <v/>
      </c>
      <c r="BY386" s="191">
        <f>MAX(0,BK386-AI386)</f>
        <v/>
      </c>
      <c r="BZ386" s="191">
        <f>MAX(0,BL386-AJ386)</f>
        <v/>
      </c>
      <c r="CA386" s="191">
        <f>MAX(0,BM386-AK386)</f>
        <v/>
      </c>
      <c r="CB386" s="192">
        <f>MAX(0,BN386-AL386)</f>
        <v/>
      </c>
    </row>
    <row r="387">
      <c r="A387" s="64" t="inlineStr">
        <is>
          <t>60010307000103</t>
        </is>
      </c>
      <c r="B387" s="57" t="inlineStr">
        <is>
          <t>TORRE FORTE PRODUTOS E ALIMENTOS LTDA- M</t>
        </is>
      </c>
      <c r="C387" s="57" t="inlineStr">
        <is>
          <t>VIDA LEVE</t>
        </is>
      </c>
      <c r="D387" s="61" t="inlineStr">
        <is>
          <t>DAIANE STAVICKI</t>
        </is>
      </c>
      <c r="E387" s="30" t="inlineStr">
        <is>
          <t>.</t>
        </is>
      </c>
      <c r="F387" s="63" t="n">
        <v>81</v>
      </c>
      <c r="G387" s="179" t="n">
        <v>0.08</v>
      </c>
      <c r="H387" s="57" t="inlineStr">
        <is>
          <t>🔴 VERMELHO</t>
        </is>
      </c>
      <c r="I387" s="57" t="inlineStr">
        <is>
          <t>ATIVAÇÃO</t>
        </is>
      </c>
      <c r="J387" s="61" t="inlineStr">
        <is>
          <t>Reativar inativos + Prospectar</t>
        </is>
      </c>
      <c r="K387" s="30" t="inlineStr">
        <is>
          <t>.</t>
        </is>
      </c>
      <c r="L387" s="180" t="n">
        <v>2343.39</v>
      </c>
      <c r="M387" s="181" t="n">
        <v>164.68</v>
      </c>
      <c r="N387" s="181" t="n">
        <v>172.08</v>
      </c>
      <c r="O387" s="181" t="n">
        <v>176.23</v>
      </c>
      <c r="P387" s="181" t="n">
        <v>180.82</v>
      </c>
      <c r="Q387" s="181" t="n">
        <v>186.74</v>
      </c>
      <c r="R387" s="181" t="n">
        <v>191.63</v>
      </c>
      <c r="S387" s="181" t="n">
        <v>199.03</v>
      </c>
      <c r="T387" s="181" t="n">
        <v>203.92</v>
      </c>
      <c r="U387" s="181" t="n">
        <v>208.51</v>
      </c>
      <c r="V387" s="181" t="n">
        <v>213.7</v>
      </c>
      <c r="W387" s="181" t="n">
        <v>219.32</v>
      </c>
      <c r="X387" s="182" t="n">
        <v>226.73</v>
      </c>
      <c r="Y387" s="183" t="inlineStr">
        <is>
          <t>.</t>
        </is>
      </c>
      <c r="Z387" s="184">
        <f>SUM(AA387:AL387)</f>
        <v/>
      </c>
      <c r="AA387" s="185" t="n">
        <v>0</v>
      </c>
      <c r="AB387" s="185" t="n">
        <v>0</v>
      </c>
      <c r="AC387" s="185" t="n">
        <v>0</v>
      </c>
      <c r="AD387" s="185" t="n">
        <v>0</v>
      </c>
      <c r="AE387" s="185" t="n">
        <v>0</v>
      </c>
      <c r="AF387" s="185" t="n">
        <v>0</v>
      </c>
      <c r="AG387" s="185" t="n">
        <v>0</v>
      </c>
      <c r="AH387" s="185" t="n">
        <v>0</v>
      </c>
      <c r="AI387" s="185" t="n">
        <v>0</v>
      </c>
      <c r="AJ387" s="185" t="n">
        <v>1333.07</v>
      </c>
      <c r="AK387" s="185" t="n">
        <v>0</v>
      </c>
      <c r="AL387" s="186" t="n">
        <v>0</v>
      </c>
      <c r="AM387" s="30" t="inlineStr">
        <is>
          <t>.</t>
        </is>
      </c>
      <c r="AN387" s="187">
        <f>IF(L387=0,0,Z387/L387)</f>
        <v/>
      </c>
      <c r="AO387" s="57">
        <f>IF(AN387&gt;=1,"🟢",IF(AN387&gt;=0.7,"🟡",IF(AN387&gt;=0.4,"🟠","🔴")))</f>
        <v/>
      </c>
      <c r="AP387" s="185">
        <f>L387-Z387</f>
        <v/>
      </c>
      <c r="AQ387" s="55">
        <f>RANK(Z387,$Z$4:$Z$503,0)</f>
        <v/>
      </c>
      <c r="AR387" s="39" t="inlineStr">
        <is>
          <t>.</t>
        </is>
      </c>
      <c r="AS387" s="27" t="n"/>
      <c r="AT387" s="27" t="n"/>
      <c r="AU387" s="27" t="n"/>
      <c r="AV387" s="27" t="n"/>
      <c r="AW387" s="27" t="n"/>
      <c r="AX387" s="27" t="n"/>
      <c r="AY387" s="204" t="n"/>
      <c r="AZ387" s="204" t="n"/>
      <c r="BA387" s="38" t="inlineStr">
        <is>
          <t>.</t>
        </is>
      </c>
      <c r="BB387" s="190">
        <f>SUM(BC387:BN387)</f>
        <v/>
      </c>
      <c r="BC387" s="191">
        <f>L387*0.0702730030</f>
        <v/>
      </c>
      <c r="BD387" s="191">
        <f>L387*0.0734327604</f>
        <v/>
      </c>
      <c r="BE387" s="191">
        <f>L387*0.0752022245</f>
        <v/>
      </c>
      <c r="BF387" s="191">
        <f>L387*0.0771612740</f>
        <v/>
      </c>
      <c r="BG387" s="191">
        <f>L387*0.0796890799</f>
        <v/>
      </c>
      <c r="BH387" s="191">
        <f>L387*0.0817745197</f>
        <v/>
      </c>
      <c r="BI387" s="191">
        <f>L387*0.0849342770</f>
        <v/>
      </c>
      <c r="BJ387" s="191">
        <f>L387*0.0870197169</f>
        <v/>
      </c>
      <c r="BK387" s="191">
        <f>L387*0.0889787664</f>
        <v/>
      </c>
      <c r="BL387" s="191">
        <f>L387*0.0911905966</f>
        <v/>
      </c>
      <c r="BM387" s="191">
        <f>L387*0.0935920121</f>
        <v/>
      </c>
      <c r="BN387" s="192">
        <f>L387*0.0967517695</f>
        <v/>
      </c>
      <c r="BO387" s="36" t="inlineStr">
        <is>
          <t>.</t>
        </is>
      </c>
      <c r="BP387" s="193">
        <f>SUM(BQ387:CB387)</f>
        <v/>
      </c>
      <c r="BQ387" s="191">
        <f>MAX(0,BC387-AA387)</f>
        <v/>
      </c>
      <c r="BR387" s="191">
        <f>MAX(0,BD387-AB387)</f>
        <v/>
      </c>
      <c r="BS387" s="191">
        <f>MAX(0,BE387-AC387)</f>
        <v/>
      </c>
      <c r="BT387" s="191">
        <f>MAX(0,BF387-AD387)</f>
        <v/>
      </c>
      <c r="BU387" s="191">
        <f>MAX(0,BG387-AE387)</f>
        <v/>
      </c>
      <c r="BV387" s="191">
        <f>MAX(0,BH387-AF387)</f>
        <v/>
      </c>
      <c r="BW387" s="191">
        <f>MAX(0,BI387-AG387)</f>
        <v/>
      </c>
      <c r="BX387" s="191">
        <f>MAX(0,BJ387-AH387)</f>
        <v/>
      </c>
      <c r="BY387" s="191">
        <f>MAX(0,BK387-AI387)</f>
        <v/>
      </c>
      <c r="BZ387" s="191">
        <f>MAX(0,BL387-AJ387)</f>
        <v/>
      </c>
      <c r="CA387" s="191">
        <f>MAX(0,BM387-AK387)</f>
        <v/>
      </c>
      <c r="CB387" s="192">
        <f>MAX(0,BN387-AL387)</f>
        <v/>
      </c>
    </row>
    <row r="388">
      <c r="A388" s="64" t="inlineStr">
        <is>
          <t>34313930000117</t>
        </is>
      </c>
      <c r="B388" s="57" t="inlineStr">
        <is>
          <t>GAN NUTRICAO LTDA - ME</t>
        </is>
      </c>
      <c r="C388" s="57" t="inlineStr">
        <is>
          <t>FITLAND</t>
        </is>
      </c>
      <c r="D388" s="61" t="inlineStr">
        <is>
          <t>JULIO GADRET</t>
        </is>
      </c>
      <c r="E388" s="30" t="inlineStr">
        <is>
          <t>.</t>
        </is>
      </c>
      <c r="F388" s="63" t="n">
        <v>89</v>
      </c>
      <c r="G388" s="179" t="n">
        <v>0.298</v>
      </c>
      <c r="H388" s="57" t="inlineStr">
        <is>
          <t>🔴 VERMELHO</t>
        </is>
      </c>
      <c r="I388" s="57" t="inlineStr">
        <is>
          <t>POSITIVAÇÃO</t>
        </is>
      </c>
      <c r="J388" s="61" t="inlineStr">
        <is>
          <t>Aumentar frequência + Expandir base</t>
        </is>
      </c>
      <c r="K388" s="30" t="inlineStr">
        <is>
          <t>.</t>
        </is>
      </c>
      <c r="L388" s="180" t="n">
        <v>2340.55</v>
      </c>
      <c r="M388" s="181" t="n">
        <v>164.48</v>
      </c>
      <c r="N388" s="181" t="n">
        <v>171.87</v>
      </c>
      <c r="O388" s="181" t="n">
        <v>176.01</v>
      </c>
      <c r="P388" s="181" t="n">
        <v>180.6</v>
      </c>
      <c r="Q388" s="181" t="n">
        <v>186.52</v>
      </c>
      <c r="R388" s="181" t="n">
        <v>191.4</v>
      </c>
      <c r="S388" s="181" t="n">
        <v>198.79</v>
      </c>
      <c r="T388" s="181" t="n">
        <v>203.67</v>
      </c>
      <c r="U388" s="181" t="n">
        <v>208.26</v>
      </c>
      <c r="V388" s="181" t="n">
        <v>213.44</v>
      </c>
      <c r="W388" s="181" t="n">
        <v>219.06</v>
      </c>
      <c r="X388" s="182" t="n">
        <v>226.45</v>
      </c>
      <c r="Y388" s="183" t="inlineStr">
        <is>
          <t>.</t>
        </is>
      </c>
      <c r="Z388" s="184">
        <f>SUM(AA388:AL388)</f>
        <v/>
      </c>
      <c r="AA388" s="185" t="n">
        <v>0</v>
      </c>
      <c r="AB388" s="185" t="n">
        <v>0</v>
      </c>
      <c r="AC388" s="185" t="n">
        <v>0</v>
      </c>
      <c r="AD388" s="185" t="n">
        <v>0</v>
      </c>
      <c r="AE388" s="185" t="n">
        <v>0</v>
      </c>
      <c r="AF388" s="185" t="n">
        <v>0</v>
      </c>
      <c r="AG388" s="185" t="n">
        <v>0</v>
      </c>
      <c r="AH388" s="185" t="n">
        <v>0</v>
      </c>
      <c r="AI388" s="185" t="n">
        <v>0</v>
      </c>
      <c r="AJ388" s="185" t="n">
        <v>2175.02</v>
      </c>
      <c r="AK388" s="185" t="n">
        <v>0</v>
      </c>
      <c r="AL388" s="186" t="n">
        <v>0</v>
      </c>
      <c r="AM388" s="30" t="inlineStr">
        <is>
          <t>.</t>
        </is>
      </c>
      <c r="AN388" s="187">
        <f>IF(L388=0,0,Z388/L388)</f>
        <v/>
      </c>
      <c r="AO388" s="57">
        <f>IF(AN388&gt;=1,"🟢",IF(AN388&gt;=0.7,"🟡",IF(AN388&gt;=0.4,"🟠","🔴")))</f>
        <v/>
      </c>
      <c r="AP388" s="185">
        <f>L388-Z388</f>
        <v/>
      </c>
      <c r="AQ388" s="55">
        <f>RANK(Z388,$Z$4:$Z$503,0)</f>
        <v/>
      </c>
      <c r="AR388" s="39" t="inlineStr">
        <is>
          <t>.</t>
        </is>
      </c>
      <c r="AS388" s="27" t="n"/>
      <c r="AT388" s="27" t="n"/>
      <c r="AU388" s="27" t="n"/>
      <c r="AV388" s="27" t="n"/>
      <c r="AW388" s="27" t="n"/>
      <c r="AX388" s="27" t="n"/>
      <c r="AY388" s="204" t="n"/>
      <c r="AZ388" s="204" t="n"/>
      <c r="BA388" s="38" t="inlineStr">
        <is>
          <t>.</t>
        </is>
      </c>
      <c r="BB388" s="190">
        <f>SUM(BC388:BN388)</f>
        <v/>
      </c>
      <c r="BC388" s="191">
        <f>L388*0.0702730030</f>
        <v/>
      </c>
      <c r="BD388" s="191">
        <f>L388*0.0734327604</f>
        <v/>
      </c>
      <c r="BE388" s="191">
        <f>L388*0.0752022245</f>
        <v/>
      </c>
      <c r="BF388" s="191">
        <f>L388*0.0771612740</f>
        <v/>
      </c>
      <c r="BG388" s="191">
        <f>L388*0.0796890799</f>
        <v/>
      </c>
      <c r="BH388" s="191">
        <f>L388*0.0817745197</f>
        <v/>
      </c>
      <c r="BI388" s="191">
        <f>L388*0.0849342770</f>
        <v/>
      </c>
      <c r="BJ388" s="191">
        <f>L388*0.0870197169</f>
        <v/>
      </c>
      <c r="BK388" s="191">
        <f>L388*0.0889787664</f>
        <v/>
      </c>
      <c r="BL388" s="191">
        <f>L388*0.0911905966</f>
        <v/>
      </c>
      <c r="BM388" s="191">
        <f>L388*0.0935920121</f>
        <v/>
      </c>
      <c r="BN388" s="192">
        <f>L388*0.0967517695</f>
        <v/>
      </c>
      <c r="BO388" s="36" t="inlineStr">
        <is>
          <t>.</t>
        </is>
      </c>
      <c r="BP388" s="193">
        <f>SUM(BQ388:CB388)</f>
        <v/>
      </c>
      <c r="BQ388" s="191">
        <f>MAX(0,BC388-AA388)</f>
        <v/>
      </c>
      <c r="BR388" s="191">
        <f>MAX(0,BD388-AB388)</f>
        <v/>
      </c>
      <c r="BS388" s="191">
        <f>MAX(0,BE388-AC388)</f>
        <v/>
      </c>
      <c r="BT388" s="191">
        <f>MAX(0,BF388-AD388)</f>
        <v/>
      </c>
      <c r="BU388" s="191">
        <f>MAX(0,BG388-AE388)</f>
        <v/>
      </c>
      <c r="BV388" s="191">
        <f>MAX(0,BH388-AF388)</f>
        <v/>
      </c>
      <c r="BW388" s="191">
        <f>MAX(0,BI388-AG388)</f>
        <v/>
      </c>
      <c r="BX388" s="191">
        <f>MAX(0,BJ388-AH388)</f>
        <v/>
      </c>
      <c r="BY388" s="191">
        <f>MAX(0,BK388-AI388)</f>
        <v/>
      </c>
      <c r="BZ388" s="191">
        <f>MAX(0,BL388-AJ388)</f>
        <v/>
      </c>
      <c r="CA388" s="191">
        <f>MAX(0,BM388-AK388)</f>
        <v/>
      </c>
      <c r="CB388" s="192">
        <f>MAX(0,BN388-AL388)</f>
        <v/>
      </c>
    </row>
    <row r="389">
      <c r="A389" s="64" t="inlineStr">
        <is>
          <t>55168822000178</t>
        </is>
      </c>
      <c r="B389" s="57" t="inlineStr">
        <is>
          <t>55.168.822 VALDECIR ANTONIO SPADA - ME</t>
        </is>
      </c>
      <c r="C389" s="57" t="inlineStr">
        <is>
          <t>SEM GRUPO</t>
        </is>
      </c>
      <c r="D389" s="61" t="inlineStr">
        <is>
          <t>LARISSA PADILHA</t>
        </is>
      </c>
      <c r="E389" s="30" t="inlineStr">
        <is>
          <t>.</t>
        </is>
      </c>
      <c r="F389" s="63" t="inlineStr"/>
      <c r="G389" s="179" t="inlineStr"/>
      <c r="H389" s="57" t="inlineStr"/>
      <c r="I389" s="57" t="inlineStr"/>
      <c r="J389" s="61" t="inlineStr"/>
      <c r="K389" s="30" t="inlineStr">
        <is>
          <t>.</t>
        </is>
      </c>
      <c r="L389" s="180" t="n">
        <v>2338.24</v>
      </c>
      <c r="M389" s="181" t="n">
        <v>164.32</v>
      </c>
      <c r="N389" s="181" t="n">
        <v>171.7</v>
      </c>
      <c r="O389" s="181" t="n">
        <v>175.84</v>
      </c>
      <c r="P389" s="181" t="n">
        <v>180.42</v>
      </c>
      <c r="Q389" s="181" t="n">
        <v>186.33</v>
      </c>
      <c r="R389" s="181" t="n">
        <v>191.21</v>
      </c>
      <c r="S389" s="181" t="n">
        <v>198.6</v>
      </c>
      <c r="T389" s="181" t="n">
        <v>203.47</v>
      </c>
      <c r="U389" s="181" t="n">
        <v>208.05</v>
      </c>
      <c r="V389" s="181" t="n">
        <v>213.23</v>
      </c>
      <c r="W389" s="181" t="n">
        <v>218.84</v>
      </c>
      <c r="X389" s="182" t="n">
        <v>226.23</v>
      </c>
      <c r="Y389" s="183" t="inlineStr">
        <is>
          <t>.</t>
        </is>
      </c>
      <c r="Z389" s="184">
        <f>SUM(AA389:AL389)</f>
        <v/>
      </c>
      <c r="AA389" s="185" t="n">
        <v>0</v>
      </c>
      <c r="AB389" s="185" t="n">
        <v>0</v>
      </c>
      <c r="AC389" s="185" t="n">
        <v>0</v>
      </c>
      <c r="AD389" s="185" t="n">
        <v>0</v>
      </c>
      <c r="AE389" s="185" t="n">
        <v>0</v>
      </c>
      <c r="AF389" s="185" t="n">
        <v>0</v>
      </c>
      <c r="AG389" s="185" t="n">
        <v>0</v>
      </c>
      <c r="AH389" s="185" t="n">
        <v>0</v>
      </c>
      <c r="AI389" s="185" t="n">
        <v>0</v>
      </c>
      <c r="AJ389" s="185" t="n">
        <v>0</v>
      </c>
      <c r="AK389" s="185" t="n">
        <v>1247.27</v>
      </c>
      <c r="AL389" s="186" t="n">
        <v>0</v>
      </c>
      <c r="AM389" s="30" t="inlineStr">
        <is>
          <t>.</t>
        </is>
      </c>
      <c r="AN389" s="187">
        <f>IF(L389=0,0,Z389/L389)</f>
        <v/>
      </c>
      <c r="AO389" s="57">
        <f>IF(AN389&gt;=1,"🟢",IF(AN389&gt;=0.7,"🟡",IF(AN389&gt;=0.4,"🟠","🔴")))</f>
        <v/>
      </c>
      <c r="AP389" s="185">
        <f>L389-Z389</f>
        <v/>
      </c>
      <c r="AQ389" s="55">
        <f>RANK(Z389,$Z$4:$Z$503,0)</f>
        <v/>
      </c>
      <c r="AR389" s="39" t="inlineStr">
        <is>
          <t>.</t>
        </is>
      </c>
      <c r="AS389" s="27" t="n"/>
      <c r="AT389" s="27" t="n"/>
      <c r="AU389" s="27" t="n"/>
      <c r="AV389" s="27" t="n"/>
      <c r="AW389" s="27" t="n"/>
      <c r="AX389" s="27" t="n"/>
      <c r="AY389" s="204" t="n"/>
      <c r="AZ389" s="204" t="n"/>
      <c r="BA389" s="38" t="inlineStr">
        <is>
          <t>.</t>
        </is>
      </c>
      <c r="BB389" s="190">
        <f>SUM(BC389:BN389)</f>
        <v/>
      </c>
      <c r="BC389" s="191">
        <f>L389*0.0702730030</f>
        <v/>
      </c>
      <c r="BD389" s="191">
        <f>L389*0.0734327604</f>
        <v/>
      </c>
      <c r="BE389" s="191">
        <f>L389*0.0752022245</f>
        <v/>
      </c>
      <c r="BF389" s="191">
        <f>L389*0.0771612740</f>
        <v/>
      </c>
      <c r="BG389" s="191">
        <f>L389*0.0796890799</f>
        <v/>
      </c>
      <c r="BH389" s="191">
        <f>L389*0.0817745197</f>
        <v/>
      </c>
      <c r="BI389" s="191">
        <f>L389*0.0849342770</f>
        <v/>
      </c>
      <c r="BJ389" s="191">
        <f>L389*0.0870197169</f>
        <v/>
      </c>
      <c r="BK389" s="191">
        <f>L389*0.0889787664</f>
        <v/>
      </c>
      <c r="BL389" s="191">
        <f>L389*0.0911905966</f>
        <v/>
      </c>
      <c r="BM389" s="191">
        <f>L389*0.0935920121</f>
        <v/>
      </c>
      <c r="BN389" s="192">
        <f>L389*0.0967517695</f>
        <v/>
      </c>
      <c r="BO389" s="36" t="inlineStr">
        <is>
          <t>.</t>
        </is>
      </c>
      <c r="BP389" s="193">
        <f>SUM(BQ389:CB389)</f>
        <v/>
      </c>
      <c r="BQ389" s="191">
        <f>MAX(0,BC389-AA389)</f>
        <v/>
      </c>
      <c r="BR389" s="191">
        <f>MAX(0,BD389-AB389)</f>
        <v/>
      </c>
      <c r="BS389" s="191">
        <f>MAX(0,BE389-AC389)</f>
        <v/>
      </c>
      <c r="BT389" s="191">
        <f>MAX(0,BF389-AD389)</f>
        <v/>
      </c>
      <c r="BU389" s="191">
        <f>MAX(0,BG389-AE389)</f>
        <v/>
      </c>
      <c r="BV389" s="191">
        <f>MAX(0,BH389-AF389)</f>
        <v/>
      </c>
      <c r="BW389" s="191">
        <f>MAX(0,BI389-AG389)</f>
        <v/>
      </c>
      <c r="BX389" s="191">
        <f>MAX(0,BJ389-AH389)</f>
        <v/>
      </c>
      <c r="BY389" s="191">
        <f>MAX(0,BK389-AI389)</f>
        <v/>
      </c>
      <c r="BZ389" s="191">
        <f>MAX(0,BL389-AJ389)</f>
        <v/>
      </c>
      <c r="CA389" s="191">
        <f>MAX(0,BM389-AK389)</f>
        <v/>
      </c>
      <c r="CB389" s="192">
        <f>MAX(0,BN389-AL389)</f>
        <v/>
      </c>
    </row>
    <row r="390">
      <c r="A390" s="64" t="inlineStr">
        <is>
          <t>60183440000153</t>
        </is>
      </c>
      <c r="B390" s="57" t="inlineStr">
        <is>
          <t>HS NUTRICAO LTDA - ME</t>
        </is>
      </c>
      <c r="C390" s="57" t="inlineStr">
        <is>
          <t>SEM GRUPO</t>
        </is>
      </c>
      <c r="D390" s="61" t="inlineStr">
        <is>
          <t>HEMANUELE DITZEL (MANU)</t>
        </is>
      </c>
      <c r="E390" s="30" t="inlineStr">
        <is>
          <t>.</t>
        </is>
      </c>
      <c r="F390" s="63" t="inlineStr"/>
      <c r="G390" s="179" t="inlineStr"/>
      <c r="H390" s="57" t="inlineStr"/>
      <c r="I390" s="57" t="inlineStr"/>
      <c r="J390" s="61" t="inlineStr"/>
      <c r="K390" s="30" t="inlineStr">
        <is>
          <t>.</t>
        </is>
      </c>
      <c r="L390" s="180" t="n">
        <v>2329.62</v>
      </c>
      <c r="M390" s="181" t="n">
        <v>163.71</v>
      </c>
      <c r="N390" s="181" t="n">
        <v>171.07</v>
      </c>
      <c r="O390" s="181" t="n">
        <v>175.19</v>
      </c>
      <c r="P390" s="181" t="n">
        <v>179.76</v>
      </c>
      <c r="Q390" s="181" t="n">
        <v>185.65</v>
      </c>
      <c r="R390" s="181" t="n">
        <v>190.5</v>
      </c>
      <c r="S390" s="181" t="n">
        <v>197.86</v>
      </c>
      <c r="T390" s="181" t="n">
        <v>202.72</v>
      </c>
      <c r="U390" s="181" t="n">
        <v>207.29</v>
      </c>
      <c r="V390" s="181" t="n">
        <v>212.44</v>
      </c>
      <c r="W390" s="181" t="n">
        <v>218.03</v>
      </c>
      <c r="X390" s="182" t="n">
        <v>225.4</v>
      </c>
      <c r="Y390" s="183" t="inlineStr">
        <is>
          <t>.</t>
        </is>
      </c>
      <c r="Z390" s="184">
        <f>SUM(AA390:AL390)</f>
        <v/>
      </c>
      <c r="AA390" s="185" t="n">
        <v>0</v>
      </c>
      <c r="AB390" s="185" t="n">
        <v>0</v>
      </c>
      <c r="AC390" s="185" t="n">
        <v>0</v>
      </c>
      <c r="AD390" s="185" t="n">
        <v>0</v>
      </c>
      <c r="AE390" s="185" t="n">
        <v>0</v>
      </c>
      <c r="AF390" s="185" t="n">
        <v>0</v>
      </c>
      <c r="AG390" s="185" t="n">
        <v>1181.67</v>
      </c>
      <c r="AH390" s="185" t="n">
        <v>0</v>
      </c>
      <c r="AI390" s="185" t="n">
        <v>0</v>
      </c>
      <c r="AJ390" s="185" t="n">
        <v>0</v>
      </c>
      <c r="AK390" s="185" t="n">
        <v>0</v>
      </c>
      <c r="AL390" s="186" t="n">
        <v>0</v>
      </c>
      <c r="AM390" s="30" t="inlineStr">
        <is>
          <t>.</t>
        </is>
      </c>
      <c r="AN390" s="187">
        <f>IF(L390=0,0,Z390/L390)</f>
        <v/>
      </c>
      <c r="AO390" s="57">
        <f>IF(AN390&gt;=1,"🟢",IF(AN390&gt;=0.7,"🟡",IF(AN390&gt;=0.4,"🟠","🔴")))</f>
        <v/>
      </c>
      <c r="AP390" s="185">
        <f>L390-Z390</f>
        <v/>
      </c>
      <c r="AQ390" s="55">
        <f>RANK(Z390,$Z$4:$Z$503,0)</f>
        <v/>
      </c>
      <c r="AR390" s="39" t="inlineStr">
        <is>
          <t>.</t>
        </is>
      </c>
      <c r="AS390" s="27" t="n"/>
      <c r="AT390" s="27" t="n"/>
      <c r="AU390" s="27" t="n"/>
      <c r="AV390" s="27" t="n"/>
      <c r="AW390" s="27" t="n"/>
      <c r="AX390" s="27" t="n"/>
      <c r="AY390" s="204" t="n"/>
      <c r="AZ390" s="204" t="n"/>
      <c r="BA390" s="38" t="inlineStr">
        <is>
          <t>.</t>
        </is>
      </c>
      <c r="BB390" s="190">
        <f>SUM(BC390:BN390)</f>
        <v/>
      </c>
      <c r="BC390" s="191">
        <f>L390*0.0702730030</f>
        <v/>
      </c>
      <c r="BD390" s="191">
        <f>L390*0.0734327604</f>
        <v/>
      </c>
      <c r="BE390" s="191">
        <f>L390*0.0752022245</f>
        <v/>
      </c>
      <c r="BF390" s="191">
        <f>L390*0.0771612740</f>
        <v/>
      </c>
      <c r="BG390" s="191">
        <f>L390*0.0796890799</f>
        <v/>
      </c>
      <c r="BH390" s="191">
        <f>L390*0.0817745197</f>
        <v/>
      </c>
      <c r="BI390" s="191">
        <f>L390*0.0849342770</f>
        <v/>
      </c>
      <c r="BJ390" s="191">
        <f>L390*0.0870197169</f>
        <v/>
      </c>
      <c r="BK390" s="191">
        <f>L390*0.0889787664</f>
        <v/>
      </c>
      <c r="BL390" s="191">
        <f>L390*0.0911905966</f>
        <v/>
      </c>
      <c r="BM390" s="191">
        <f>L390*0.0935920121</f>
        <v/>
      </c>
      <c r="BN390" s="192">
        <f>L390*0.0967517695</f>
        <v/>
      </c>
      <c r="BO390" s="36" t="inlineStr">
        <is>
          <t>.</t>
        </is>
      </c>
      <c r="BP390" s="193">
        <f>SUM(BQ390:CB390)</f>
        <v/>
      </c>
      <c r="BQ390" s="191">
        <f>MAX(0,BC390-AA390)</f>
        <v/>
      </c>
      <c r="BR390" s="191">
        <f>MAX(0,BD390-AB390)</f>
        <v/>
      </c>
      <c r="BS390" s="191">
        <f>MAX(0,BE390-AC390)</f>
        <v/>
      </c>
      <c r="BT390" s="191">
        <f>MAX(0,BF390-AD390)</f>
        <v/>
      </c>
      <c r="BU390" s="191">
        <f>MAX(0,BG390-AE390)</f>
        <v/>
      </c>
      <c r="BV390" s="191">
        <f>MAX(0,BH390-AF390)</f>
        <v/>
      </c>
      <c r="BW390" s="191">
        <f>MAX(0,BI390-AG390)</f>
        <v/>
      </c>
      <c r="BX390" s="191">
        <f>MAX(0,BJ390-AH390)</f>
        <v/>
      </c>
      <c r="BY390" s="191">
        <f>MAX(0,BK390-AI390)</f>
        <v/>
      </c>
      <c r="BZ390" s="191">
        <f>MAX(0,BL390-AJ390)</f>
        <v/>
      </c>
      <c r="CA390" s="191">
        <f>MAX(0,BM390-AK390)</f>
        <v/>
      </c>
      <c r="CB390" s="192">
        <f>MAX(0,BN390-AL390)</f>
        <v/>
      </c>
    </row>
    <row r="391">
      <c r="A391" s="64" t="inlineStr">
        <is>
          <t>60427099000134</t>
        </is>
      </c>
      <c r="B391" s="57" t="inlineStr">
        <is>
          <t>LIMA FAGUNDES PRODUTOS NATURAIS LTDA- ME</t>
        </is>
      </c>
      <c r="C391" s="57" t="inlineStr">
        <is>
          <t>VIDA LEVE</t>
        </is>
      </c>
      <c r="D391" s="61" t="inlineStr">
        <is>
          <t>DAIANE STAVICKI</t>
        </is>
      </c>
      <c r="E391" s="30" t="inlineStr">
        <is>
          <t>.</t>
        </is>
      </c>
      <c r="F391" s="63" t="n">
        <v>81</v>
      </c>
      <c r="G391" s="179" t="n">
        <v>0.08</v>
      </c>
      <c r="H391" s="57" t="inlineStr">
        <is>
          <t>🔴 VERMELHO</t>
        </is>
      </c>
      <c r="I391" s="57" t="inlineStr">
        <is>
          <t>ATIVAÇÃO</t>
        </is>
      </c>
      <c r="J391" s="61" t="inlineStr">
        <is>
          <t>Reativar inativos + Prospectar</t>
        </is>
      </c>
      <c r="K391" s="30" t="inlineStr">
        <is>
          <t>.</t>
        </is>
      </c>
      <c r="L391" s="180" t="n">
        <v>2310.11</v>
      </c>
      <c r="M391" s="181" t="n">
        <v>162.34</v>
      </c>
      <c r="N391" s="181" t="n">
        <v>169.64</v>
      </c>
      <c r="O391" s="181" t="n">
        <v>173.72</v>
      </c>
      <c r="P391" s="181" t="n">
        <v>178.25</v>
      </c>
      <c r="Q391" s="181" t="n">
        <v>184.09</v>
      </c>
      <c r="R391" s="181" t="n">
        <v>188.91</v>
      </c>
      <c r="S391" s="181" t="n">
        <v>196.21</v>
      </c>
      <c r="T391" s="181" t="n">
        <v>201.02</v>
      </c>
      <c r="U391" s="181" t="n">
        <v>205.55</v>
      </c>
      <c r="V391" s="181" t="n">
        <v>210.66</v>
      </c>
      <c r="W391" s="181" t="n">
        <v>216.21</v>
      </c>
      <c r="X391" s="182" t="n">
        <v>223.51</v>
      </c>
      <c r="Y391" s="183" t="inlineStr">
        <is>
          <t>.</t>
        </is>
      </c>
      <c r="Z391" s="184">
        <f>SUM(AA391:AL391)</f>
        <v/>
      </c>
      <c r="AA391" s="185" t="n">
        <v>0</v>
      </c>
      <c r="AB391" s="185" t="n">
        <v>0</v>
      </c>
      <c r="AC391" s="185" t="n">
        <v>0</v>
      </c>
      <c r="AD391" s="185" t="n">
        <v>0</v>
      </c>
      <c r="AE391" s="185" t="n">
        <v>0</v>
      </c>
      <c r="AF391" s="185" t="n">
        <v>0</v>
      </c>
      <c r="AG391" s="185" t="n">
        <v>0</v>
      </c>
      <c r="AH391" s="185" t="n">
        <v>0</v>
      </c>
      <c r="AI391" s="185" t="n">
        <v>0</v>
      </c>
      <c r="AJ391" s="185" t="n">
        <v>1314.13</v>
      </c>
      <c r="AK391" s="185" t="n">
        <v>0</v>
      </c>
      <c r="AL391" s="186" t="n">
        <v>0</v>
      </c>
      <c r="AM391" s="30" t="inlineStr">
        <is>
          <t>.</t>
        </is>
      </c>
      <c r="AN391" s="187">
        <f>IF(L391=0,0,Z391/L391)</f>
        <v/>
      </c>
      <c r="AO391" s="57">
        <f>IF(AN391&gt;=1,"🟢",IF(AN391&gt;=0.7,"🟡",IF(AN391&gt;=0.4,"🟠","🔴")))</f>
        <v/>
      </c>
      <c r="AP391" s="185">
        <f>L391-Z391</f>
        <v/>
      </c>
      <c r="AQ391" s="55">
        <f>RANK(Z391,$Z$4:$Z$503,0)</f>
        <v/>
      </c>
      <c r="AR391" s="39" t="inlineStr">
        <is>
          <t>.</t>
        </is>
      </c>
      <c r="AS391" s="27" t="n"/>
      <c r="AT391" s="27" t="n"/>
      <c r="AU391" s="27" t="n"/>
      <c r="AV391" s="27" t="n"/>
      <c r="AW391" s="27" t="n"/>
      <c r="AX391" s="27" t="n"/>
      <c r="AY391" s="204" t="n"/>
      <c r="AZ391" s="204" t="n"/>
      <c r="BA391" s="38" t="inlineStr">
        <is>
          <t>.</t>
        </is>
      </c>
      <c r="BB391" s="190">
        <f>SUM(BC391:BN391)</f>
        <v/>
      </c>
      <c r="BC391" s="191">
        <f>L391*0.0702730030</f>
        <v/>
      </c>
      <c r="BD391" s="191">
        <f>L391*0.0734327604</f>
        <v/>
      </c>
      <c r="BE391" s="191">
        <f>L391*0.0752022245</f>
        <v/>
      </c>
      <c r="BF391" s="191">
        <f>L391*0.0771612740</f>
        <v/>
      </c>
      <c r="BG391" s="191">
        <f>L391*0.0796890799</f>
        <v/>
      </c>
      <c r="BH391" s="191">
        <f>L391*0.0817745197</f>
        <v/>
      </c>
      <c r="BI391" s="191">
        <f>L391*0.0849342770</f>
        <v/>
      </c>
      <c r="BJ391" s="191">
        <f>L391*0.0870197169</f>
        <v/>
      </c>
      <c r="BK391" s="191">
        <f>L391*0.0889787664</f>
        <v/>
      </c>
      <c r="BL391" s="191">
        <f>L391*0.0911905966</f>
        <v/>
      </c>
      <c r="BM391" s="191">
        <f>L391*0.0935920121</f>
        <v/>
      </c>
      <c r="BN391" s="192">
        <f>L391*0.0967517695</f>
        <v/>
      </c>
      <c r="BO391" s="36" t="inlineStr">
        <is>
          <t>.</t>
        </is>
      </c>
      <c r="BP391" s="193">
        <f>SUM(BQ391:CB391)</f>
        <v/>
      </c>
      <c r="BQ391" s="191">
        <f>MAX(0,BC391-AA391)</f>
        <v/>
      </c>
      <c r="BR391" s="191">
        <f>MAX(0,BD391-AB391)</f>
        <v/>
      </c>
      <c r="BS391" s="191">
        <f>MAX(0,BE391-AC391)</f>
        <v/>
      </c>
      <c r="BT391" s="191">
        <f>MAX(0,BF391-AD391)</f>
        <v/>
      </c>
      <c r="BU391" s="191">
        <f>MAX(0,BG391-AE391)</f>
        <v/>
      </c>
      <c r="BV391" s="191">
        <f>MAX(0,BH391-AF391)</f>
        <v/>
      </c>
      <c r="BW391" s="191">
        <f>MAX(0,BI391-AG391)</f>
        <v/>
      </c>
      <c r="BX391" s="191">
        <f>MAX(0,BJ391-AH391)</f>
        <v/>
      </c>
      <c r="BY391" s="191">
        <f>MAX(0,BK391-AI391)</f>
        <v/>
      </c>
      <c r="BZ391" s="191">
        <f>MAX(0,BL391-AJ391)</f>
        <v/>
      </c>
      <c r="CA391" s="191">
        <f>MAX(0,BM391-AK391)</f>
        <v/>
      </c>
      <c r="CB391" s="192">
        <f>MAX(0,BN391-AL391)</f>
        <v/>
      </c>
    </row>
    <row r="392">
      <c r="A392" s="64" t="inlineStr">
        <is>
          <t>54487016000108</t>
        </is>
      </c>
      <c r="B392" s="57" t="inlineStr">
        <is>
          <t>54.487.016 JACKELINE RABELO TARGAS LINO-</t>
        </is>
      </c>
      <c r="C392" s="57" t="inlineStr">
        <is>
          <t>SEM GRUPO</t>
        </is>
      </c>
      <c r="D392" s="61" t="inlineStr">
        <is>
          <t>LARISSA PADILHA</t>
        </is>
      </c>
      <c r="E392" s="30" t="inlineStr">
        <is>
          <t>.</t>
        </is>
      </c>
      <c r="F392" s="63" t="inlineStr"/>
      <c r="G392" s="179" t="inlineStr"/>
      <c r="H392" s="57" t="inlineStr"/>
      <c r="I392" s="57" t="inlineStr"/>
      <c r="J392" s="61" t="inlineStr"/>
      <c r="K392" s="30" t="inlineStr">
        <is>
          <t>.</t>
        </is>
      </c>
      <c r="L392" s="180" t="n">
        <v>2297.18</v>
      </c>
      <c r="M392" s="181" t="n">
        <v>161.43</v>
      </c>
      <c r="N392" s="181" t="n">
        <v>168.69</v>
      </c>
      <c r="O392" s="181" t="n">
        <v>172.75</v>
      </c>
      <c r="P392" s="181" t="n">
        <v>177.25</v>
      </c>
      <c r="Q392" s="181" t="n">
        <v>183.06</v>
      </c>
      <c r="R392" s="181" t="n">
        <v>187.85</v>
      </c>
      <c r="S392" s="181" t="n">
        <v>195.11</v>
      </c>
      <c r="T392" s="181" t="n">
        <v>199.9</v>
      </c>
      <c r="U392" s="181" t="n">
        <v>204.4</v>
      </c>
      <c r="V392" s="181" t="n">
        <v>209.48</v>
      </c>
      <c r="W392" s="181" t="n">
        <v>215</v>
      </c>
      <c r="X392" s="182" t="n">
        <v>222.26</v>
      </c>
      <c r="Y392" s="183" t="inlineStr">
        <is>
          <t>.</t>
        </is>
      </c>
      <c r="Z392" s="184">
        <f>SUM(AA392:AL392)</f>
        <v/>
      </c>
      <c r="AA392" s="185" t="n">
        <v>0</v>
      </c>
      <c r="AB392" s="185" t="n">
        <v>0</v>
      </c>
      <c r="AC392" s="185" t="n">
        <v>0</v>
      </c>
      <c r="AD392" s="185" t="n">
        <v>0</v>
      </c>
      <c r="AE392" s="185" t="n">
        <v>0</v>
      </c>
      <c r="AF392" s="185" t="n">
        <v>0</v>
      </c>
      <c r="AG392" s="185" t="n">
        <v>0</v>
      </c>
      <c r="AH392" s="185" t="n">
        <v>0</v>
      </c>
      <c r="AI392" s="185" t="n">
        <v>0</v>
      </c>
      <c r="AJ392" s="185" t="n">
        <v>0</v>
      </c>
      <c r="AK392" s="185" t="n">
        <v>1225.37</v>
      </c>
      <c r="AL392" s="186" t="n">
        <v>0</v>
      </c>
      <c r="AM392" s="30" t="inlineStr">
        <is>
          <t>.</t>
        </is>
      </c>
      <c r="AN392" s="187">
        <f>IF(L392=0,0,Z392/L392)</f>
        <v/>
      </c>
      <c r="AO392" s="57">
        <f>IF(AN392&gt;=1,"🟢",IF(AN392&gt;=0.7,"🟡",IF(AN392&gt;=0.4,"🟠","🔴")))</f>
        <v/>
      </c>
      <c r="AP392" s="185">
        <f>L392-Z392</f>
        <v/>
      </c>
      <c r="AQ392" s="55">
        <f>RANK(Z392,$Z$4:$Z$503,0)</f>
        <v/>
      </c>
      <c r="AR392" s="39" t="inlineStr">
        <is>
          <t>.</t>
        </is>
      </c>
      <c r="AS392" s="27" t="n"/>
      <c r="AT392" s="27" t="n"/>
      <c r="AU392" s="27" t="n"/>
      <c r="AV392" s="27" t="n"/>
      <c r="AW392" s="27" t="n"/>
      <c r="AX392" s="27" t="n"/>
      <c r="AY392" s="204" t="n"/>
      <c r="AZ392" s="204" t="n"/>
      <c r="BA392" s="38" t="inlineStr">
        <is>
          <t>.</t>
        </is>
      </c>
      <c r="BB392" s="190">
        <f>SUM(BC392:BN392)</f>
        <v/>
      </c>
      <c r="BC392" s="191">
        <f>L392*0.0702730030</f>
        <v/>
      </c>
      <c r="BD392" s="191">
        <f>L392*0.0734327604</f>
        <v/>
      </c>
      <c r="BE392" s="191">
        <f>L392*0.0752022245</f>
        <v/>
      </c>
      <c r="BF392" s="191">
        <f>L392*0.0771612740</f>
        <v/>
      </c>
      <c r="BG392" s="191">
        <f>L392*0.0796890799</f>
        <v/>
      </c>
      <c r="BH392" s="191">
        <f>L392*0.0817745197</f>
        <v/>
      </c>
      <c r="BI392" s="191">
        <f>L392*0.0849342770</f>
        <v/>
      </c>
      <c r="BJ392" s="191">
        <f>L392*0.0870197169</f>
        <v/>
      </c>
      <c r="BK392" s="191">
        <f>L392*0.0889787664</f>
        <v/>
      </c>
      <c r="BL392" s="191">
        <f>L392*0.0911905966</f>
        <v/>
      </c>
      <c r="BM392" s="191">
        <f>L392*0.0935920121</f>
        <v/>
      </c>
      <c r="BN392" s="192">
        <f>L392*0.0967517695</f>
        <v/>
      </c>
      <c r="BO392" s="36" t="inlineStr">
        <is>
          <t>.</t>
        </is>
      </c>
      <c r="BP392" s="193">
        <f>SUM(BQ392:CB392)</f>
        <v/>
      </c>
      <c r="BQ392" s="191">
        <f>MAX(0,BC392-AA392)</f>
        <v/>
      </c>
      <c r="BR392" s="191">
        <f>MAX(0,BD392-AB392)</f>
        <v/>
      </c>
      <c r="BS392" s="191">
        <f>MAX(0,BE392-AC392)</f>
        <v/>
      </c>
      <c r="BT392" s="191">
        <f>MAX(0,BF392-AD392)</f>
        <v/>
      </c>
      <c r="BU392" s="191">
        <f>MAX(0,BG392-AE392)</f>
        <v/>
      </c>
      <c r="BV392" s="191">
        <f>MAX(0,BH392-AF392)</f>
        <v/>
      </c>
      <c r="BW392" s="191">
        <f>MAX(0,BI392-AG392)</f>
        <v/>
      </c>
      <c r="BX392" s="191">
        <f>MAX(0,BJ392-AH392)</f>
        <v/>
      </c>
      <c r="BY392" s="191">
        <f>MAX(0,BK392-AI392)</f>
        <v/>
      </c>
      <c r="BZ392" s="191">
        <f>MAX(0,BL392-AJ392)</f>
        <v/>
      </c>
      <c r="CA392" s="191">
        <f>MAX(0,BM392-AK392)</f>
        <v/>
      </c>
      <c r="CB392" s="192">
        <f>MAX(0,BN392-AL392)</f>
        <v/>
      </c>
    </row>
    <row r="393">
      <c r="A393" s="64" t="inlineStr">
        <is>
          <t>21599262000194</t>
        </is>
      </c>
      <c r="B393" s="57" t="inlineStr">
        <is>
          <t>AMELIA SOARES CAZUMBA PERES - ME</t>
        </is>
      </c>
      <c r="C393" s="57" t="inlineStr">
        <is>
          <t>SEM GRUPO</t>
        </is>
      </c>
      <c r="D393" s="61" t="inlineStr">
        <is>
          <t>LARISSA PADILHA</t>
        </is>
      </c>
      <c r="E393" s="30" t="inlineStr">
        <is>
          <t>.</t>
        </is>
      </c>
      <c r="F393" s="63" t="inlineStr"/>
      <c r="G393" s="179" t="inlineStr"/>
      <c r="H393" s="57" t="inlineStr"/>
      <c r="I393" s="57" t="inlineStr"/>
      <c r="J393" s="61" t="inlineStr"/>
      <c r="K393" s="30" t="inlineStr">
        <is>
          <t>.</t>
        </is>
      </c>
      <c r="L393" s="180" t="n">
        <v>2166.35</v>
      </c>
      <c r="M393" s="181" t="n">
        <v>152.24</v>
      </c>
      <c r="N393" s="181" t="n">
        <v>159.08</v>
      </c>
      <c r="O393" s="181" t="n">
        <v>162.91</v>
      </c>
      <c r="P393" s="181" t="n">
        <v>167.16</v>
      </c>
      <c r="Q393" s="181" t="n">
        <v>172.63</v>
      </c>
      <c r="R393" s="181" t="n">
        <v>177.15</v>
      </c>
      <c r="S393" s="181" t="n">
        <v>184</v>
      </c>
      <c r="T393" s="181" t="n">
        <v>188.52</v>
      </c>
      <c r="U393" s="181" t="n">
        <v>192.76</v>
      </c>
      <c r="V393" s="181" t="n">
        <v>197.55</v>
      </c>
      <c r="W393" s="181" t="n">
        <v>202.75</v>
      </c>
      <c r="X393" s="182" t="n">
        <v>209.6</v>
      </c>
      <c r="Y393" s="183" t="inlineStr">
        <is>
          <t>.</t>
        </is>
      </c>
      <c r="Z393" s="184">
        <f>SUM(AA393:AL393)</f>
        <v/>
      </c>
      <c r="AA393" s="185" t="n">
        <v>0</v>
      </c>
      <c r="AB393" s="185" t="n">
        <v>0</v>
      </c>
      <c r="AC393" s="185" t="n">
        <v>0</v>
      </c>
      <c r="AD393" s="185" t="n">
        <v>0</v>
      </c>
      <c r="AE393" s="185" t="n">
        <v>0</v>
      </c>
      <c r="AF393" s="185" t="n">
        <v>0</v>
      </c>
      <c r="AG393" s="185" t="n">
        <v>0</v>
      </c>
      <c r="AH393" s="185" t="n">
        <v>0</v>
      </c>
      <c r="AI393" s="185" t="n">
        <v>0</v>
      </c>
      <c r="AJ393" s="185" t="n">
        <v>0</v>
      </c>
      <c r="AK393" s="185" t="n">
        <v>0</v>
      </c>
      <c r="AL393" s="186" t="n">
        <v>954.77</v>
      </c>
      <c r="AM393" s="30" t="inlineStr">
        <is>
          <t>.</t>
        </is>
      </c>
      <c r="AN393" s="187">
        <f>IF(L393=0,0,Z393/L393)</f>
        <v/>
      </c>
      <c r="AO393" s="57">
        <f>IF(AN393&gt;=1,"🟢",IF(AN393&gt;=0.7,"🟡",IF(AN393&gt;=0.4,"🟠","🔴")))</f>
        <v/>
      </c>
      <c r="AP393" s="185">
        <f>L393-Z393</f>
        <v/>
      </c>
      <c r="AQ393" s="55">
        <f>RANK(Z393,$Z$4:$Z$503,0)</f>
        <v/>
      </c>
      <c r="AR393" s="39" t="inlineStr">
        <is>
          <t>.</t>
        </is>
      </c>
      <c r="AS393" s="27" t="n"/>
      <c r="AT393" s="27" t="n"/>
      <c r="AU393" s="27" t="n"/>
      <c r="AV393" s="27" t="n"/>
      <c r="AW393" s="27" t="n"/>
      <c r="AX393" s="27" t="n"/>
      <c r="AY393" s="204" t="n"/>
      <c r="AZ393" s="204" t="n"/>
      <c r="BA393" s="38" t="inlineStr">
        <is>
          <t>.</t>
        </is>
      </c>
      <c r="BB393" s="190">
        <f>SUM(BC393:BN393)</f>
        <v/>
      </c>
      <c r="BC393" s="191">
        <f>L393*0.0702730030</f>
        <v/>
      </c>
      <c r="BD393" s="191">
        <f>L393*0.0734327604</f>
        <v/>
      </c>
      <c r="BE393" s="191">
        <f>L393*0.0752022245</f>
        <v/>
      </c>
      <c r="BF393" s="191">
        <f>L393*0.0771612740</f>
        <v/>
      </c>
      <c r="BG393" s="191">
        <f>L393*0.0796890799</f>
        <v/>
      </c>
      <c r="BH393" s="191">
        <f>L393*0.0817745197</f>
        <v/>
      </c>
      <c r="BI393" s="191">
        <f>L393*0.0849342770</f>
        <v/>
      </c>
      <c r="BJ393" s="191">
        <f>L393*0.0870197169</f>
        <v/>
      </c>
      <c r="BK393" s="191">
        <f>L393*0.0889787664</f>
        <v/>
      </c>
      <c r="BL393" s="191">
        <f>L393*0.0911905966</f>
        <v/>
      </c>
      <c r="BM393" s="191">
        <f>L393*0.0935920121</f>
        <v/>
      </c>
      <c r="BN393" s="192">
        <f>L393*0.0967517695</f>
        <v/>
      </c>
      <c r="BO393" s="36" t="inlineStr">
        <is>
          <t>.</t>
        </is>
      </c>
      <c r="BP393" s="193">
        <f>SUM(BQ393:CB393)</f>
        <v/>
      </c>
      <c r="BQ393" s="191">
        <f>MAX(0,BC393-AA393)</f>
        <v/>
      </c>
      <c r="BR393" s="191">
        <f>MAX(0,BD393-AB393)</f>
        <v/>
      </c>
      <c r="BS393" s="191">
        <f>MAX(0,BE393-AC393)</f>
        <v/>
      </c>
      <c r="BT393" s="191">
        <f>MAX(0,BF393-AD393)</f>
        <v/>
      </c>
      <c r="BU393" s="191">
        <f>MAX(0,BG393-AE393)</f>
        <v/>
      </c>
      <c r="BV393" s="191">
        <f>MAX(0,BH393-AF393)</f>
        <v/>
      </c>
      <c r="BW393" s="191">
        <f>MAX(0,BI393-AG393)</f>
        <v/>
      </c>
      <c r="BX393" s="191">
        <f>MAX(0,BJ393-AH393)</f>
        <v/>
      </c>
      <c r="BY393" s="191">
        <f>MAX(0,BK393-AI393)</f>
        <v/>
      </c>
      <c r="BZ393" s="191">
        <f>MAX(0,BL393-AJ393)</f>
        <v/>
      </c>
      <c r="CA393" s="191">
        <f>MAX(0,BM393-AK393)</f>
        <v/>
      </c>
      <c r="CB393" s="192">
        <f>MAX(0,BN393-AL393)</f>
        <v/>
      </c>
    </row>
    <row r="394">
      <c r="A394" s="64" t="inlineStr">
        <is>
          <t>50126687000184</t>
        </is>
      </c>
      <c r="B394" s="57" t="inlineStr">
        <is>
          <t>EMPORIO VIDA VERDE LTDA - ME</t>
        </is>
      </c>
      <c r="C394" s="57" t="inlineStr">
        <is>
          <t>SEM GRUPO</t>
        </is>
      </c>
      <c r="D394" s="61" t="inlineStr">
        <is>
          <t>HEMANUELE DITZEL (MANU)</t>
        </is>
      </c>
      <c r="E394" s="30" t="inlineStr">
        <is>
          <t>.</t>
        </is>
      </c>
      <c r="F394" s="63" t="inlineStr"/>
      <c r="G394" s="179" t="inlineStr"/>
      <c r="H394" s="57" t="inlineStr"/>
      <c r="I394" s="57" t="inlineStr"/>
      <c r="J394" s="61" t="inlineStr"/>
      <c r="K394" s="30" t="inlineStr">
        <is>
          <t>.</t>
        </is>
      </c>
      <c r="L394" s="180" t="n">
        <v>2163.23</v>
      </c>
      <c r="M394" s="181" t="n">
        <v>152.02</v>
      </c>
      <c r="N394" s="181" t="n">
        <v>158.85</v>
      </c>
      <c r="O394" s="181" t="n">
        <v>162.68</v>
      </c>
      <c r="P394" s="181" t="n">
        <v>166.92</v>
      </c>
      <c r="Q394" s="181" t="n">
        <v>172.38</v>
      </c>
      <c r="R394" s="181" t="n">
        <v>176.9</v>
      </c>
      <c r="S394" s="181" t="n">
        <v>183.73</v>
      </c>
      <c r="T394" s="181" t="n">
        <v>188.24</v>
      </c>
      <c r="U394" s="181" t="n">
        <v>192.48</v>
      </c>
      <c r="V394" s="181" t="n">
        <v>197.27</v>
      </c>
      <c r="W394" s="181" t="n">
        <v>202.46</v>
      </c>
      <c r="X394" s="182" t="n">
        <v>209.3</v>
      </c>
      <c r="Y394" s="183" t="inlineStr">
        <is>
          <t>.</t>
        </is>
      </c>
      <c r="Z394" s="184">
        <f>SUM(AA394:AL394)</f>
        <v/>
      </c>
      <c r="AA394" s="185" t="n">
        <v>0</v>
      </c>
      <c r="AB394" s="185" t="n">
        <v>0</v>
      </c>
      <c r="AC394" s="185" t="n">
        <v>0</v>
      </c>
      <c r="AD394" s="185" t="n">
        <v>0</v>
      </c>
      <c r="AE394" s="185" t="n">
        <v>877.7</v>
      </c>
      <c r="AF394" s="185" t="n">
        <v>0</v>
      </c>
      <c r="AG394" s="185" t="n">
        <v>0</v>
      </c>
      <c r="AH394" s="185" t="n">
        <v>0</v>
      </c>
      <c r="AI394" s="185" t="n">
        <v>0</v>
      </c>
      <c r="AJ394" s="185" t="n">
        <v>0</v>
      </c>
      <c r="AK394" s="185" t="n">
        <v>0</v>
      </c>
      <c r="AL394" s="186" t="n">
        <v>0</v>
      </c>
      <c r="AM394" s="30" t="inlineStr">
        <is>
          <t>.</t>
        </is>
      </c>
      <c r="AN394" s="187">
        <f>IF(L394=0,0,Z394/L394)</f>
        <v/>
      </c>
      <c r="AO394" s="57">
        <f>IF(AN394&gt;=1,"🟢",IF(AN394&gt;=0.7,"🟡",IF(AN394&gt;=0.4,"🟠","🔴")))</f>
        <v/>
      </c>
      <c r="AP394" s="185">
        <f>L394-Z394</f>
        <v/>
      </c>
      <c r="AQ394" s="55">
        <f>RANK(Z394,$Z$4:$Z$503,0)</f>
        <v/>
      </c>
      <c r="AR394" s="39" t="inlineStr">
        <is>
          <t>.</t>
        </is>
      </c>
      <c r="AS394" s="27" t="n"/>
      <c r="AT394" s="27" t="n"/>
      <c r="AU394" s="27" t="n"/>
      <c r="AV394" s="27" t="n"/>
      <c r="AW394" s="27" t="n"/>
      <c r="AX394" s="27" t="n"/>
      <c r="AY394" s="204" t="n"/>
      <c r="AZ394" s="204" t="n"/>
      <c r="BA394" s="38" t="inlineStr">
        <is>
          <t>.</t>
        </is>
      </c>
      <c r="BB394" s="190">
        <f>SUM(BC394:BN394)</f>
        <v/>
      </c>
      <c r="BC394" s="191">
        <f>L394*0.0702730030</f>
        <v/>
      </c>
      <c r="BD394" s="191">
        <f>L394*0.0734327604</f>
        <v/>
      </c>
      <c r="BE394" s="191">
        <f>L394*0.0752022245</f>
        <v/>
      </c>
      <c r="BF394" s="191">
        <f>L394*0.0771612740</f>
        <v/>
      </c>
      <c r="BG394" s="191">
        <f>L394*0.0796890799</f>
        <v/>
      </c>
      <c r="BH394" s="191">
        <f>L394*0.0817745197</f>
        <v/>
      </c>
      <c r="BI394" s="191">
        <f>L394*0.0849342770</f>
        <v/>
      </c>
      <c r="BJ394" s="191">
        <f>L394*0.0870197169</f>
        <v/>
      </c>
      <c r="BK394" s="191">
        <f>L394*0.0889787664</f>
        <v/>
      </c>
      <c r="BL394" s="191">
        <f>L394*0.0911905966</f>
        <v/>
      </c>
      <c r="BM394" s="191">
        <f>L394*0.0935920121</f>
        <v/>
      </c>
      <c r="BN394" s="192">
        <f>L394*0.0967517695</f>
        <v/>
      </c>
      <c r="BO394" s="36" t="inlineStr">
        <is>
          <t>.</t>
        </is>
      </c>
      <c r="BP394" s="193">
        <f>SUM(BQ394:CB394)</f>
        <v/>
      </c>
      <c r="BQ394" s="191">
        <f>MAX(0,BC394-AA394)</f>
        <v/>
      </c>
      <c r="BR394" s="191">
        <f>MAX(0,BD394-AB394)</f>
        <v/>
      </c>
      <c r="BS394" s="191">
        <f>MAX(0,BE394-AC394)</f>
        <v/>
      </c>
      <c r="BT394" s="191">
        <f>MAX(0,BF394-AD394)</f>
        <v/>
      </c>
      <c r="BU394" s="191">
        <f>MAX(0,BG394-AE394)</f>
        <v/>
      </c>
      <c r="BV394" s="191">
        <f>MAX(0,BH394-AF394)</f>
        <v/>
      </c>
      <c r="BW394" s="191">
        <f>MAX(0,BI394-AG394)</f>
        <v/>
      </c>
      <c r="BX394" s="191">
        <f>MAX(0,BJ394-AH394)</f>
        <v/>
      </c>
      <c r="BY394" s="191">
        <f>MAX(0,BK394-AI394)</f>
        <v/>
      </c>
      <c r="BZ394" s="191">
        <f>MAX(0,BL394-AJ394)</f>
        <v/>
      </c>
      <c r="CA394" s="191">
        <f>MAX(0,BM394-AK394)</f>
        <v/>
      </c>
      <c r="CB394" s="192">
        <f>MAX(0,BN394-AL394)</f>
        <v/>
      </c>
    </row>
    <row r="395">
      <c r="A395" s="64" t="inlineStr">
        <is>
          <t>20474456000109</t>
        </is>
      </c>
      <c r="B395" s="57" t="inlineStr">
        <is>
          <t>TUDO EM GRAOS COMERCIO DE ALIMENTOS EIRE</t>
        </is>
      </c>
      <c r="C395" s="57" t="inlineStr">
        <is>
          <t>TUDO EM GRAOS</t>
        </is>
      </c>
      <c r="D395" s="61" t="inlineStr">
        <is>
          <t>DAIANE STAVICKI</t>
        </is>
      </c>
      <c r="E395" s="30" t="inlineStr">
        <is>
          <t>.</t>
        </is>
      </c>
      <c r="F395" s="63" t="n">
        <v>25</v>
      </c>
      <c r="G395" s="179" t="n">
        <v>0.062</v>
      </c>
      <c r="H395" s="57" t="inlineStr">
        <is>
          <t>🔴 VERMELHO</t>
        </is>
      </c>
      <c r="I395" s="57" t="inlineStr">
        <is>
          <t>ATIVAÇÃO</t>
        </is>
      </c>
      <c r="J395" s="61" t="inlineStr">
        <is>
          <t>Reativar inativos + Prospectar</t>
        </is>
      </c>
      <c r="K395" s="30" t="inlineStr">
        <is>
          <t>.</t>
        </is>
      </c>
      <c r="L395" s="180" t="n">
        <v>2137.02</v>
      </c>
      <c r="M395" s="181" t="n">
        <v>150.17</v>
      </c>
      <c r="N395" s="181" t="n">
        <v>156.93</v>
      </c>
      <c r="O395" s="181" t="n">
        <v>160.71</v>
      </c>
      <c r="P395" s="181" t="n">
        <v>164.89</v>
      </c>
      <c r="Q395" s="181" t="n">
        <v>170.3</v>
      </c>
      <c r="R395" s="181" t="n">
        <v>174.75</v>
      </c>
      <c r="S395" s="181" t="n">
        <v>181.51</v>
      </c>
      <c r="T395" s="181" t="n">
        <v>185.96</v>
      </c>
      <c r="U395" s="181" t="n">
        <v>190.15</v>
      </c>
      <c r="V395" s="181" t="n">
        <v>194.88</v>
      </c>
      <c r="W395" s="181" t="n">
        <v>200.01</v>
      </c>
      <c r="X395" s="182" t="n">
        <v>206.76</v>
      </c>
      <c r="Y395" s="183" t="inlineStr">
        <is>
          <t>.</t>
        </is>
      </c>
      <c r="Z395" s="184">
        <f>SUM(AA395:AL395)</f>
        <v/>
      </c>
      <c r="AA395" s="185" t="n">
        <v>0</v>
      </c>
      <c r="AB395" s="185" t="n">
        <v>0</v>
      </c>
      <c r="AC395" s="185" t="n">
        <v>0</v>
      </c>
      <c r="AD395" s="185" t="n">
        <v>0</v>
      </c>
      <c r="AE395" s="185" t="n">
        <v>0</v>
      </c>
      <c r="AF395" s="185" t="n">
        <v>0</v>
      </c>
      <c r="AG395" s="185" t="n">
        <v>0</v>
      </c>
      <c r="AH395" s="185" t="n">
        <v>0</v>
      </c>
      <c r="AI395" s="185" t="n">
        <v>968</v>
      </c>
      <c r="AJ395" s="185" t="n">
        <v>0</v>
      </c>
      <c r="AK395" s="185" t="n">
        <v>0</v>
      </c>
      <c r="AL395" s="186" t="n">
        <v>0</v>
      </c>
      <c r="AM395" s="30" t="inlineStr">
        <is>
          <t>.</t>
        </is>
      </c>
      <c r="AN395" s="187">
        <f>IF(L395=0,0,Z395/L395)</f>
        <v/>
      </c>
      <c r="AO395" s="57">
        <f>IF(AN395&gt;=1,"🟢",IF(AN395&gt;=0.7,"🟡",IF(AN395&gt;=0.4,"🟠","🔴")))</f>
        <v/>
      </c>
      <c r="AP395" s="185">
        <f>L395-Z395</f>
        <v/>
      </c>
      <c r="AQ395" s="55">
        <f>RANK(Z395,$Z$4:$Z$503,0)</f>
        <v/>
      </c>
      <c r="AR395" s="39" t="inlineStr">
        <is>
          <t>.</t>
        </is>
      </c>
      <c r="AS395" s="27" t="n"/>
      <c r="AT395" s="27" t="n"/>
      <c r="AU395" s="27" t="n"/>
      <c r="AV395" s="27" t="n"/>
      <c r="AW395" s="27" t="n"/>
      <c r="AX395" s="27" t="n"/>
      <c r="AY395" s="204" t="n"/>
      <c r="AZ395" s="204" t="n"/>
      <c r="BA395" s="38" t="inlineStr">
        <is>
          <t>.</t>
        </is>
      </c>
      <c r="BB395" s="190">
        <f>SUM(BC395:BN395)</f>
        <v/>
      </c>
      <c r="BC395" s="191">
        <f>L395*0.0702730030</f>
        <v/>
      </c>
      <c r="BD395" s="191">
        <f>L395*0.0734327604</f>
        <v/>
      </c>
      <c r="BE395" s="191">
        <f>L395*0.0752022245</f>
        <v/>
      </c>
      <c r="BF395" s="191">
        <f>L395*0.0771612740</f>
        <v/>
      </c>
      <c r="BG395" s="191">
        <f>L395*0.0796890799</f>
        <v/>
      </c>
      <c r="BH395" s="191">
        <f>L395*0.0817745197</f>
        <v/>
      </c>
      <c r="BI395" s="191">
        <f>L395*0.0849342770</f>
        <v/>
      </c>
      <c r="BJ395" s="191">
        <f>L395*0.0870197169</f>
        <v/>
      </c>
      <c r="BK395" s="191">
        <f>L395*0.0889787664</f>
        <v/>
      </c>
      <c r="BL395" s="191">
        <f>L395*0.0911905966</f>
        <v/>
      </c>
      <c r="BM395" s="191">
        <f>L395*0.0935920121</f>
        <v/>
      </c>
      <c r="BN395" s="192">
        <f>L395*0.0967517695</f>
        <v/>
      </c>
      <c r="BO395" s="36" t="inlineStr">
        <is>
          <t>.</t>
        </is>
      </c>
      <c r="BP395" s="193">
        <f>SUM(BQ395:CB395)</f>
        <v/>
      </c>
      <c r="BQ395" s="191">
        <f>MAX(0,BC395-AA395)</f>
        <v/>
      </c>
      <c r="BR395" s="191">
        <f>MAX(0,BD395-AB395)</f>
        <v/>
      </c>
      <c r="BS395" s="191">
        <f>MAX(0,BE395-AC395)</f>
        <v/>
      </c>
      <c r="BT395" s="191">
        <f>MAX(0,BF395-AD395)</f>
        <v/>
      </c>
      <c r="BU395" s="191">
        <f>MAX(0,BG395-AE395)</f>
        <v/>
      </c>
      <c r="BV395" s="191">
        <f>MAX(0,BH395-AF395)</f>
        <v/>
      </c>
      <c r="BW395" s="191">
        <f>MAX(0,BI395-AG395)</f>
        <v/>
      </c>
      <c r="BX395" s="191">
        <f>MAX(0,BJ395-AH395)</f>
        <v/>
      </c>
      <c r="BY395" s="191">
        <f>MAX(0,BK395-AI395)</f>
        <v/>
      </c>
      <c r="BZ395" s="191">
        <f>MAX(0,BL395-AJ395)</f>
        <v/>
      </c>
      <c r="CA395" s="191">
        <f>MAX(0,BM395-AK395)</f>
        <v/>
      </c>
      <c r="CB395" s="192">
        <f>MAX(0,BN395-AL395)</f>
        <v/>
      </c>
    </row>
    <row r="396">
      <c r="A396" s="64" t="inlineStr">
        <is>
          <t>42597733000103</t>
        </is>
      </c>
      <c r="B396" s="57" t="inlineStr">
        <is>
          <t>VITALE PRODUTOS NATURAIS LTDA - ME</t>
        </is>
      </c>
      <c r="C396" s="57" t="inlineStr">
        <is>
          <t>SEM GRUPO</t>
        </is>
      </c>
      <c r="D396" s="61" t="inlineStr">
        <is>
          <t>HEMANUELE DITZEL (MANU)</t>
        </is>
      </c>
      <c r="E396" s="30" t="inlineStr">
        <is>
          <t>.</t>
        </is>
      </c>
      <c r="F396" s="63" t="inlineStr"/>
      <c r="G396" s="179" t="inlineStr"/>
      <c r="H396" s="57" t="inlineStr"/>
      <c r="I396" s="57" t="inlineStr"/>
      <c r="J396" s="61" t="inlineStr"/>
      <c r="K396" s="30" t="inlineStr">
        <is>
          <t>.</t>
        </is>
      </c>
      <c r="L396" s="180" t="n">
        <v>2134.47</v>
      </c>
      <c r="M396" s="181" t="n">
        <v>150</v>
      </c>
      <c r="N396" s="181" t="n">
        <v>156.74</v>
      </c>
      <c r="O396" s="181" t="n">
        <v>160.52</v>
      </c>
      <c r="P396" s="181" t="n">
        <v>164.7</v>
      </c>
      <c r="Q396" s="181" t="n">
        <v>170.09</v>
      </c>
      <c r="R396" s="181" t="n">
        <v>174.55</v>
      </c>
      <c r="S396" s="181" t="n">
        <v>181.29</v>
      </c>
      <c r="T396" s="181" t="n">
        <v>185.74</v>
      </c>
      <c r="U396" s="181" t="n">
        <v>189.92</v>
      </c>
      <c r="V396" s="181" t="n">
        <v>194.64</v>
      </c>
      <c r="W396" s="181" t="n">
        <v>199.77</v>
      </c>
      <c r="X396" s="182" t="n">
        <v>206.51</v>
      </c>
      <c r="Y396" s="183" t="inlineStr">
        <is>
          <t>.</t>
        </is>
      </c>
      <c r="Z396" s="184">
        <f>SUM(AA396:AL396)</f>
        <v/>
      </c>
      <c r="AA396" s="185" t="n">
        <v>0</v>
      </c>
      <c r="AB396" s="185" t="n">
        <v>0</v>
      </c>
      <c r="AC396" s="185" t="n">
        <v>0</v>
      </c>
      <c r="AD396" s="185" t="n">
        <v>756.83</v>
      </c>
      <c r="AE396" s="185" t="n">
        <v>0</v>
      </c>
      <c r="AF396" s="185" t="n">
        <v>0</v>
      </c>
      <c r="AG396" s="185" t="n">
        <v>0</v>
      </c>
      <c r="AH396" s="185" t="n">
        <v>0</v>
      </c>
      <c r="AI396" s="185" t="n">
        <v>0</v>
      </c>
      <c r="AJ396" s="185" t="n">
        <v>0</v>
      </c>
      <c r="AK396" s="185" t="n">
        <v>0</v>
      </c>
      <c r="AL396" s="186" t="n">
        <v>0</v>
      </c>
      <c r="AM396" s="30" t="inlineStr">
        <is>
          <t>.</t>
        </is>
      </c>
      <c r="AN396" s="187">
        <f>IF(L396=0,0,Z396/L396)</f>
        <v/>
      </c>
      <c r="AO396" s="57">
        <f>IF(AN396&gt;=1,"🟢",IF(AN396&gt;=0.7,"🟡",IF(AN396&gt;=0.4,"🟠","🔴")))</f>
        <v/>
      </c>
      <c r="AP396" s="185">
        <f>L396-Z396</f>
        <v/>
      </c>
      <c r="AQ396" s="55">
        <f>RANK(Z396,$Z$4:$Z$503,0)</f>
        <v/>
      </c>
      <c r="AR396" s="39" t="inlineStr">
        <is>
          <t>.</t>
        </is>
      </c>
      <c r="AS396" s="27" t="n"/>
      <c r="AT396" s="27" t="n"/>
      <c r="AU396" s="27" t="n"/>
      <c r="AV396" s="27" t="n"/>
      <c r="AW396" s="27" t="n"/>
      <c r="AX396" s="27" t="n"/>
      <c r="AY396" s="204" t="n"/>
      <c r="AZ396" s="204" t="n"/>
      <c r="BA396" s="38" t="inlineStr">
        <is>
          <t>.</t>
        </is>
      </c>
      <c r="BB396" s="190">
        <f>SUM(BC396:BN396)</f>
        <v/>
      </c>
      <c r="BC396" s="191">
        <f>L396*0.0702730030</f>
        <v/>
      </c>
      <c r="BD396" s="191">
        <f>L396*0.0734327604</f>
        <v/>
      </c>
      <c r="BE396" s="191">
        <f>L396*0.0752022245</f>
        <v/>
      </c>
      <c r="BF396" s="191">
        <f>L396*0.0771612740</f>
        <v/>
      </c>
      <c r="BG396" s="191">
        <f>L396*0.0796890799</f>
        <v/>
      </c>
      <c r="BH396" s="191">
        <f>L396*0.0817745197</f>
        <v/>
      </c>
      <c r="BI396" s="191">
        <f>L396*0.0849342770</f>
        <v/>
      </c>
      <c r="BJ396" s="191">
        <f>L396*0.0870197169</f>
        <v/>
      </c>
      <c r="BK396" s="191">
        <f>L396*0.0889787664</f>
        <v/>
      </c>
      <c r="BL396" s="191">
        <f>L396*0.0911905966</f>
        <v/>
      </c>
      <c r="BM396" s="191">
        <f>L396*0.0935920121</f>
        <v/>
      </c>
      <c r="BN396" s="192">
        <f>L396*0.0967517695</f>
        <v/>
      </c>
      <c r="BO396" s="36" t="inlineStr">
        <is>
          <t>.</t>
        </is>
      </c>
      <c r="BP396" s="193">
        <f>SUM(BQ396:CB396)</f>
        <v/>
      </c>
      <c r="BQ396" s="191">
        <f>MAX(0,BC396-AA396)</f>
        <v/>
      </c>
      <c r="BR396" s="191">
        <f>MAX(0,BD396-AB396)</f>
        <v/>
      </c>
      <c r="BS396" s="191">
        <f>MAX(0,BE396-AC396)</f>
        <v/>
      </c>
      <c r="BT396" s="191">
        <f>MAX(0,BF396-AD396)</f>
        <v/>
      </c>
      <c r="BU396" s="191">
        <f>MAX(0,BG396-AE396)</f>
        <v/>
      </c>
      <c r="BV396" s="191">
        <f>MAX(0,BH396-AF396)</f>
        <v/>
      </c>
      <c r="BW396" s="191">
        <f>MAX(0,BI396-AG396)</f>
        <v/>
      </c>
      <c r="BX396" s="191">
        <f>MAX(0,BJ396-AH396)</f>
        <v/>
      </c>
      <c r="BY396" s="191">
        <f>MAX(0,BK396-AI396)</f>
        <v/>
      </c>
      <c r="BZ396" s="191">
        <f>MAX(0,BL396-AJ396)</f>
        <v/>
      </c>
      <c r="CA396" s="191">
        <f>MAX(0,BM396-AK396)</f>
        <v/>
      </c>
      <c r="CB396" s="192">
        <f>MAX(0,BN396-AL396)</f>
        <v/>
      </c>
    </row>
    <row r="397">
      <c r="A397" s="64" t="inlineStr">
        <is>
          <t>57963322000153</t>
        </is>
      </c>
      <c r="B397" s="57" t="inlineStr">
        <is>
          <t>HENRI G. VALCARENGHI LTDA - ME</t>
        </is>
      </c>
      <c r="C397" s="57" t="inlineStr">
        <is>
          <t>DIVINA TERRA</t>
        </is>
      </c>
      <c r="D397" s="61" t="inlineStr">
        <is>
          <t>DAIANE STAVICKI</t>
        </is>
      </c>
      <c r="E397" s="30" t="inlineStr">
        <is>
          <t>.</t>
        </is>
      </c>
      <c r="F397" s="63" t="n">
        <v>85</v>
      </c>
      <c r="G397" s="179" t="n">
        <v>0.1</v>
      </c>
      <c r="H397" s="57" t="inlineStr">
        <is>
          <t>🔴 VERMELHO</t>
        </is>
      </c>
      <c r="I397" s="57" t="inlineStr">
        <is>
          <t>POSITIVAÇÃO</t>
        </is>
      </c>
      <c r="J397" s="61" t="inlineStr">
        <is>
          <t>Aumentar frequência + Expandir base</t>
        </is>
      </c>
      <c r="K397" s="30" t="inlineStr">
        <is>
          <t>.</t>
        </is>
      </c>
      <c r="L397" s="180" t="n">
        <v>2104.46</v>
      </c>
      <c r="M397" s="181" t="n">
        <v>147.89</v>
      </c>
      <c r="N397" s="181" t="n">
        <v>154.54</v>
      </c>
      <c r="O397" s="181" t="n">
        <v>158.26</v>
      </c>
      <c r="P397" s="181" t="n">
        <v>162.38</v>
      </c>
      <c r="Q397" s="181" t="n">
        <v>167.7</v>
      </c>
      <c r="R397" s="181" t="n">
        <v>172.09</v>
      </c>
      <c r="S397" s="181" t="n">
        <v>178.74</v>
      </c>
      <c r="T397" s="181" t="n">
        <v>183.13</v>
      </c>
      <c r="U397" s="181" t="n">
        <v>187.25</v>
      </c>
      <c r="V397" s="181" t="n">
        <v>191.91</v>
      </c>
      <c r="W397" s="181" t="n">
        <v>196.96</v>
      </c>
      <c r="X397" s="182" t="n">
        <v>203.61</v>
      </c>
      <c r="Y397" s="183" t="inlineStr">
        <is>
          <t>.</t>
        </is>
      </c>
      <c r="Z397" s="184">
        <f>SUM(AA397:AL397)</f>
        <v/>
      </c>
      <c r="AA397" s="185" t="n">
        <v>0</v>
      </c>
      <c r="AB397" s="185" t="n">
        <v>0</v>
      </c>
      <c r="AC397" s="185" t="n">
        <v>0</v>
      </c>
      <c r="AD397" s="185" t="n">
        <v>0</v>
      </c>
      <c r="AE397" s="185" t="n">
        <v>0</v>
      </c>
      <c r="AF397" s="185" t="n">
        <v>0</v>
      </c>
      <c r="AG397" s="185" t="n">
        <v>0</v>
      </c>
      <c r="AH397" s="185" t="n">
        <v>0</v>
      </c>
      <c r="AI397" s="185" t="n">
        <v>0</v>
      </c>
      <c r="AJ397" s="185" t="n">
        <v>1197.16</v>
      </c>
      <c r="AK397" s="185" t="n">
        <v>0</v>
      </c>
      <c r="AL397" s="186" t="n">
        <v>0</v>
      </c>
      <c r="AM397" s="30" t="inlineStr">
        <is>
          <t>.</t>
        </is>
      </c>
      <c r="AN397" s="187">
        <f>IF(L397=0,0,Z397/L397)</f>
        <v/>
      </c>
      <c r="AO397" s="57">
        <f>IF(AN397&gt;=1,"🟢",IF(AN397&gt;=0.7,"🟡",IF(AN397&gt;=0.4,"🟠","🔴")))</f>
        <v/>
      </c>
      <c r="AP397" s="185">
        <f>L397-Z397</f>
        <v/>
      </c>
      <c r="AQ397" s="55">
        <f>RANK(Z397,$Z$4:$Z$503,0)</f>
        <v/>
      </c>
      <c r="AR397" s="39" t="inlineStr">
        <is>
          <t>.</t>
        </is>
      </c>
      <c r="AS397" s="27" t="n"/>
      <c r="AT397" s="27" t="n"/>
      <c r="AU397" s="27" t="n"/>
      <c r="AV397" s="27" t="n"/>
      <c r="AW397" s="27" t="n"/>
      <c r="AX397" s="27" t="n"/>
      <c r="AY397" s="204" t="n"/>
      <c r="AZ397" s="204" t="n"/>
      <c r="BA397" s="38" t="inlineStr">
        <is>
          <t>.</t>
        </is>
      </c>
      <c r="BB397" s="190">
        <f>SUM(BC397:BN397)</f>
        <v/>
      </c>
      <c r="BC397" s="191">
        <f>L397*0.0702730030</f>
        <v/>
      </c>
      <c r="BD397" s="191">
        <f>L397*0.0734327604</f>
        <v/>
      </c>
      <c r="BE397" s="191">
        <f>L397*0.0752022245</f>
        <v/>
      </c>
      <c r="BF397" s="191">
        <f>L397*0.0771612740</f>
        <v/>
      </c>
      <c r="BG397" s="191">
        <f>L397*0.0796890799</f>
        <v/>
      </c>
      <c r="BH397" s="191">
        <f>L397*0.0817745197</f>
        <v/>
      </c>
      <c r="BI397" s="191">
        <f>L397*0.0849342770</f>
        <v/>
      </c>
      <c r="BJ397" s="191">
        <f>L397*0.0870197169</f>
        <v/>
      </c>
      <c r="BK397" s="191">
        <f>L397*0.0889787664</f>
        <v/>
      </c>
      <c r="BL397" s="191">
        <f>L397*0.0911905966</f>
        <v/>
      </c>
      <c r="BM397" s="191">
        <f>L397*0.0935920121</f>
        <v/>
      </c>
      <c r="BN397" s="192">
        <f>L397*0.0967517695</f>
        <v/>
      </c>
      <c r="BO397" s="36" t="inlineStr">
        <is>
          <t>.</t>
        </is>
      </c>
      <c r="BP397" s="193">
        <f>SUM(BQ397:CB397)</f>
        <v/>
      </c>
      <c r="BQ397" s="191">
        <f>MAX(0,BC397-AA397)</f>
        <v/>
      </c>
      <c r="BR397" s="191">
        <f>MAX(0,BD397-AB397)</f>
        <v/>
      </c>
      <c r="BS397" s="191">
        <f>MAX(0,BE397-AC397)</f>
        <v/>
      </c>
      <c r="BT397" s="191">
        <f>MAX(0,BF397-AD397)</f>
        <v/>
      </c>
      <c r="BU397" s="191">
        <f>MAX(0,BG397-AE397)</f>
        <v/>
      </c>
      <c r="BV397" s="191">
        <f>MAX(0,BH397-AF397)</f>
        <v/>
      </c>
      <c r="BW397" s="191">
        <f>MAX(0,BI397-AG397)</f>
        <v/>
      </c>
      <c r="BX397" s="191">
        <f>MAX(0,BJ397-AH397)</f>
        <v/>
      </c>
      <c r="BY397" s="191">
        <f>MAX(0,BK397-AI397)</f>
        <v/>
      </c>
      <c r="BZ397" s="191">
        <f>MAX(0,BL397-AJ397)</f>
        <v/>
      </c>
      <c r="CA397" s="191">
        <f>MAX(0,BM397-AK397)</f>
        <v/>
      </c>
      <c r="CB397" s="192">
        <f>MAX(0,BN397-AL397)</f>
        <v/>
      </c>
    </row>
    <row r="398">
      <c r="A398" s="64" t="inlineStr">
        <is>
          <t>49161064000163</t>
        </is>
      </c>
      <c r="B398" s="57" t="inlineStr">
        <is>
          <t>BONETE PRODUTOS ALIMENTICIOS LTDA - EPP</t>
        </is>
      </c>
      <c r="C398" s="57" t="inlineStr">
        <is>
          <t>SEM GRUPO</t>
        </is>
      </c>
      <c r="D398" s="61" t="inlineStr">
        <is>
          <t>LARISSA PADILHA</t>
        </is>
      </c>
      <c r="E398" s="30" t="inlineStr">
        <is>
          <t>.</t>
        </is>
      </c>
      <c r="F398" s="63" t="inlineStr"/>
      <c r="G398" s="179" t="inlineStr"/>
      <c r="H398" s="57" t="inlineStr"/>
      <c r="I398" s="57" t="inlineStr"/>
      <c r="J398" s="61" t="inlineStr"/>
      <c r="K398" s="30" t="inlineStr">
        <is>
          <t>.</t>
        </is>
      </c>
      <c r="L398" s="180" t="n">
        <v>2103.69</v>
      </c>
      <c r="M398" s="181" t="n">
        <v>147.83</v>
      </c>
      <c r="N398" s="181" t="n">
        <v>154.48</v>
      </c>
      <c r="O398" s="181" t="n">
        <v>158.2</v>
      </c>
      <c r="P398" s="181" t="n">
        <v>162.32</v>
      </c>
      <c r="Q398" s="181" t="n">
        <v>167.64</v>
      </c>
      <c r="R398" s="181" t="n">
        <v>172.03</v>
      </c>
      <c r="S398" s="181" t="n">
        <v>178.68</v>
      </c>
      <c r="T398" s="181" t="n">
        <v>183.06</v>
      </c>
      <c r="U398" s="181" t="n">
        <v>187.18</v>
      </c>
      <c r="V398" s="181" t="n">
        <v>191.84</v>
      </c>
      <c r="W398" s="181" t="n">
        <v>196.89</v>
      </c>
      <c r="X398" s="182" t="n">
        <v>203.54</v>
      </c>
      <c r="Y398" s="183" t="inlineStr">
        <is>
          <t>.</t>
        </is>
      </c>
      <c r="Z398" s="184">
        <f>SUM(AA398:AL398)</f>
        <v/>
      </c>
      <c r="AA398" s="185" t="n">
        <v>0</v>
      </c>
      <c r="AB398" s="185" t="n">
        <v>0</v>
      </c>
      <c r="AC398" s="185" t="n">
        <v>0</v>
      </c>
      <c r="AD398" s="185" t="n">
        <v>745.91</v>
      </c>
      <c r="AE398" s="185" t="n">
        <v>0</v>
      </c>
      <c r="AF398" s="185" t="n">
        <v>0</v>
      </c>
      <c r="AG398" s="185" t="n">
        <v>0</v>
      </c>
      <c r="AH398" s="185" t="n">
        <v>0</v>
      </c>
      <c r="AI398" s="185" t="n">
        <v>0</v>
      </c>
      <c r="AJ398" s="185" t="n">
        <v>0</v>
      </c>
      <c r="AK398" s="185" t="n">
        <v>0</v>
      </c>
      <c r="AL398" s="186" t="n">
        <v>0</v>
      </c>
      <c r="AM398" s="30" t="inlineStr">
        <is>
          <t>.</t>
        </is>
      </c>
      <c r="AN398" s="187">
        <f>IF(L398=0,0,Z398/L398)</f>
        <v/>
      </c>
      <c r="AO398" s="57">
        <f>IF(AN398&gt;=1,"🟢",IF(AN398&gt;=0.7,"🟡",IF(AN398&gt;=0.4,"🟠","🔴")))</f>
        <v/>
      </c>
      <c r="AP398" s="185">
        <f>L398-Z398</f>
        <v/>
      </c>
      <c r="AQ398" s="55">
        <f>RANK(Z398,$Z$4:$Z$503,0)</f>
        <v/>
      </c>
      <c r="AR398" s="39" t="inlineStr">
        <is>
          <t>.</t>
        </is>
      </c>
      <c r="AS398" s="27" t="n"/>
      <c r="AT398" s="27" t="n"/>
      <c r="AU398" s="27" t="n"/>
      <c r="AV398" s="27" t="n"/>
      <c r="AW398" s="27" t="n"/>
      <c r="AX398" s="27" t="n"/>
      <c r="AY398" s="204" t="n"/>
      <c r="AZ398" s="204" t="n"/>
      <c r="BA398" s="38" t="inlineStr">
        <is>
          <t>.</t>
        </is>
      </c>
      <c r="BB398" s="190">
        <f>SUM(BC398:BN398)</f>
        <v/>
      </c>
      <c r="BC398" s="191">
        <f>L398*0.0702730030</f>
        <v/>
      </c>
      <c r="BD398" s="191">
        <f>L398*0.0734327604</f>
        <v/>
      </c>
      <c r="BE398" s="191">
        <f>L398*0.0752022245</f>
        <v/>
      </c>
      <c r="BF398" s="191">
        <f>L398*0.0771612740</f>
        <v/>
      </c>
      <c r="BG398" s="191">
        <f>L398*0.0796890799</f>
        <v/>
      </c>
      <c r="BH398" s="191">
        <f>L398*0.0817745197</f>
        <v/>
      </c>
      <c r="BI398" s="191">
        <f>L398*0.0849342770</f>
        <v/>
      </c>
      <c r="BJ398" s="191">
        <f>L398*0.0870197169</f>
        <v/>
      </c>
      <c r="BK398" s="191">
        <f>L398*0.0889787664</f>
        <v/>
      </c>
      <c r="BL398" s="191">
        <f>L398*0.0911905966</f>
        <v/>
      </c>
      <c r="BM398" s="191">
        <f>L398*0.0935920121</f>
        <v/>
      </c>
      <c r="BN398" s="192">
        <f>L398*0.0967517695</f>
        <v/>
      </c>
      <c r="BO398" s="36" t="inlineStr">
        <is>
          <t>.</t>
        </is>
      </c>
      <c r="BP398" s="193">
        <f>SUM(BQ398:CB398)</f>
        <v/>
      </c>
      <c r="BQ398" s="191">
        <f>MAX(0,BC398-AA398)</f>
        <v/>
      </c>
      <c r="BR398" s="191">
        <f>MAX(0,BD398-AB398)</f>
        <v/>
      </c>
      <c r="BS398" s="191">
        <f>MAX(0,BE398-AC398)</f>
        <v/>
      </c>
      <c r="BT398" s="191">
        <f>MAX(0,BF398-AD398)</f>
        <v/>
      </c>
      <c r="BU398" s="191">
        <f>MAX(0,BG398-AE398)</f>
        <v/>
      </c>
      <c r="BV398" s="191">
        <f>MAX(0,BH398-AF398)</f>
        <v/>
      </c>
      <c r="BW398" s="191">
        <f>MAX(0,BI398-AG398)</f>
        <v/>
      </c>
      <c r="BX398" s="191">
        <f>MAX(0,BJ398-AH398)</f>
        <v/>
      </c>
      <c r="BY398" s="191">
        <f>MAX(0,BK398-AI398)</f>
        <v/>
      </c>
      <c r="BZ398" s="191">
        <f>MAX(0,BL398-AJ398)</f>
        <v/>
      </c>
      <c r="CA398" s="191">
        <f>MAX(0,BM398-AK398)</f>
        <v/>
      </c>
      <c r="CB398" s="192">
        <f>MAX(0,BN398-AL398)</f>
        <v/>
      </c>
    </row>
    <row r="399">
      <c r="A399" s="64" t="inlineStr">
        <is>
          <t>29466137000118</t>
        </is>
      </c>
      <c r="B399" s="57" t="inlineStr">
        <is>
          <t>G.F. NOGUEIRA ARMAZEM NATURAL - ME</t>
        </is>
      </c>
      <c r="C399" s="57" t="inlineStr">
        <is>
          <t>SEM GRUPO</t>
        </is>
      </c>
      <c r="D399" s="61" t="inlineStr">
        <is>
          <t>LARISSA PADILHA</t>
        </is>
      </c>
      <c r="E399" s="30" t="inlineStr">
        <is>
          <t>.</t>
        </is>
      </c>
      <c r="F399" s="63" t="inlineStr"/>
      <c r="G399" s="179" t="inlineStr"/>
      <c r="H399" s="57" t="inlineStr"/>
      <c r="I399" s="57" t="inlineStr"/>
      <c r="J399" s="61" t="inlineStr"/>
      <c r="K399" s="30" t="inlineStr">
        <is>
          <t>.</t>
        </is>
      </c>
      <c r="L399" s="180" t="n">
        <v>2078.06</v>
      </c>
      <c r="M399" s="181" t="n">
        <v>146.03</v>
      </c>
      <c r="N399" s="181" t="n">
        <v>152.6</v>
      </c>
      <c r="O399" s="181" t="n">
        <v>156.27</v>
      </c>
      <c r="P399" s="181" t="n">
        <v>160.35</v>
      </c>
      <c r="Q399" s="181" t="n">
        <v>165.6</v>
      </c>
      <c r="R399" s="181" t="n">
        <v>169.93</v>
      </c>
      <c r="S399" s="181" t="n">
        <v>176.5</v>
      </c>
      <c r="T399" s="181" t="n">
        <v>180.83</v>
      </c>
      <c r="U399" s="181" t="n">
        <v>184.9</v>
      </c>
      <c r="V399" s="181" t="n">
        <v>189.5</v>
      </c>
      <c r="W399" s="181" t="n">
        <v>194.49</v>
      </c>
      <c r="X399" s="182" t="n">
        <v>201.06</v>
      </c>
      <c r="Y399" s="183" t="inlineStr">
        <is>
          <t>.</t>
        </is>
      </c>
      <c r="Z399" s="184">
        <f>SUM(AA399:AL399)</f>
        <v/>
      </c>
      <c r="AA399" s="185" t="n">
        <v>0</v>
      </c>
      <c r="AB399" s="185" t="n">
        <v>0</v>
      </c>
      <c r="AC399" s="185" t="n">
        <v>0</v>
      </c>
      <c r="AD399" s="185" t="n">
        <v>0</v>
      </c>
      <c r="AE399" s="185" t="n">
        <v>0</v>
      </c>
      <c r="AF399" s="185" t="n">
        <v>0</v>
      </c>
      <c r="AG399" s="185" t="n">
        <v>0</v>
      </c>
      <c r="AH399" s="185" t="n">
        <v>875.63</v>
      </c>
      <c r="AI399" s="185" t="n">
        <v>0</v>
      </c>
      <c r="AJ399" s="185" t="n">
        <v>0</v>
      </c>
      <c r="AK399" s="185" t="n">
        <v>0</v>
      </c>
      <c r="AL399" s="186" t="n">
        <v>0</v>
      </c>
      <c r="AM399" s="30" t="inlineStr">
        <is>
          <t>.</t>
        </is>
      </c>
      <c r="AN399" s="187">
        <f>IF(L399=0,0,Z399/L399)</f>
        <v/>
      </c>
      <c r="AO399" s="57">
        <f>IF(AN399&gt;=1,"🟢",IF(AN399&gt;=0.7,"🟡",IF(AN399&gt;=0.4,"🟠","🔴")))</f>
        <v/>
      </c>
      <c r="AP399" s="185">
        <f>L399-Z399</f>
        <v/>
      </c>
      <c r="AQ399" s="55">
        <f>RANK(Z399,$Z$4:$Z$503,0)</f>
        <v/>
      </c>
      <c r="AR399" s="39" t="inlineStr">
        <is>
          <t>.</t>
        </is>
      </c>
      <c r="AS399" s="27" t="n"/>
      <c r="AT399" s="27" t="n"/>
      <c r="AU399" s="27" t="n"/>
      <c r="AV399" s="27" t="n"/>
      <c r="AW399" s="27" t="n"/>
      <c r="AX399" s="27" t="n"/>
      <c r="AY399" s="204" t="n"/>
      <c r="AZ399" s="204" t="n"/>
      <c r="BA399" s="38" t="inlineStr">
        <is>
          <t>.</t>
        </is>
      </c>
      <c r="BB399" s="190">
        <f>SUM(BC399:BN399)</f>
        <v/>
      </c>
      <c r="BC399" s="191">
        <f>L399*0.0702730030</f>
        <v/>
      </c>
      <c r="BD399" s="191">
        <f>L399*0.0734327604</f>
        <v/>
      </c>
      <c r="BE399" s="191">
        <f>L399*0.0752022245</f>
        <v/>
      </c>
      <c r="BF399" s="191">
        <f>L399*0.0771612740</f>
        <v/>
      </c>
      <c r="BG399" s="191">
        <f>L399*0.0796890799</f>
        <v/>
      </c>
      <c r="BH399" s="191">
        <f>L399*0.0817745197</f>
        <v/>
      </c>
      <c r="BI399" s="191">
        <f>L399*0.0849342770</f>
        <v/>
      </c>
      <c r="BJ399" s="191">
        <f>L399*0.0870197169</f>
        <v/>
      </c>
      <c r="BK399" s="191">
        <f>L399*0.0889787664</f>
        <v/>
      </c>
      <c r="BL399" s="191">
        <f>L399*0.0911905966</f>
        <v/>
      </c>
      <c r="BM399" s="191">
        <f>L399*0.0935920121</f>
        <v/>
      </c>
      <c r="BN399" s="192">
        <f>L399*0.0967517695</f>
        <v/>
      </c>
      <c r="BO399" s="36" t="inlineStr">
        <is>
          <t>.</t>
        </is>
      </c>
      <c r="BP399" s="193">
        <f>SUM(BQ399:CB399)</f>
        <v/>
      </c>
      <c r="BQ399" s="191">
        <f>MAX(0,BC399-AA399)</f>
        <v/>
      </c>
      <c r="BR399" s="191">
        <f>MAX(0,BD399-AB399)</f>
        <v/>
      </c>
      <c r="BS399" s="191">
        <f>MAX(0,BE399-AC399)</f>
        <v/>
      </c>
      <c r="BT399" s="191">
        <f>MAX(0,BF399-AD399)</f>
        <v/>
      </c>
      <c r="BU399" s="191">
        <f>MAX(0,BG399-AE399)</f>
        <v/>
      </c>
      <c r="BV399" s="191">
        <f>MAX(0,BH399-AF399)</f>
        <v/>
      </c>
      <c r="BW399" s="191">
        <f>MAX(0,BI399-AG399)</f>
        <v/>
      </c>
      <c r="BX399" s="191">
        <f>MAX(0,BJ399-AH399)</f>
        <v/>
      </c>
      <c r="BY399" s="191">
        <f>MAX(0,BK399-AI399)</f>
        <v/>
      </c>
      <c r="BZ399" s="191">
        <f>MAX(0,BL399-AJ399)</f>
        <v/>
      </c>
      <c r="CA399" s="191">
        <f>MAX(0,BM399-AK399)</f>
        <v/>
      </c>
      <c r="CB399" s="192">
        <f>MAX(0,BN399-AL399)</f>
        <v/>
      </c>
    </row>
    <row r="400">
      <c r="A400" s="64" t="inlineStr">
        <is>
          <t>63187605000153</t>
        </is>
      </c>
      <c r="B400" s="57" t="inlineStr">
        <is>
          <t>MUSSAMBE PRODUTOS NATURAIS E VARIEDADES</t>
        </is>
      </c>
      <c r="C400" s="57" t="inlineStr">
        <is>
          <t>SEM GRUPO</t>
        </is>
      </c>
      <c r="D400" s="61" t="inlineStr">
        <is>
          <t>LARISSA PADILHA</t>
        </is>
      </c>
      <c r="E400" s="30" t="inlineStr">
        <is>
          <t>.</t>
        </is>
      </c>
      <c r="F400" s="63" t="inlineStr"/>
      <c r="G400" s="179" t="inlineStr"/>
      <c r="H400" s="57" t="inlineStr"/>
      <c r="I400" s="57" t="inlineStr"/>
      <c r="J400" s="61" t="inlineStr"/>
      <c r="K400" s="30" t="inlineStr">
        <is>
          <t>.</t>
        </is>
      </c>
      <c r="L400" s="180" t="n">
        <v>2065.84</v>
      </c>
      <c r="M400" s="181" t="n">
        <v>145.17</v>
      </c>
      <c r="N400" s="181" t="n">
        <v>151.7</v>
      </c>
      <c r="O400" s="181" t="n">
        <v>155.36</v>
      </c>
      <c r="P400" s="181" t="n">
        <v>159.4</v>
      </c>
      <c r="Q400" s="181" t="n">
        <v>164.62</v>
      </c>
      <c r="R400" s="181" t="n">
        <v>168.93</v>
      </c>
      <c r="S400" s="181" t="n">
        <v>175.46</v>
      </c>
      <c r="T400" s="181" t="n">
        <v>179.77</v>
      </c>
      <c r="U400" s="181" t="n">
        <v>183.82</v>
      </c>
      <c r="V400" s="181" t="n">
        <v>188.39</v>
      </c>
      <c r="W400" s="181" t="n">
        <v>193.35</v>
      </c>
      <c r="X400" s="182" t="n">
        <v>199.87</v>
      </c>
      <c r="Y400" s="183" t="inlineStr">
        <is>
          <t>.</t>
        </is>
      </c>
      <c r="Z400" s="184">
        <f>SUM(AA400:AL400)</f>
        <v/>
      </c>
      <c r="AA400" s="185" t="n">
        <v>0</v>
      </c>
      <c r="AB400" s="185" t="n">
        <v>0</v>
      </c>
      <c r="AC400" s="185" t="n">
        <v>0</v>
      </c>
      <c r="AD400" s="185" t="n">
        <v>0</v>
      </c>
      <c r="AE400" s="185" t="n">
        <v>0</v>
      </c>
      <c r="AF400" s="185" t="n">
        <v>0</v>
      </c>
      <c r="AG400" s="185" t="n">
        <v>0</v>
      </c>
      <c r="AH400" s="185" t="n">
        <v>0</v>
      </c>
      <c r="AI400" s="185" t="n">
        <v>0</v>
      </c>
      <c r="AJ400" s="185" t="n">
        <v>0</v>
      </c>
      <c r="AK400" s="185" t="n">
        <v>0</v>
      </c>
      <c r="AL400" s="186" t="n">
        <v>910.48</v>
      </c>
      <c r="AM400" s="30" t="inlineStr">
        <is>
          <t>.</t>
        </is>
      </c>
      <c r="AN400" s="187">
        <f>IF(L400=0,0,Z400/L400)</f>
        <v/>
      </c>
      <c r="AO400" s="57">
        <f>IF(AN400&gt;=1,"🟢",IF(AN400&gt;=0.7,"🟡",IF(AN400&gt;=0.4,"🟠","🔴")))</f>
        <v/>
      </c>
      <c r="AP400" s="185">
        <f>L400-Z400</f>
        <v/>
      </c>
      <c r="AQ400" s="55">
        <f>RANK(Z400,$Z$4:$Z$503,0)</f>
        <v/>
      </c>
      <c r="AR400" s="39" t="inlineStr">
        <is>
          <t>.</t>
        </is>
      </c>
      <c r="AS400" s="27" t="n"/>
      <c r="AT400" s="27" t="n"/>
      <c r="AU400" s="27" t="n"/>
      <c r="AV400" s="27" t="n"/>
      <c r="AW400" s="27" t="n"/>
      <c r="AX400" s="27" t="n"/>
      <c r="AY400" s="204" t="n"/>
      <c r="AZ400" s="204" t="n"/>
      <c r="BA400" s="38" t="inlineStr">
        <is>
          <t>.</t>
        </is>
      </c>
      <c r="BB400" s="190">
        <f>SUM(BC400:BN400)</f>
        <v/>
      </c>
      <c r="BC400" s="191">
        <f>L400*0.0702730030</f>
        <v/>
      </c>
      <c r="BD400" s="191">
        <f>L400*0.0734327604</f>
        <v/>
      </c>
      <c r="BE400" s="191">
        <f>L400*0.0752022245</f>
        <v/>
      </c>
      <c r="BF400" s="191">
        <f>L400*0.0771612740</f>
        <v/>
      </c>
      <c r="BG400" s="191">
        <f>L400*0.0796890799</f>
        <v/>
      </c>
      <c r="BH400" s="191">
        <f>L400*0.0817745197</f>
        <v/>
      </c>
      <c r="BI400" s="191">
        <f>L400*0.0849342770</f>
        <v/>
      </c>
      <c r="BJ400" s="191">
        <f>L400*0.0870197169</f>
        <v/>
      </c>
      <c r="BK400" s="191">
        <f>L400*0.0889787664</f>
        <v/>
      </c>
      <c r="BL400" s="191">
        <f>L400*0.0911905966</f>
        <v/>
      </c>
      <c r="BM400" s="191">
        <f>L400*0.0935920121</f>
        <v/>
      </c>
      <c r="BN400" s="192">
        <f>L400*0.0967517695</f>
        <v/>
      </c>
      <c r="BO400" s="36" t="inlineStr">
        <is>
          <t>.</t>
        </is>
      </c>
      <c r="BP400" s="193">
        <f>SUM(BQ400:CB400)</f>
        <v/>
      </c>
      <c r="BQ400" s="191">
        <f>MAX(0,BC400-AA400)</f>
        <v/>
      </c>
      <c r="BR400" s="191">
        <f>MAX(0,BD400-AB400)</f>
        <v/>
      </c>
      <c r="BS400" s="191">
        <f>MAX(0,BE400-AC400)</f>
        <v/>
      </c>
      <c r="BT400" s="191">
        <f>MAX(0,BF400-AD400)</f>
        <v/>
      </c>
      <c r="BU400" s="191">
        <f>MAX(0,BG400-AE400)</f>
        <v/>
      </c>
      <c r="BV400" s="191">
        <f>MAX(0,BH400-AF400)</f>
        <v/>
      </c>
      <c r="BW400" s="191">
        <f>MAX(0,BI400-AG400)</f>
        <v/>
      </c>
      <c r="BX400" s="191">
        <f>MAX(0,BJ400-AH400)</f>
        <v/>
      </c>
      <c r="BY400" s="191">
        <f>MAX(0,BK400-AI400)</f>
        <v/>
      </c>
      <c r="BZ400" s="191">
        <f>MAX(0,BL400-AJ400)</f>
        <v/>
      </c>
      <c r="CA400" s="191">
        <f>MAX(0,BM400-AK400)</f>
        <v/>
      </c>
      <c r="CB400" s="192">
        <f>MAX(0,BN400-AL400)</f>
        <v/>
      </c>
    </row>
    <row r="401">
      <c r="A401" s="64" t="inlineStr">
        <is>
          <t>63835315000179</t>
        </is>
      </c>
      <c r="B401" s="57" t="inlineStr">
        <is>
          <t>63.835.315 ADASSYA NOBERTO FERREIRA - ME</t>
        </is>
      </c>
      <c r="C401" s="57" t="inlineStr">
        <is>
          <t>SEM GRUPO</t>
        </is>
      </c>
      <c r="D401" s="61" t="inlineStr">
        <is>
          <t>LARISSA PADILHA</t>
        </is>
      </c>
      <c r="E401" s="30" t="inlineStr">
        <is>
          <t>.</t>
        </is>
      </c>
      <c r="F401" s="63" t="inlineStr"/>
      <c r="G401" s="179" t="inlineStr"/>
      <c r="H401" s="57" t="inlineStr"/>
      <c r="I401" s="57" t="inlineStr"/>
      <c r="J401" s="61" t="inlineStr"/>
      <c r="K401" s="30" t="inlineStr">
        <is>
          <t>.</t>
        </is>
      </c>
      <c r="L401" s="180" t="n">
        <v>2060.09</v>
      </c>
      <c r="M401" s="181" t="n">
        <v>144.77</v>
      </c>
      <c r="N401" s="181" t="n">
        <v>151.28</v>
      </c>
      <c r="O401" s="181" t="n">
        <v>154.92</v>
      </c>
      <c r="P401" s="181" t="n">
        <v>158.96</v>
      </c>
      <c r="Q401" s="181" t="n">
        <v>164.17</v>
      </c>
      <c r="R401" s="181" t="n">
        <v>168.46</v>
      </c>
      <c r="S401" s="181" t="n">
        <v>174.97</v>
      </c>
      <c r="T401" s="181" t="n">
        <v>179.27</v>
      </c>
      <c r="U401" s="181" t="n">
        <v>183.3</v>
      </c>
      <c r="V401" s="181" t="n">
        <v>187.86</v>
      </c>
      <c r="W401" s="181" t="n">
        <v>192.81</v>
      </c>
      <c r="X401" s="182" t="n">
        <v>199.32</v>
      </c>
      <c r="Y401" s="183" t="inlineStr">
        <is>
          <t>.</t>
        </is>
      </c>
      <c r="Z401" s="184">
        <f>SUM(AA401:AL401)</f>
        <v/>
      </c>
      <c r="AA401" s="185" t="n">
        <v>0</v>
      </c>
      <c r="AB401" s="185" t="n">
        <v>0</v>
      </c>
      <c r="AC401" s="185" t="n">
        <v>0</v>
      </c>
      <c r="AD401" s="185" t="n">
        <v>0</v>
      </c>
      <c r="AE401" s="185" t="n">
        <v>0</v>
      </c>
      <c r="AF401" s="185" t="n">
        <v>0</v>
      </c>
      <c r="AG401" s="185" t="n">
        <v>0</v>
      </c>
      <c r="AH401" s="185" t="n">
        <v>0</v>
      </c>
      <c r="AI401" s="185" t="n">
        <v>0</v>
      </c>
      <c r="AJ401" s="185" t="n">
        <v>0</v>
      </c>
      <c r="AK401" s="185" t="n">
        <v>0</v>
      </c>
      <c r="AL401" s="186" t="n">
        <v>0</v>
      </c>
      <c r="AM401" s="30" t="inlineStr">
        <is>
          <t>.</t>
        </is>
      </c>
      <c r="AN401" s="187">
        <f>IF(L401=0,0,Z401/L401)</f>
        <v/>
      </c>
      <c r="AO401" s="57">
        <f>IF(AN401&gt;=1,"🟢",IF(AN401&gt;=0.7,"🟡",IF(AN401&gt;=0.4,"🟠","🔴")))</f>
        <v/>
      </c>
      <c r="AP401" s="185">
        <f>L401-Z401</f>
        <v/>
      </c>
      <c r="AQ401" s="55">
        <f>RANK(Z401,$Z$4:$Z$503,0)</f>
        <v/>
      </c>
      <c r="AR401" s="39" t="inlineStr">
        <is>
          <t>.</t>
        </is>
      </c>
      <c r="AS401" s="27" t="n"/>
      <c r="AT401" s="27" t="n"/>
      <c r="AU401" s="27" t="n"/>
      <c r="AV401" s="27" t="n"/>
      <c r="AW401" s="27" t="n"/>
      <c r="AX401" s="27" t="n"/>
      <c r="AY401" s="204" t="n"/>
      <c r="AZ401" s="204" t="n"/>
      <c r="BA401" s="38" t="inlineStr">
        <is>
          <t>.</t>
        </is>
      </c>
      <c r="BB401" s="190">
        <f>SUM(BC401:BN401)</f>
        <v/>
      </c>
      <c r="BC401" s="191">
        <f>L401*0.0702730030</f>
        <v/>
      </c>
      <c r="BD401" s="191">
        <f>L401*0.0734327604</f>
        <v/>
      </c>
      <c r="BE401" s="191">
        <f>L401*0.0752022245</f>
        <v/>
      </c>
      <c r="BF401" s="191">
        <f>L401*0.0771612740</f>
        <v/>
      </c>
      <c r="BG401" s="191">
        <f>L401*0.0796890799</f>
        <v/>
      </c>
      <c r="BH401" s="191">
        <f>L401*0.0817745197</f>
        <v/>
      </c>
      <c r="BI401" s="191">
        <f>L401*0.0849342770</f>
        <v/>
      </c>
      <c r="BJ401" s="191">
        <f>L401*0.0870197169</f>
        <v/>
      </c>
      <c r="BK401" s="191">
        <f>L401*0.0889787664</f>
        <v/>
      </c>
      <c r="BL401" s="191">
        <f>L401*0.0911905966</f>
        <v/>
      </c>
      <c r="BM401" s="191">
        <f>L401*0.0935920121</f>
        <v/>
      </c>
      <c r="BN401" s="192">
        <f>L401*0.0967517695</f>
        <v/>
      </c>
      <c r="BO401" s="36" t="inlineStr">
        <is>
          <t>.</t>
        </is>
      </c>
      <c r="BP401" s="193">
        <f>SUM(BQ401:CB401)</f>
        <v/>
      </c>
      <c r="BQ401" s="191">
        <f>MAX(0,BC401-AA401)</f>
        <v/>
      </c>
      <c r="BR401" s="191">
        <f>MAX(0,BD401-AB401)</f>
        <v/>
      </c>
      <c r="BS401" s="191">
        <f>MAX(0,BE401-AC401)</f>
        <v/>
      </c>
      <c r="BT401" s="191">
        <f>MAX(0,BF401-AD401)</f>
        <v/>
      </c>
      <c r="BU401" s="191">
        <f>MAX(0,BG401-AE401)</f>
        <v/>
      </c>
      <c r="BV401" s="191">
        <f>MAX(0,BH401-AF401)</f>
        <v/>
      </c>
      <c r="BW401" s="191">
        <f>MAX(0,BI401-AG401)</f>
        <v/>
      </c>
      <c r="BX401" s="191">
        <f>MAX(0,BJ401-AH401)</f>
        <v/>
      </c>
      <c r="BY401" s="191">
        <f>MAX(0,BK401-AI401)</f>
        <v/>
      </c>
      <c r="BZ401" s="191">
        <f>MAX(0,BL401-AJ401)</f>
        <v/>
      </c>
      <c r="CA401" s="191">
        <f>MAX(0,BM401-AK401)</f>
        <v/>
      </c>
      <c r="CB401" s="192">
        <f>MAX(0,BN401-AL401)</f>
        <v/>
      </c>
    </row>
    <row r="402">
      <c r="A402" s="64" t="inlineStr">
        <is>
          <t>08452814000179</t>
        </is>
      </c>
      <c r="B402" s="57" t="inlineStr">
        <is>
          <t>MARLUCE VIEIRA VASQUES - ME</t>
        </is>
      </c>
      <c r="C402" s="57" t="inlineStr">
        <is>
          <t>SEM GRUPO</t>
        </is>
      </c>
      <c r="D402" s="61" t="inlineStr">
        <is>
          <t>HEMANUELE DITZEL (MANU)</t>
        </is>
      </c>
      <c r="E402" s="30" t="inlineStr">
        <is>
          <t>.</t>
        </is>
      </c>
      <c r="F402" s="63" t="inlineStr"/>
      <c r="G402" s="179" t="inlineStr"/>
      <c r="H402" s="57" t="inlineStr"/>
      <c r="I402" s="57" t="inlineStr"/>
      <c r="J402" s="61" t="inlineStr"/>
      <c r="K402" s="30" t="inlineStr">
        <is>
          <t>.</t>
        </is>
      </c>
      <c r="L402" s="180" t="n">
        <v>2052.21</v>
      </c>
      <c r="M402" s="181" t="n">
        <v>144.22</v>
      </c>
      <c r="N402" s="181" t="n">
        <v>150.7</v>
      </c>
      <c r="O402" s="181" t="n">
        <v>154.33</v>
      </c>
      <c r="P402" s="181" t="n">
        <v>158.35</v>
      </c>
      <c r="Q402" s="181" t="n">
        <v>163.54</v>
      </c>
      <c r="R402" s="181" t="n">
        <v>167.82</v>
      </c>
      <c r="S402" s="181" t="n">
        <v>174.3</v>
      </c>
      <c r="T402" s="181" t="n">
        <v>178.58</v>
      </c>
      <c r="U402" s="181" t="n">
        <v>182.6</v>
      </c>
      <c r="V402" s="181" t="n">
        <v>187.14</v>
      </c>
      <c r="W402" s="181" t="n">
        <v>192.07</v>
      </c>
      <c r="X402" s="182" t="n">
        <v>198.56</v>
      </c>
      <c r="Y402" s="183" t="inlineStr">
        <is>
          <t>.</t>
        </is>
      </c>
      <c r="Z402" s="184">
        <f>SUM(AA402:AL402)</f>
        <v/>
      </c>
      <c r="AA402" s="185" t="n">
        <v>0</v>
      </c>
      <c r="AB402" s="185" t="n">
        <v>0</v>
      </c>
      <c r="AC402" s="185" t="n">
        <v>0</v>
      </c>
      <c r="AD402" s="185" t="n">
        <v>0</v>
      </c>
      <c r="AE402" s="185" t="n">
        <v>0</v>
      </c>
      <c r="AF402" s="185" t="n">
        <v>0</v>
      </c>
      <c r="AG402" s="185" t="n">
        <v>1040.92</v>
      </c>
      <c r="AH402" s="185" t="n">
        <v>0</v>
      </c>
      <c r="AI402" s="185" t="n">
        <v>0</v>
      </c>
      <c r="AJ402" s="185" t="n">
        <v>0</v>
      </c>
      <c r="AK402" s="185" t="n">
        <v>0</v>
      </c>
      <c r="AL402" s="186" t="n">
        <v>0</v>
      </c>
      <c r="AM402" s="30" t="inlineStr">
        <is>
          <t>.</t>
        </is>
      </c>
      <c r="AN402" s="187">
        <f>IF(L402=0,0,Z402/L402)</f>
        <v/>
      </c>
      <c r="AO402" s="57">
        <f>IF(AN402&gt;=1,"🟢",IF(AN402&gt;=0.7,"🟡",IF(AN402&gt;=0.4,"🟠","🔴")))</f>
        <v/>
      </c>
      <c r="AP402" s="185">
        <f>L402-Z402</f>
        <v/>
      </c>
      <c r="AQ402" s="55">
        <f>RANK(Z402,$Z$4:$Z$503,0)</f>
        <v/>
      </c>
      <c r="AR402" s="39" t="inlineStr">
        <is>
          <t>.</t>
        </is>
      </c>
      <c r="AS402" s="27" t="n"/>
      <c r="AT402" s="27" t="n"/>
      <c r="AU402" s="27" t="n"/>
      <c r="AV402" s="27" t="n"/>
      <c r="AW402" s="27" t="n"/>
      <c r="AX402" s="27" t="n"/>
      <c r="AY402" s="204" t="n"/>
      <c r="AZ402" s="204" t="n"/>
      <c r="BA402" s="38" t="inlineStr">
        <is>
          <t>.</t>
        </is>
      </c>
      <c r="BB402" s="190">
        <f>SUM(BC402:BN402)</f>
        <v/>
      </c>
      <c r="BC402" s="191">
        <f>L402*0.0702730030</f>
        <v/>
      </c>
      <c r="BD402" s="191">
        <f>L402*0.0734327604</f>
        <v/>
      </c>
      <c r="BE402" s="191">
        <f>L402*0.0752022245</f>
        <v/>
      </c>
      <c r="BF402" s="191">
        <f>L402*0.0771612740</f>
        <v/>
      </c>
      <c r="BG402" s="191">
        <f>L402*0.0796890799</f>
        <v/>
      </c>
      <c r="BH402" s="191">
        <f>L402*0.0817745197</f>
        <v/>
      </c>
      <c r="BI402" s="191">
        <f>L402*0.0849342770</f>
        <v/>
      </c>
      <c r="BJ402" s="191">
        <f>L402*0.0870197169</f>
        <v/>
      </c>
      <c r="BK402" s="191">
        <f>L402*0.0889787664</f>
        <v/>
      </c>
      <c r="BL402" s="191">
        <f>L402*0.0911905966</f>
        <v/>
      </c>
      <c r="BM402" s="191">
        <f>L402*0.0935920121</f>
        <v/>
      </c>
      <c r="BN402" s="192">
        <f>L402*0.0967517695</f>
        <v/>
      </c>
      <c r="BO402" s="36" t="inlineStr">
        <is>
          <t>.</t>
        </is>
      </c>
      <c r="BP402" s="193">
        <f>SUM(BQ402:CB402)</f>
        <v/>
      </c>
      <c r="BQ402" s="191">
        <f>MAX(0,BC402-AA402)</f>
        <v/>
      </c>
      <c r="BR402" s="191">
        <f>MAX(0,BD402-AB402)</f>
        <v/>
      </c>
      <c r="BS402" s="191">
        <f>MAX(0,BE402-AC402)</f>
        <v/>
      </c>
      <c r="BT402" s="191">
        <f>MAX(0,BF402-AD402)</f>
        <v/>
      </c>
      <c r="BU402" s="191">
        <f>MAX(0,BG402-AE402)</f>
        <v/>
      </c>
      <c r="BV402" s="191">
        <f>MAX(0,BH402-AF402)</f>
        <v/>
      </c>
      <c r="BW402" s="191">
        <f>MAX(0,BI402-AG402)</f>
        <v/>
      </c>
      <c r="BX402" s="191">
        <f>MAX(0,BJ402-AH402)</f>
        <v/>
      </c>
      <c r="BY402" s="191">
        <f>MAX(0,BK402-AI402)</f>
        <v/>
      </c>
      <c r="BZ402" s="191">
        <f>MAX(0,BL402-AJ402)</f>
        <v/>
      </c>
      <c r="CA402" s="191">
        <f>MAX(0,BM402-AK402)</f>
        <v/>
      </c>
      <c r="CB402" s="192">
        <f>MAX(0,BN402-AL402)</f>
        <v/>
      </c>
    </row>
    <row r="403">
      <c r="A403" s="64" t="inlineStr">
        <is>
          <t>95806220000113</t>
        </is>
      </c>
      <c r="B403" s="57" t="inlineStr">
        <is>
          <t>MARCIA ROTHBARTH - ME</t>
        </is>
      </c>
      <c r="C403" s="57" t="inlineStr">
        <is>
          <t>SEM GRUPO</t>
        </is>
      </c>
      <c r="D403" s="61" t="inlineStr">
        <is>
          <t>HEMANUELE DITZEL (MANU)</t>
        </is>
      </c>
      <c r="E403" s="30" t="inlineStr">
        <is>
          <t>.</t>
        </is>
      </c>
      <c r="F403" s="63" t="inlineStr"/>
      <c r="G403" s="179" t="inlineStr"/>
      <c r="H403" s="57" t="inlineStr"/>
      <c r="I403" s="57" t="inlineStr"/>
      <c r="J403" s="61" t="inlineStr"/>
      <c r="K403" s="30" t="inlineStr">
        <is>
          <t>.</t>
        </is>
      </c>
      <c r="L403" s="180" t="n">
        <v>2050.69</v>
      </c>
      <c r="M403" s="181" t="n">
        <v>144.11</v>
      </c>
      <c r="N403" s="181" t="n">
        <v>150.59</v>
      </c>
      <c r="O403" s="181" t="n">
        <v>154.22</v>
      </c>
      <c r="P403" s="181" t="n">
        <v>158.23</v>
      </c>
      <c r="Q403" s="181" t="n">
        <v>163.42</v>
      </c>
      <c r="R403" s="181" t="n">
        <v>167.69</v>
      </c>
      <c r="S403" s="181" t="n">
        <v>174.17</v>
      </c>
      <c r="T403" s="181" t="n">
        <v>178.45</v>
      </c>
      <c r="U403" s="181" t="n">
        <v>182.47</v>
      </c>
      <c r="V403" s="181" t="n">
        <v>187</v>
      </c>
      <c r="W403" s="181" t="n">
        <v>191.93</v>
      </c>
      <c r="X403" s="182" t="n">
        <v>198.41</v>
      </c>
      <c r="Y403" s="183" t="inlineStr">
        <is>
          <t>.</t>
        </is>
      </c>
      <c r="Z403" s="184">
        <f>SUM(AA403:AL403)</f>
        <v/>
      </c>
      <c r="AA403" s="185" t="n">
        <v>0</v>
      </c>
      <c r="AB403" s="185" t="n">
        <v>2061.48</v>
      </c>
      <c r="AC403" s="185" t="n">
        <v>0</v>
      </c>
      <c r="AD403" s="185" t="n">
        <v>0</v>
      </c>
      <c r="AE403" s="185" t="n">
        <v>0</v>
      </c>
      <c r="AF403" s="185" t="n">
        <v>0</v>
      </c>
      <c r="AG403" s="185" t="n">
        <v>0</v>
      </c>
      <c r="AH403" s="185" t="n">
        <v>0</v>
      </c>
      <c r="AI403" s="185" t="n">
        <v>0</v>
      </c>
      <c r="AJ403" s="185" t="n">
        <v>0</v>
      </c>
      <c r="AK403" s="185" t="n">
        <v>0</v>
      </c>
      <c r="AL403" s="186" t="n">
        <v>0</v>
      </c>
      <c r="AM403" s="30" t="inlineStr">
        <is>
          <t>.</t>
        </is>
      </c>
      <c r="AN403" s="187">
        <f>IF(L403=0,0,Z403/L403)</f>
        <v/>
      </c>
      <c r="AO403" s="57">
        <f>IF(AN403&gt;=1,"🟢",IF(AN403&gt;=0.7,"🟡",IF(AN403&gt;=0.4,"🟠","🔴")))</f>
        <v/>
      </c>
      <c r="AP403" s="185">
        <f>L403-Z403</f>
        <v/>
      </c>
      <c r="AQ403" s="55">
        <f>RANK(Z403,$Z$4:$Z$503,0)</f>
        <v/>
      </c>
      <c r="AR403" s="39" t="inlineStr">
        <is>
          <t>.</t>
        </is>
      </c>
      <c r="AS403" s="27" t="n"/>
      <c r="AT403" s="27" t="n"/>
      <c r="AU403" s="27" t="n"/>
      <c r="AV403" s="27" t="n"/>
      <c r="AW403" s="27" t="n"/>
      <c r="AX403" s="27" t="n"/>
      <c r="AY403" s="204" t="n"/>
      <c r="AZ403" s="204" t="n"/>
      <c r="BA403" s="38" t="inlineStr">
        <is>
          <t>.</t>
        </is>
      </c>
      <c r="BB403" s="190">
        <f>SUM(BC403:BN403)</f>
        <v/>
      </c>
      <c r="BC403" s="191">
        <f>L403*0.0702730030</f>
        <v/>
      </c>
      <c r="BD403" s="191">
        <f>L403*0.0734327604</f>
        <v/>
      </c>
      <c r="BE403" s="191">
        <f>L403*0.0752022245</f>
        <v/>
      </c>
      <c r="BF403" s="191">
        <f>L403*0.0771612740</f>
        <v/>
      </c>
      <c r="BG403" s="191">
        <f>L403*0.0796890799</f>
        <v/>
      </c>
      <c r="BH403" s="191">
        <f>L403*0.0817745197</f>
        <v/>
      </c>
      <c r="BI403" s="191">
        <f>L403*0.0849342770</f>
        <v/>
      </c>
      <c r="BJ403" s="191">
        <f>L403*0.0870197169</f>
        <v/>
      </c>
      <c r="BK403" s="191">
        <f>L403*0.0889787664</f>
        <v/>
      </c>
      <c r="BL403" s="191">
        <f>L403*0.0911905966</f>
        <v/>
      </c>
      <c r="BM403" s="191">
        <f>L403*0.0935920121</f>
        <v/>
      </c>
      <c r="BN403" s="192">
        <f>L403*0.0967517695</f>
        <v/>
      </c>
      <c r="BO403" s="36" t="inlineStr">
        <is>
          <t>.</t>
        </is>
      </c>
      <c r="BP403" s="193">
        <f>SUM(BQ403:CB403)</f>
        <v/>
      </c>
      <c r="BQ403" s="191">
        <f>MAX(0,BC403-AA403)</f>
        <v/>
      </c>
      <c r="BR403" s="191">
        <f>MAX(0,BD403-AB403)</f>
        <v/>
      </c>
      <c r="BS403" s="191">
        <f>MAX(0,BE403-AC403)</f>
        <v/>
      </c>
      <c r="BT403" s="191">
        <f>MAX(0,BF403-AD403)</f>
        <v/>
      </c>
      <c r="BU403" s="191">
        <f>MAX(0,BG403-AE403)</f>
        <v/>
      </c>
      <c r="BV403" s="191">
        <f>MAX(0,BH403-AF403)</f>
        <v/>
      </c>
      <c r="BW403" s="191">
        <f>MAX(0,BI403-AG403)</f>
        <v/>
      </c>
      <c r="BX403" s="191">
        <f>MAX(0,BJ403-AH403)</f>
        <v/>
      </c>
      <c r="BY403" s="191">
        <f>MAX(0,BK403-AI403)</f>
        <v/>
      </c>
      <c r="BZ403" s="191">
        <f>MAX(0,BL403-AJ403)</f>
        <v/>
      </c>
      <c r="CA403" s="191">
        <f>MAX(0,BM403-AK403)</f>
        <v/>
      </c>
      <c r="CB403" s="192">
        <f>MAX(0,BN403-AL403)</f>
        <v/>
      </c>
    </row>
    <row r="404">
      <c r="A404" s="64" t="inlineStr">
        <is>
          <t>39565216000130</t>
        </is>
      </c>
      <c r="B404" s="57" t="inlineStr">
        <is>
          <t>VIDA NA VIDA COMERCIO DE PRODUTOS NATURA</t>
        </is>
      </c>
      <c r="C404" s="57" t="inlineStr">
        <is>
          <t>SEM GRUPO</t>
        </is>
      </c>
      <c r="D404" s="61" t="inlineStr">
        <is>
          <t>LARISSA PADILHA</t>
        </is>
      </c>
      <c r="E404" s="30" t="inlineStr">
        <is>
          <t>.</t>
        </is>
      </c>
      <c r="F404" s="63" t="inlineStr"/>
      <c r="G404" s="179" t="inlineStr"/>
      <c r="H404" s="57" t="inlineStr"/>
      <c r="I404" s="57" t="inlineStr"/>
      <c r="J404" s="61" t="inlineStr"/>
      <c r="K404" s="30" t="inlineStr">
        <is>
          <t>.</t>
        </is>
      </c>
      <c r="L404" s="180" t="n">
        <v>1979.36</v>
      </c>
      <c r="M404" s="181" t="n">
        <v>139.1</v>
      </c>
      <c r="N404" s="181" t="n">
        <v>145.35</v>
      </c>
      <c r="O404" s="181" t="n">
        <v>148.85</v>
      </c>
      <c r="P404" s="181" t="n">
        <v>152.73</v>
      </c>
      <c r="Q404" s="181" t="n">
        <v>157.73</v>
      </c>
      <c r="R404" s="181" t="n">
        <v>161.86</v>
      </c>
      <c r="S404" s="181" t="n">
        <v>168.12</v>
      </c>
      <c r="T404" s="181" t="n">
        <v>172.24</v>
      </c>
      <c r="U404" s="181" t="n">
        <v>176.12</v>
      </c>
      <c r="V404" s="181" t="n">
        <v>180.5</v>
      </c>
      <c r="W404" s="181" t="n">
        <v>185.25</v>
      </c>
      <c r="X404" s="182" t="n">
        <v>191.51</v>
      </c>
      <c r="Y404" s="183" t="inlineStr">
        <is>
          <t>.</t>
        </is>
      </c>
      <c r="Z404" s="184">
        <f>SUM(AA404:AL404)</f>
        <v/>
      </c>
      <c r="AA404" s="185" t="n">
        <v>0</v>
      </c>
      <c r="AB404" s="185" t="n">
        <v>0</v>
      </c>
      <c r="AC404" s="185" t="n">
        <v>0</v>
      </c>
      <c r="AD404" s="185" t="n">
        <v>0</v>
      </c>
      <c r="AE404" s="185" t="n">
        <v>0</v>
      </c>
      <c r="AF404" s="185" t="n">
        <v>794.86</v>
      </c>
      <c r="AG404" s="185" t="n">
        <v>0</v>
      </c>
      <c r="AH404" s="185" t="n">
        <v>0</v>
      </c>
      <c r="AI404" s="185" t="n">
        <v>0</v>
      </c>
      <c r="AJ404" s="185" t="n">
        <v>0</v>
      </c>
      <c r="AK404" s="185" t="n">
        <v>0</v>
      </c>
      <c r="AL404" s="186" t="n">
        <v>0</v>
      </c>
      <c r="AM404" s="30" t="inlineStr">
        <is>
          <t>.</t>
        </is>
      </c>
      <c r="AN404" s="187">
        <f>IF(L404=0,0,Z404/L404)</f>
        <v/>
      </c>
      <c r="AO404" s="57">
        <f>IF(AN404&gt;=1,"🟢",IF(AN404&gt;=0.7,"🟡",IF(AN404&gt;=0.4,"🟠","🔴")))</f>
        <v/>
      </c>
      <c r="AP404" s="185">
        <f>L404-Z404</f>
        <v/>
      </c>
      <c r="AQ404" s="55">
        <f>RANK(Z404,$Z$4:$Z$503,0)</f>
        <v/>
      </c>
      <c r="AR404" s="39" t="inlineStr">
        <is>
          <t>.</t>
        </is>
      </c>
      <c r="AS404" s="27" t="n"/>
      <c r="AT404" s="27" t="n"/>
      <c r="AU404" s="27" t="n"/>
      <c r="AV404" s="27" t="n"/>
      <c r="AW404" s="27" t="n"/>
      <c r="AX404" s="27" t="n"/>
      <c r="AY404" s="204" t="n"/>
      <c r="AZ404" s="204" t="n"/>
      <c r="BA404" s="38" t="inlineStr">
        <is>
          <t>.</t>
        </is>
      </c>
      <c r="BB404" s="190">
        <f>SUM(BC404:BN404)</f>
        <v/>
      </c>
      <c r="BC404" s="191">
        <f>L404*0.0702730030</f>
        <v/>
      </c>
      <c r="BD404" s="191">
        <f>L404*0.0734327604</f>
        <v/>
      </c>
      <c r="BE404" s="191">
        <f>L404*0.0752022245</f>
        <v/>
      </c>
      <c r="BF404" s="191">
        <f>L404*0.0771612740</f>
        <v/>
      </c>
      <c r="BG404" s="191">
        <f>L404*0.0796890799</f>
        <v/>
      </c>
      <c r="BH404" s="191">
        <f>L404*0.0817745197</f>
        <v/>
      </c>
      <c r="BI404" s="191">
        <f>L404*0.0849342770</f>
        <v/>
      </c>
      <c r="BJ404" s="191">
        <f>L404*0.0870197169</f>
        <v/>
      </c>
      <c r="BK404" s="191">
        <f>L404*0.0889787664</f>
        <v/>
      </c>
      <c r="BL404" s="191">
        <f>L404*0.0911905966</f>
        <v/>
      </c>
      <c r="BM404" s="191">
        <f>L404*0.0935920121</f>
        <v/>
      </c>
      <c r="BN404" s="192">
        <f>L404*0.0967517695</f>
        <v/>
      </c>
      <c r="BO404" s="36" t="inlineStr">
        <is>
          <t>.</t>
        </is>
      </c>
      <c r="BP404" s="193">
        <f>SUM(BQ404:CB404)</f>
        <v/>
      </c>
      <c r="BQ404" s="191">
        <f>MAX(0,BC404-AA404)</f>
        <v/>
      </c>
      <c r="BR404" s="191">
        <f>MAX(0,BD404-AB404)</f>
        <v/>
      </c>
      <c r="BS404" s="191">
        <f>MAX(0,BE404-AC404)</f>
        <v/>
      </c>
      <c r="BT404" s="191">
        <f>MAX(0,BF404-AD404)</f>
        <v/>
      </c>
      <c r="BU404" s="191">
        <f>MAX(0,BG404-AE404)</f>
        <v/>
      </c>
      <c r="BV404" s="191">
        <f>MAX(0,BH404-AF404)</f>
        <v/>
      </c>
      <c r="BW404" s="191">
        <f>MAX(0,BI404-AG404)</f>
        <v/>
      </c>
      <c r="BX404" s="191">
        <f>MAX(0,BJ404-AH404)</f>
        <v/>
      </c>
      <c r="BY404" s="191">
        <f>MAX(0,BK404-AI404)</f>
        <v/>
      </c>
      <c r="BZ404" s="191">
        <f>MAX(0,BL404-AJ404)</f>
        <v/>
      </c>
      <c r="CA404" s="191">
        <f>MAX(0,BM404-AK404)</f>
        <v/>
      </c>
      <c r="CB404" s="192">
        <f>MAX(0,BN404-AL404)</f>
        <v/>
      </c>
    </row>
    <row r="405">
      <c r="A405" s="64" t="inlineStr">
        <is>
          <t>55605776000127</t>
        </is>
      </c>
      <c r="B405" s="57" t="inlineStr">
        <is>
          <t>FIT4SHAPE NUTRICAO LTDA - EPP</t>
        </is>
      </c>
      <c r="C405" s="57" t="inlineStr">
        <is>
          <t>FITLAND</t>
        </is>
      </c>
      <c r="D405" s="61" t="inlineStr">
        <is>
          <t>JULIO GADRET</t>
        </is>
      </c>
      <c r="E405" s="30" t="inlineStr">
        <is>
          <t>.</t>
        </is>
      </c>
      <c r="F405" s="63" t="n">
        <v>89</v>
      </c>
      <c r="G405" s="179" t="n">
        <v>0.298</v>
      </c>
      <c r="H405" s="57" t="inlineStr">
        <is>
          <t>🔴 VERMELHO</t>
        </is>
      </c>
      <c r="I405" s="57" t="inlineStr">
        <is>
          <t>POSITIVAÇÃO</t>
        </is>
      </c>
      <c r="J405" s="61" t="inlineStr">
        <is>
          <t>Aumentar frequência + Expandir base</t>
        </is>
      </c>
      <c r="K405" s="30" t="inlineStr">
        <is>
          <t>.</t>
        </is>
      </c>
      <c r="L405" s="180" t="n">
        <v>1967.28</v>
      </c>
      <c r="M405" s="181" t="n">
        <v>138.25</v>
      </c>
      <c r="N405" s="181" t="n">
        <v>144.46</v>
      </c>
      <c r="O405" s="181" t="n">
        <v>147.94</v>
      </c>
      <c r="P405" s="181" t="n">
        <v>151.8</v>
      </c>
      <c r="Q405" s="181" t="n">
        <v>156.77</v>
      </c>
      <c r="R405" s="181" t="n">
        <v>160.87</v>
      </c>
      <c r="S405" s="181" t="n">
        <v>167.09</v>
      </c>
      <c r="T405" s="181" t="n">
        <v>171.19</v>
      </c>
      <c r="U405" s="181" t="n">
        <v>175.05</v>
      </c>
      <c r="V405" s="181" t="n">
        <v>179.4</v>
      </c>
      <c r="W405" s="181" t="n">
        <v>184.12</v>
      </c>
      <c r="X405" s="182" t="n">
        <v>190.34</v>
      </c>
      <c r="Y405" s="183" t="inlineStr">
        <is>
          <t>.</t>
        </is>
      </c>
      <c r="Z405" s="184">
        <f>SUM(AA405:AL405)</f>
        <v/>
      </c>
      <c r="AA405" s="185" t="n">
        <v>720.85</v>
      </c>
      <c r="AB405" s="185" t="n">
        <v>0</v>
      </c>
      <c r="AC405" s="185" t="n">
        <v>392.54</v>
      </c>
      <c r="AD405" s="185" t="n">
        <v>0</v>
      </c>
      <c r="AE405" s="185" t="n">
        <v>0</v>
      </c>
      <c r="AF405" s="185" t="n">
        <v>0</v>
      </c>
      <c r="AG405" s="185" t="n">
        <v>0</v>
      </c>
      <c r="AH405" s="185" t="n">
        <v>0</v>
      </c>
      <c r="AI405" s="185" t="n">
        <v>0</v>
      </c>
      <c r="AJ405" s="185" t="n">
        <v>0</v>
      </c>
      <c r="AK405" s="185" t="n">
        <v>0</v>
      </c>
      <c r="AL405" s="186" t="n">
        <v>0</v>
      </c>
      <c r="AM405" s="30" t="inlineStr">
        <is>
          <t>.</t>
        </is>
      </c>
      <c r="AN405" s="187">
        <f>IF(L405=0,0,Z405/L405)</f>
        <v/>
      </c>
      <c r="AO405" s="57">
        <f>IF(AN405&gt;=1,"🟢",IF(AN405&gt;=0.7,"🟡",IF(AN405&gt;=0.4,"🟠","🔴")))</f>
        <v/>
      </c>
      <c r="AP405" s="185">
        <f>L405-Z405</f>
        <v/>
      </c>
      <c r="AQ405" s="55">
        <f>RANK(Z405,$Z$4:$Z$503,0)</f>
        <v/>
      </c>
      <c r="AR405" s="39" t="inlineStr">
        <is>
          <t>.</t>
        </is>
      </c>
      <c r="AS405" s="27" t="n"/>
      <c r="AT405" s="27" t="n"/>
      <c r="AU405" s="27" t="n"/>
      <c r="AV405" s="27" t="n"/>
      <c r="AW405" s="27" t="n"/>
      <c r="AX405" s="27" t="n"/>
      <c r="AY405" s="204" t="n"/>
      <c r="AZ405" s="204" t="n"/>
      <c r="BA405" s="38" t="inlineStr">
        <is>
          <t>.</t>
        </is>
      </c>
      <c r="BB405" s="190">
        <f>SUM(BC405:BN405)</f>
        <v/>
      </c>
      <c r="BC405" s="191">
        <f>L405*0.0702730030</f>
        <v/>
      </c>
      <c r="BD405" s="191">
        <f>L405*0.0734327604</f>
        <v/>
      </c>
      <c r="BE405" s="191">
        <f>L405*0.0752022245</f>
        <v/>
      </c>
      <c r="BF405" s="191">
        <f>L405*0.0771612740</f>
        <v/>
      </c>
      <c r="BG405" s="191">
        <f>L405*0.0796890799</f>
        <v/>
      </c>
      <c r="BH405" s="191">
        <f>L405*0.0817745197</f>
        <v/>
      </c>
      <c r="BI405" s="191">
        <f>L405*0.0849342770</f>
        <v/>
      </c>
      <c r="BJ405" s="191">
        <f>L405*0.0870197169</f>
        <v/>
      </c>
      <c r="BK405" s="191">
        <f>L405*0.0889787664</f>
        <v/>
      </c>
      <c r="BL405" s="191">
        <f>L405*0.0911905966</f>
        <v/>
      </c>
      <c r="BM405" s="191">
        <f>L405*0.0935920121</f>
        <v/>
      </c>
      <c r="BN405" s="192">
        <f>L405*0.0967517695</f>
        <v/>
      </c>
      <c r="BO405" s="36" t="inlineStr">
        <is>
          <t>.</t>
        </is>
      </c>
      <c r="BP405" s="193">
        <f>SUM(BQ405:CB405)</f>
        <v/>
      </c>
      <c r="BQ405" s="191">
        <f>MAX(0,BC405-AA405)</f>
        <v/>
      </c>
      <c r="BR405" s="191">
        <f>MAX(0,BD405-AB405)</f>
        <v/>
      </c>
      <c r="BS405" s="191">
        <f>MAX(0,BE405-AC405)</f>
        <v/>
      </c>
      <c r="BT405" s="191">
        <f>MAX(0,BF405-AD405)</f>
        <v/>
      </c>
      <c r="BU405" s="191">
        <f>MAX(0,BG405-AE405)</f>
        <v/>
      </c>
      <c r="BV405" s="191">
        <f>MAX(0,BH405-AF405)</f>
        <v/>
      </c>
      <c r="BW405" s="191">
        <f>MAX(0,BI405-AG405)</f>
        <v/>
      </c>
      <c r="BX405" s="191">
        <f>MAX(0,BJ405-AH405)</f>
        <v/>
      </c>
      <c r="BY405" s="191">
        <f>MAX(0,BK405-AI405)</f>
        <v/>
      </c>
      <c r="BZ405" s="191">
        <f>MAX(0,BL405-AJ405)</f>
        <v/>
      </c>
      <c r="CA405" s="191">
        <f>MAX(0,BM405-AK405)</f>
        <v/>
      </c>
      <c r="CB405" s="192">
        <f>MAX(0,BN405-AL405)</f>
        <v/>
      </c>
    </row>
    <row r="406">
      <c r="A406" s="64" t="inlineStr">
        <is>
          <t>27433919000125</t>
        </is>
      </c>
      <c r="B406" s="57" t="inlineStr">
        <is>
          <t>QUINOA NATURAL CAMBUI ALIMENTOS SAUDAVEI</t>
        </is>
      </c>
      <c r="C406" s="57" t="inlineStr">
        <is>
          <t>SEM GRUPO</t>
        </is>
      </c>
      <c r="D406" s="61" t="inlineStr">
        <is>
          <t>LARISSA PADILHA</t>
        </is>
      </c>
      <c r="E406" s="30" t="inlineStr">
        <is>
          <t>.</t>
        </is>
      </c>
      <c r="F406" s="63" t="inlineStr"/>
      <c r="G406" s="179" t="inlineStr"/>
      <c r="H406" s="57" t="inlineStr"/>
      <c r="I406" s="57" t="inlineStr"/>
      <c r="J406" s="61" t="inlineStr"/>
      <c r="K406" s="30" t="inlineStr">
        <is>
          <t>.</t>
        </is>
      </c>
      <c r="L406" s="180" t="n">
        <v>1924.64</v>
      </c>
      <c r="M406" s="181" t="n">
        <v>135.25</v>
      </c>
      <c r="N406" s="181" t="n">
        <v>141.33</v>
      </c>
      <c r="O406" s="181" t="n">
        <v>144.74</v>
      </c>
      <c r="P406" s="181" t="n">
        <v>148.51</v>
      </c>
      <c r="Q406" s="181" t="n">
        <v>153.37</v>
      </c>
      <c r="R406" s="181" t="n">
        <v>157.39</v>
      </c>
      <c r="S406" s="181" t="n">
        <v>163.47</v>
      </c>
      <c r="T406" s="181" t="n">
        <v>167.48</v>
      </c>
      <c r="U406" s="181" t="n">
        <v>171.25</v>
      </c>
      <c r="V406" s="181" t="n">
        <v>175.51</v>
      </c>
      <c r="W406" s="181" t="n">
        <v>180.13</v>
      </c>
      <c r="X406" s="182" t="n">
        <v>186.21</v>
      </c>
      <c r="Y406" s="183" t="inlineStr">
        <is>
          <t>.</t>
        </is>
      </c>
      <c r="Z406" s="184">
        <f>SUM(AA406:AL406)</f>
        <v/>
      </c>
      <c r="AA406" s="185" t="n">
        <v>0</v>
      </c>
      <c r="AB406" s="185" t="n">
        <v>0</v>
      </c>
      <c r="AC406" s="185" t="n">
        <v>0</v>
      </c>
      <c r="AD406" s="185" t="n">
        <v>0</v>
      </c>
      <c r="AE406" s="185" t="n">
        <v>0</v>
      </c>
      <c r="AF406" s="185" t="n">
        <v>0</v>
      </c>
      <c r="AG406" s="185" t="n">
        <v>1059.46</v>
      </c>
      <c r="AH406" s="185" t="n">
        <v>0</v>
      </c>
      <c r="AI406" s="185" t="n">
        <v>0</v>
      </c>
      <c r="AJ406" s="185" t="n">
        <v>339.66</v>
      </c>
      <c r="AK406" s="185" t="n">
        <v>0</v>
      </c>
      <c r="AL406" s="186" t="n">
        <v>0</v>
      </c>
      <c r="AM406" s="30" t="inlineStr">
        <is>
          <t>.</t>
        </is>
      </c>
      <c r="AN406" s="187">
        <f>IF(L406=0,0,Z406/L406)</f>
        <v/>
      </c>
      <c r="AO406" s="57">
        <f>IF(AN406&gt;=1,"🟢",IF(AN406&gt;=0.7,"🟡",IF(AN406&gt;=0.4,"🟠","🔴")))</f>
        <v/>
      </c>
      <c r="AP406" s="185">
        <f>L406-Z406</f>
        <v/>
      </c>
      <c r="AQ406" s="55">
        <f>RANK(Z406,$Z$4:$Z$503,0)</f>
        <v/>
      </c>
      <c r="AR406" s="39" t="inlineStr">
        <is>
          <t>.</t>
        </is>
      </c>
      <c r="AS406" s="27" t="n"/>
      <c r="AT406" s="27" t="n"/>
      <c r="AU406" s="27" t="n"/>
      <c r="AV406" s="27" t="n"/>
      <c r="AW406" s="27" t="n"/>
      <c r="AX406" s="27" t="n"/>
      <c r="AY406" s="204" t="n"/>
      <c r="AZ406" s="204" t="n"/>
      <c r="BA406" s="38" t="inlineStr">
        <is>
          <t>.</t>
        </is>
      </c>
      <c r="BB406" s="190">
        <f>SUM(BC406:BN406)</f>
        <v/>
      </c>
      <c r="BC406" s="191">
        <f>L406*0.0702730030</f>
        <v/>
      </c>
      <c r="BD406" s="191">
        <f>L406*0.0734327604</f>
        <v/>
      </c>
      <c r="BE406" s="191">
        <f>L406*0.0752022245</f>
        <v/>
      </c>
      <c r="BF406" s="191">
        <f>L406*0.0771612740</f>
        <v/>
      </c>
      <c r="BG406" s="191">
        <f>L406*0.0796890799</f>
        <v/>
      </c>
      <c r="BH406" s="191">
        <f>L406*0.0817745197</f>
        <v/>
      </c>
      <c r="BI406" s="191">
        <f>L406*0.0849342770</f>
        <v/>
      </c>
      <c r="BJ406" s="191">
        <f>L406*0.0870197169</f>
        <v/>
      </c>
      <c r="BK406" s="191">
        <f>L406*0.0889787664</f>
        <v/>
      </c>
      <c r="BL406" s="191">
        <f>L406*0.0911905966</f>
        <v/>
      </c>
      <c r="BM406" s="191">
        <f>L406*0.0935920121</f>
        <v/>
      </c>
      <c r="BN406" s="192">
        <f>L406*0.0967517695</f>
        <v/>
      </c>
      <c r="BO406" s="36" t="inlineStr">
        <is>
          <t>.</t>
        </is>
      </c>
      <c r="BP406" s="193">
        <f>SUM(BQ406:CB406)</f>
        <v/>
      </c>
      <c r="BQ406" s="191">
        <f>MAX(0,BC406-AA406)</f>
        <v/>
      </c>
      <c r="BR406" s="191">
        <f>MAX(0,BD406-AB406)</f>
        <v/>
      </c>
      <c r="BS406" s="191">
        <f>MAX(0,BE406-AC406)</f>
        <v/>
      </c>
      <c r="BT406" s="191">
        <f>MAX(0,BF406-AD406)</f>
        <v/>
      </c>
      <c r="BU406" s="191">
        <f>MAX(0,BG406-AE406)</f>
        <v/>
      </c>
      <c r="BV406" s="191">
        <f>MAX(0,BH406-AF406)</f>
        <v/>
      </c>
      <c r="BW406" s="191">
        <f>MAX(0,BI406-AG406)</f>
        <v/>
      </c>
      <c r="BX406" s="191">
        <f>MAX(0,BJ406-AH406)</f>
        <v/>
      </c>
      <c r="BY406" s="191">
        <f>MAX(0,BK406-AI406)</f>
        <v/>
      </c>
      <c r="BZ406" s="191">
        <f>MAX(0,BL406-AJ406)</f>
        <v/>
      </c>
      <c r="CA406" s="191">
        <f>MAX(0,BM406-AK406)</f>
        <v/>
      </c>
      <c r="CB406" s="192">
        <f>MAX(0,BN406-AL406)</f>
        <v/>
      </c>
    </row>
    <row r="407">
      <c r="A407" s="64" t="inlineStr">
        <is>
          <t>53939218000172</t>
        </is>
      </c>
      <c r="B407" s="57" t="inlineStr">
        <is>
          <t>BEM ESTAR NATURAL LTDA - ME</t>
        </is>
      </c>
      <c r="C407" s="57" t="inlineStr">
        <is>
          <t>SEM GRUPO</t>
        </is>
      </c>
      <c r="D407" s="61" t="inlineStr">
        <is>
          <t>HEMANUELE DITZEL (MANU)</t>
        </is>
      </c>
      <c r="E407" s="30" t="inlineStr">
        <is>
          <t>.</t>
        </is>
      </c>
      <c r="F407" s="63" t="inlineStr"/>
      <c r="G407" s="179" t="inlineStr"/>
      <c r="H407" s="57" t="inlineStr"/>
      <c r="I407" s="57" t="inlineStr"/>
      <c r="J407" s="61" t="inlineStr"/>
      <c r="K407" s="30" t="inlineStr">
        <is>
          <t>.</t>
        </is>
      </c>
      <c r="L407" s="180" t="n">
        <v>1919.98</v>
      </c>
      <c r="M407" s="181" t="n">
        <v>134.92</v>
      </c>
      <c r="N407" s="181" t="n">
        <v>140.99</v>
      </c>
      <c r="O407" s="181" t="n">
        <v>144.39</v>
      </c>
      <c r="P407" s="181" t="n">
        <v>148.15</v>
      </c>
      <c r="Q407" s="181" t="n">
        <v>153</v>
      </c>
      <c r="R407" s="181" t="n">
        <v>157.01</v>
      </c>
      <c r="S407" s="181" t="n">
        <v>163.07</v>
      </c>
      <c r="T407" s="181" t="n">
        <v>167.08</v>
      </c>
      <c r="U407" s="181" t="n">
        <v>170.84</v>
      </c>
      <c r="V407" s="181" t="n">
        <v>175.08</v>
      </c>
      <c r="W407" s="181" t="n">
        <v>179.69</v>
      </c>
      <c r="X407" s="182" t="n">
        <v>185.76</v>
      </c>
      <c r="Y407" s="183" t="inlineStr">
        <is>
          <t>.</t>
        </is>
      </c>
      <c r="Z407" s="184">
        <f>SUM(AA407:AL407)</f>
        <v/>
      </c>
      <c r="AA407" s="185" t="n">
        <v>1427.69</v>
      </c>
      <c r="AB407" s="185" t="n">
        <v>0</v>
      </c>
      <c r="AC407" s="185" t="n">
        <v>0</v>
      </c>
      <c r="AD407" s="185" t="n">
        <v>0</v>
      </c>
      <c r="AE407" s="185" t="n">
        <v>0</v>
      </c>
      <c r="AF407" s="185" t="n">
        <v>0</v>
      </c>
      <c r="AG407" s="185" t="n">
        <v>0</v>
      </c>
      <c r="AH407" s="185" t="n">
        <v>0</v>
      </c>
      <c r="AI407" s="185" t="n">
        <v>0</v>
      </c>
      <c r="AJ407" s="185" t="n">
        <v>0</v>
      </c>
      <c r="AK407" s="185" t="n">
        <v>0</v>
      </c>
      <c r="AL407" s="186" t="n">
        <v>0</v>
      </c>
      <c r="AM407" s="30" t="inlineStr">
        <is>
          <t>.</t>
        </is>
      </c>
      <c r="AN407" s="187">
        <f>IF(L407=0,0,Z407/L407)</f>
        <v/>
      </c>
      <c r="AO407" s="57">
        <f>IF(AN407&gt;=1,"🟢",IF(AN407&gt;=0.7,"🟡",IF(AN407&gt;=0.4,"🟠","🔴")))</f>
        <v/>
      </c>
      <c r="AP407" s="185">
        <f>L407-Z407</f>
        <v/>
      </c>
      <c r="AQ407" s="55">
        <f>RANK(Z407,$Z$4:$Z$503,0)</f>
        <v/>
      </c>
      <c r="AR407" s="39" t="inlineStr">
        <is>
          <t>.</t>
        </is>
      </c>
      <c r="AS407" s="27" t="n"/>
      <c r="AT407" s="27" t="n"/>
      <c r="AU407" s="27" t="n"/>
      <c r="AV407" s="27" t="n"/>
      <c r="AW407" s="27" t="n"/>
      <c r="AX407" s="27" t="n"/>
      <c r="AY407" s="204" t="n"/>
      <c r="AZ407" s="204" t="n"/>
      <c r="BA407" s="38" t="inlineStr">
        <is>
          <t>.</t>
        </is>
      </c>
      <c r="BB407" s="190">
        <f>SUM(BC407:BN407)</f>
        <v/>
      </c>
      <c r="BC407" s="191">
        <f>L407*0.0702730030</f>
        <v/>
      </c>
      <c r="BD407" s="191">
        <f>L407*0.0734327604</f>
        <v/>
      </c>
      <c r="BE407" s="191">
        <f>L407*0.0752022245</f>
        <v/>
      </c>
      <c r="BF407" s="191">
        <f>L407*0.0771612740</f>
        <v/>
      </c>
      <c r="BG407" s="191">
        <f>L407*0.0796890799</f>
        <v/>
      </c>
      <c r="BH407" s="191">
        <f>L407*0.0817745197</f>
        <v/>
      </c>
      <c r="BI407" s="191">
        <f>L407*0.0849342770</f>
        <v/>
      </c>
      <c r="BJ407" s="191">
        <f>L407*0.0870197169</f>
        <v/>
      </c>
      <c r="BK407" s="191">
        <f>L407*0.0889787664</f>
        <v/>
      </c>
      <c r="BL407" s="191">
        <f>L407*0.0911905966</f>
        <v/>
      </c>
      <c r="BM407" s="191">
        <f>L407*0.0935920121</f>
        <v/>
      </c>
      <c r="BN407" s="192">
        <f>L407*0.0967517695</f>
        <v/>
      </c>
      <c r="BO407" s="36" t="inlineStr">
        <is>
          <t>.</t>
        </is>
      </c>
      <c r="BP407" s="193">
        <f>SUM(BQ407:CB407)</f>
        <v/>
      </c>
      <c r="BQ407" s="191">
        <f>MAX(0,BC407-AA407)</f>
        <v/>
      </c>
      <c r="BR407" s="191">
        <f>MAX(0,BD407-AB407)</f>
        <v/>
      </c>
      <c r="BS407" s="191">
        <f>MAX(0,BE407-AC407)</f>
        <v/>
      </c>
      <c r="BT407" s="191">
        <f>MAX(0,BF407-AD407)</f>
        <v/>
      </c>
      <c r="BU407" s="191">
        <f>MAX(0,BG407-AE407)</f>
        <v/>
      </c>
      <c r="BV407" s="191">
        <f>MAX(0,BH407-AF407)</f>
        <v/>
      </c>
      <c r="BW407" s="191">
        <f>MAX(0,BI407-AG407)</f>
        <v/>
      </c>
      <c r="BX407" s="191">
        <f>MAX(0,BJ407-AH407)</f>
        <v/>
      </c>
      <c r="BY407" s="191">
        <f>MAX(0,BK407-AI407)</f>
        <v/>
      </c>
      <c r="BZ407" s="191">
        <f>MAX(0,BL407-AJ407)</f>
        <v/>
      </c>
      <c r="CA407" s="191">
        <f>MAX(0,BM407-AK407)</f>
        <v/>
      </c>
      <c r="CB407" s="192">
        <f>MAX(0,BN407-AL407)</f>
        <v/>
      </c>
    </row>
    <row r="408">
      <c r="A408" s="64" t="inlineStr">
        <is>
          <t>10874523000706</t>
        </is>
      </c>
      <c r="B408" s="57" t="inlineStr">
        <is>
          <t>OBJETIVA SERVICOS TERCEIRIZADOS LTDA</t>
        </is>
      </c>
      <c r="C408" s="57" t="inlineStr">
        <is>
          <t>SEM GRUPO</t>
        </is>
      </c>
      <c r="D408" s="61" t="inlineStr">
        <is>
          <t>HEMANUELE DITZEL (MANU)</t>
        </is>
      </c>
      <c r="E408" s="30" t="inlineStr">
        <is>
          <t>.</t>
        </is>
      </c>
      <c r="F408" s="63" t="inlineStr"/>
      <c r="G408" s="179" t="inlineStr"/>
      <c r="H408" s="57" t="inlineStr"/>
      <c r="I408" s="57" t="inlineStr"/>
      <c r="J408" s="61" t="inlineStr"/>
      <c r="K408" s="30" t="inlineStr">
        <is>
          <t>.</t>
        </is>
      </c>
      <c r="L408" s="180" t="n">
        <v>1909.74</v>
      </c>
      <c r="M408" s="181" t="n">
        <v>134.2</v>
      </c>
      <c r="N408" s="181" t="n">
        <v>140.24</v>
      </c>
      <c r="O408" s="181" t="n">
        <v>143.62</v>
      </c>
      <c r="P408" s="181" t="n">
        <v>147.36</v>
      </c>
      <c r="Q408" s="181" t="n">
        <v>152.18</v>
      </c>
      <c r="R408" s="181" t="n">
        <v>156.17</v>
      </c>
      <c r="S408" s="181" t="n">
        <v>162.2</v>
      </c>
      <c r="T408" s="181" t="n">
        <v>166.18</v>
      </c>
      <c r="U408" s="181" t="n">
        <v>169.93</v>
      </c>
      <c r="V408" s="181" t="n">
        <v>174.15</v>
      </c>
      <c r="W408" s="181" t="n">
        <v>178.74</v>
      </c>
      <c r="X408" s="182" t="n">
        <v>184.77</v>
      </c>
      <c r="Y408" s="183" t="inlineStr">
        <is>
          <t>.</t>
        </is>
      </c>
      <c r="Z408" s="184">
        <f>SUM(AA408:AL408)</f>
        <v/>
      </c>
      <c r="AA408" s="185" t="n">
        <v>0</v>
      </c>
      <c r="AB408" s="185" t="n">
        <v>0</v>
      </c>
      <c r="AC408" s="185" t="n">
        <v>0</v>
      </c>
      <c r="AD408" s="185" t="n">
        <v>0</v>
      </c>
      <c r="AE408" s="185" t="n">
        <v>0</v>
      </c>
      <c r="AF408" s="185" t="n">
        <v>0</v>
      </c>
      <c r="AG408" s="185" t="n">
        <v>0</v>
      </c>
      <c r="AH408" s="185" t="n">
        <v>0</v>
      </c>
      <c r="AI408" s="185" t="n">
        <v>0</v>
      </c>
      <c r="AJ408" s="185" t="n">
        <v>1086.37</v>
      </c>
      <c r="AK408" s="185" t="n">
        <v>0</v>
      </c>
      <c r="AL408" s="186" t="n">
        <v>0</v>
      </c>
      <c r="AM408" s="30" t="inlineStr">
        <is>
          <t>.</t>
        </is>
      </c>
      <c r="AN408" s="187">
        <f>IF(L408=0,0,Z408/L408)</f>
        <v/>
      </c>
      <c r="AO408" s="57">
        <f>IF(AN408&gt;=1,"🟢",IF(AN408&gt;=0.7,"🟡",IF(AN408&gt;=0.4,"🟠","🔴")))</f>
        <v/>
      </c>
      <c r="AP408" s="185">
        <f>L408-Z408</f>
        <v/>
      </c>
      <c r="AQ408" s="55">
        <f>RANK(Z408,$Z$4:$Z$503,0)</f>
        <v/>
      </c>
      <c r="AR408" s="39" t="inlineStr">
        <is>
          <t>.</t>
        </is>
      </c>
      <c r="AS408" s="27" t="n"/>
      <c r="AT408" s="27" t="n"/>
      <c r="AU408" s="27" t="n"/>
      <c r="AV408" s="27" t="n"/>
      <c r="AW408" s="27" t="n"/>
      <c r="AX408" s="27" t="n"/>
      <c r="AY408" s="204" t="n"/>
      <c r="AZ408" s="204" t="n"/>
      <c r="BA408" s="38" t="inlineStr">
        <is>
          <t>.</t>
        </is>
      </c>
      <c r="BB408" s="190">
        <f>SUM(BC408:BN408)</f>
        <v/>
      </c>
      <c r="BC408" s="191">
        <f>L408*0.0702730030</f>
        <v/>
      </c>
      <c r="BD408" s="191">
        <f>L408*0.0734327604</f>
        <v/>
      </c>
      <c r="BE408" s="191">
        <f>L408*0.0752022245</f>
        <v/>
      </c>
      <c r="BF408" s="191">
        <f>L408*0.0771612740</f>
        <v/>
      </c>
      <c r="BG408" s="191">
        <f>L408*0.0796890799</f>
        <v/>
      </c>
      <c r="BH408" s="191">
        <f>L408*0.0817745197</f>
        <v/>
      </c>
      <c r="BI408" s="191">
        <f>L408*0.0849342770</f>
        <v/>
      </c>
      <c r="BJ408" s="191">
        <f>L408*0.0870197169</f>
        <v/>
      </c>
      <c r="BK408" s="191">
        <f>L408*0.0889787664</f>
        <v/>
      </c>
      <c r="BL408" s="191">
        <f>L408*0.0911905966</f>
        <v/>
      </c>
      <c r="BM408" s="191">
        <f>L408*0.0935920121</f>
        <v/>
      </c>
      <c r="BN408" s="192">
        <f>L408*0.0967517695</f>
        <v/>
      </c>
      <c r="BO408" s="36" t="inlineStr">
        <is>
          <t>.</t>
        </is>
      </c>
      <c r="BP408" s="193">
        <f>SUM(BQ408:CB408)</f>
        <v/>
      </c>
      <c r="BQ408" s="191">
        <f>MAX(0,BC408-AA408)</f>
        <v/>
      </c>
      <c r="BR408" s="191">
        <f>MAX(0,BD408-AB408)</f>
        <v/>
      </c>
      <c r="BS408" s="191">
        <f>MAX(0,BE408-AC408)</f>
        <v/>
      </c>
      <c r="BT408" s="191">
        <f>MAX(0,BF408-AD408)</f>
        <v/>
      </c>
      <c r="BU408" s="191">
        <f>MAX(0,BG408-AE408)</f>
        <v/>
      </c>
      <c r="BV408" s="191">
        <f>MAX(0,BH408-AF408)</f>
        <v/>
      </c>
      <c r="BW408" s="191">
        <f>MAX(0,BI408-AG408)</f>
        <v/>
      </c>
      <c r="BX408" s="191">
        <f>MAX(0,BJ408-AH408)</f>
        <v/>
      </c>
      <c r="BY408" s="191">
        <f>MAX(0,BK408-AI408)</f>
        <v/>
      </c>
      <c r="BZ408" s="191">
        <f>MAX(0,BL408-AJ408)</f>
        <v/>
      </c>
      <c r="CA408" s="191">
        <f>MAX(0,BM408-AK408)</f>
        <v/>
      </c>
      <c r="CB408" s="192">
        <f>MAX(0,BN408-AL408)</f>
        <v/>
      </c>
    </row>
    <row r="409">
      <c r="A409" s="64" t="inlineStr">
        <is>
          <t>16966212000249</t>
        </is>
      </c>
      <c r="B409" s="57" t="inlineStr">
        <is>
          <t>AVILA SUPLEMENTOS ALIMENTICIOS LTDA - ME</t>
        </is>
      </c>
      <c r="C409" s="57" t="inlineStr">
        <is>
          <t>CIA DA SAUDE</t>
        </is>
      </c>
      <c r="D409" s="61" t="inlineStr">
        <is>
          <t>JULIO GADRET</t>
        </is>
      </c>
      <c r="E409" s="30" t="inlineStr">
        <is>
          <t>.</t>
        </is>
      </c>
      <c r="F409" s="63" t="n">
        <v>163</v>
      </c>
      <c r="G409" s="179" t="n">
        <v>0.026</v>
      </c>
      <c r="H409" s="57" t="inlineStr">
        <is>
          <t>🔴 VERMELHO</t>
        </is>
      </c>
      <c r="I409" s="57" t="inlineStr">
        <is>
          <t>ATIVAÇÃO</t>
        </is>
      </c>
      <c r="J409" s="61" t="inlineStr">
        <is>
          <t>Reativar inativos + Prospectar</t>
        </is>
      </c>
      <c r="K409" s="30" t="inlineStr">
        <is>
          <t>.</t>
        </is>
      </c>
      <c r="L409" s="180" t="n">
        <v>1901.48</v>
      </c>
      <c r="M409" s="181" t="n">
        <v>133.62</v>
      </c>
      <c r="N409" s="181" t="n">
        <v>139.63</v>
      </c>
      <c r="O409" s="181" t="n">
        <v>143</v>
      </c>
      <c r="P409" s="181" t="n">
        <v>146.72</v>
      </c>
      <c r="Q409" s="181" t="n">
        <v>151.53</v>
      </c>
      <c r="R409" s="181" t="n">
        <v>155.49</v>
      </c>
      <c r="S409" s="181" t="n">
        <v>161.5</v>
      </c>
      <c r="T409" s="181" t="n">
        <v>165.47</v>
      </c>
      <c r="U409" s="181" t="n">
        <v>169.19</v>
      </c>
      <c r="V409" s="181" t="n">
        <v>173.4</v>
      </c>
      <c r="W409" s="181" t="n">
        <v>177.96</v>
      </c>
      <c r="X409" s="182" t="n">
        <v>183.97</v>
      </c>
      <c r="Y409" s="183" t="inlineStr">
        <is>
          <t>.</t>
        </is>
      </c>
      <c r="Z409" s="184">
        <f>SUM(AA409:AL409)</f>
        <v/>
      </c>
      <c r="AA409" s="185" t="n">
        <v>0</v>
      </c>
      <c r="AB409" s="185" t="n">
        <v>0</v>
      </c>
      <c r="AC409" s="185" t="n">
        <v>0</v>
      </c>
      <c r="AD409" s="185" t="n">
        <v>0</v>
      </c>
      <c r="AE409" s="185" t="n">
        <v>0</v>
      </c>
      <c r="AF409" s="185" t="n">
        <v>0</v>
      </c>
      <c r="AG409" s="185" t="n">
        <v>0</v>
      </c>
      <c r="AH409" s="185" t="n">
        <v>0</v>
      </c>
      <c r="AI409" s="185" t="n">
        <v>0</v>
      </c>
      <c r="AJ409" s="185" t="n">
        <v>0</v>
      </c>
      <c r="AK409" s="185" t="n">
        <v>0</v>
      </c>
      <c r="AL409" s="186" t="n">
        <v>838.04</v>
      </c>
      <c r="AM409" s="30" t="inlineStr">
        <is>
          <t>.</t>
        </is>
      </c>
      <c r="AN409" s="187">
        <f>IF(L409=0,0,Z409/L409)</f>
        <v/>
      </c>
      <c r="AO409" s="57">
        <f>IF(AN409&gt;=1,"🟢",IF(AN409&gt;=0.7,"🟡",IF(AN409&gt;=0.4,"🟠","🔴")))</f>
        <v/>
      </c>
      <c r="AP409" s="185">
        <f>L409-Z409</f>
        <v/>
      </c>
      <c r="AQ409" s="55">
        <f>RANK(Z409,$Z$4:$Z$503,0)</f>
        <v/>
      </c>
      <c r="AR409" s="39" t="inlineStr">
        <is>
          <t>.</t>
        </is>
      </c>
      <c r="AS409" s="27" t="n"/>
      <c r="AT409" s="27" t="n"/>
      <c r="AU409" s="27" t="n"/>
      <c r="AV409" s="27" t="n"/>
      <c r="AW409" s="27" t="n"/>
      <c r="AX409" s="27" t="n"/>
      <c r="AY409" s="204" t="n"/>
      <c r="AZ409" s="204" t="n"/>
      <c r="BA409" s="38" t="inlineStr">
        <is>
          <t>.</t>
        </is>
      </c>
      <c r="BB409" s="190">
        <f>SUM(BC409:BN409)</f>
        <v/>
      </c>
      <c r="BC409" s="191">
        <f>L409*0.0702730030</f>
        <v/>
      </c>
      <c r="BD409" s="191">
        <f>L409*0.0734327604</f>
        <v/>
      </c>
      <c r="BE409" s="191">
        <f>L409*0.0752022245</f>
        <v/>
      </c>
      <c r="BF409" s="191">
        <f>L409*0.0771612740</f>
        <v/>
      </c>
      <c r="BG409" s="191">
        <f>L409*0.0796890799</f>
        <v/>
      </c>
      <c r="BH409" s="191">
        <f>L409*0.0817745197</f>
        <v/>
      </c>
      <c r="BI409" s="191">
        <f>L409*0.0849342770</f>
        <v/>
      </c>
      <c r="BJ409" s="191">
        <f>L409*0.0870197169</f>
        <v/>
      </c>
      <c r="BK409" s="191">
        <f>L409*0.0889787664</f>
        <v/>
      </c>
      <c r="BL409" s="191">
        <f>L409*0.0911905966</f>
        <v/>
      </c>
      <c r="BM409" s="191">
        <f>L409*0.0935920121</f>
        <v/>
      </c>
      <c r="BN409" s="192">
        <f>L409*0.0967517695</f>
        <v/>
      </c>
      <c r="BO409" s="36" t="inlineStr">
        <is>
          <t>.</t>
        </is>
      </c>
      <c r="BP409" s="193">
        <f>SUM(BQ409:CB409)</f>
        <v/>
      </c>
      <c r="BQ409" s="191">
        <f>MAX(0,BC409-AA409)</f>
        <v/>
      </c>
      <c r="BR409" s="191">
        <f>MAX(0,BD409-AB409)</f>
        <v/>
      </c>
      <c r="BS409" s="191">
        <f>MAX(0,BE409-AC409)</f>
        <v/>
      </c>
      <c r="BT409" s="191">
        <f>MAX(0,BF409-AD409)</f>
        <v/>
      </c>
      <c r="BU409" s="191">
        <f>MAX(0,BG409-AE409)</f>
        <v/>
      </c>
      <c r="BV409" s="191">
        <f>MAX(0,BH409-AF409)</f>
        <v/>
      </c>
      <c r="BW409" s="191">
        <f>MAX(0,BI409-AG409)</f>
        <v/>
      </c>
      <c r="BX409" s="191">
        <f>MAX(0,BJ409-AH409)</f>
        <v/>
      </c>
      <c r="BY409" s="191">
        <f>MAX(0,BK409-AI409)</f>
        <v/>
      </c>
      <c r="BZ409" s="191">
        <f>MAX(0,BL409-AJ409)</f>
        <v/>
      </c>
      <c r="CA409" s="191">
        <f>MAX(0,BM409-AK409)</f>
        <v/>
      </c>
      <c r="CB409" s="192">
        <f>MAX(0,BN409-AL409)</f>
        <v/>
      </c>
    </row>
    <row r="410">
      <c r="A410" s="64" t="inlineStr">
        <is>
          <t>46384752000102</t>
        </is>
      </c>
      <c r="B410" s="57" t="inlineStr">
        <is>
          <t>ADRIANA JAEGER DA SILVA 01142279006 - ME</t>
        </is>
      </c>
      <c r="C410" s="57" t="inlineStr">
        <is>
          <t>SEM GRUPO</t>
        </is>
      </c>
      <c r="D410" s="61" t="inlineStr">
        <is>
          <t>HEMANUELE DITZEL (MANU)</t>
        </is>
      </c>
      <c r="E410" s="30" t="inlineStr">
        <is>
          <t>.</t>
        </is>
      </c>
      <c r="F410" s="63" t="inlineStr"/>
      <c r="G410" s="179" t="inlineStr"/>
      <c r="H410" s="57" t="inlineStr"/>
      <c r="I410" s="57" t="inlineStr"/>
      <c r="J410" s="61" t="inlineStr"/>
      <c r="K410" s="30" t="inlineStr">
        <is>
          <t>.</t>
        </is>
      </c>
      <c r="L410" s="180" t="n">
        <v>1901.09</v>
      </c>
      <c r="M410" s="181" t="n">
        <v>133.59</v>
      </c>
      <c r="N410" s="181" t="n">
        <v>139.6</v>
      </c>
      <c r="O410" s="181" t="n">
        <v>142.97</v>
      </c>
      <c r="P410" s="181" t="n">
        <v>146.69</v>
      </c>
      <c r="Q410" s="181" t="n">
        <v>151.5</v>
      </c>
      <c r="R410" s="181" t="n">
        <v>155.46</v>
      </c>
      <c r="S410" s="181" t="n">
        <v>161.47</v>
      </c>
      <c r="T410" s="181" t="n">
        <v>165.43</v>
      </c>
      <c r="U410" s="181" t="n">
        <v>169.16</v>
      </c>
      <c r="V410" s="181" t="n">
        <v>173.36</v>
      </c>
      <c r="W410" s="181" t="n">
        <v>177.93</v>
      </c>
      <c r="X410" s="182" t="n">
        <v>183.93</v>
      </c>
      <c r="Y410" s="183" t="inlineStr">
        <is>
          <t>.</t>
        </is>
      </c>
      <c r="Z410" s="184">
        <f>SUM(AA410:AL410)</f>
        <v/>
      </c>
      <c r="AA410" s="185" t="n">
        <v>0</v>
      </c>
      <c r="AB410" s="185" t="n">
        <v>0</v>
      </c>
      <c r="AC410" s="185" t="n">
        <v>0</v>
      </c>
      <c r="AD410" s="185" t="n">
        <v>0</v>
      </c>
      <c r="AE410" s="185" t="n">
        <v>0</v>
      </c>
      <c r="AF410" s="185" t="n">
        <v>763.4299999999999</v>
      </c>
      <c r="AG410" s="185" t="n">
        <v>0</v>
      </c>
      <c r="AH410" s="185" t="n">
        <v>0</v>
      </c>
      <c r="AI410" s="185" t="n">
        <v>0</v>
      </c>
      <c r="AJ410" s="185" t="n">
        <v>0</v>
      </c>
      <c r="AK410" s="185" t="n">
        <v>0</v>
      </c>
      <c r="AL410" s="186" t="n">
        <v>0</v>
      </c>
      <c r="AM410" s="30" t="inlineStr">
        <is>
          <t>.</t>
        </is>
      </c>
      <c r="AN410" s="187">
        <f>IF(L410=0,0,Z410/L410)</f>
        <v/>
      </c>
      <c r="AO410" s="57">
        <f>IF(AN410&gt;=1,"🟢",IF(AN410&gt;=0.7,"🟡",IF(AN410&gt;=0.4,"🟠","🔴")))</f>
        <v/>
      </c>
      <c r="AP410" s="185">
        <f>L410-Z410</f>
        <v/>
      </c>
      <c r="AQ410" s="55">
        <f>RANK(Z410,$Z$4:$Z$503,0)</f>
        <v/>
      </c>
      <c r="AR410" s="39" t="inlineStr">
        <is>
          <t>.</t>
        </is>
      </c>
      <c r="AS410" s="27" t="n"/>
      <c r="AT410" s="27" t="n"/>
      <c r="AU410" s="27" t="n"/>
      <c r="AV410" s="27" t="n"/>
      <c r="AW410" s="27" t="n"/>
      <c r="AX410" s="27" t="n"/>
      <c r="AY410" s="204" t="n"/>
      <c r="AZ410" s="204" t="n"/>
      <c r="BA410" s="38" t="inlineStr">
        <is>
          <t>.</t>
        </is>
      </c>
      <c r="BB410" s="190">
        <f>SUM(BC410:BN410)</f>
        <v/>
      </c>
      <c r="BC410" s="191">
        <f>L410*0.0702730030</f>
        <v/>
      </c>
      <c r="BD410" s="191">
        <f>L410*0.0734327604</f>
        <v/>
      </c>
      <c r="BE410" s="191">
        <f>L410*0.0752022245</f>
        <v/>
      </c>
      <c r="BF410" s="191">
        <f>L410*0.0771612740</f>
        <v/>
      </c>
      <c r="BG410" s="191">
        <f>L410*0.0796890799</f>
        <v/>
      </c>
      <c r="BH410" s="191">
        <f>L410*0.0817745197</f>
        <v/>
      </c>
      <c r="BI410" s="191">
        <f>L410*0.0849342770</f>
        <v/>
      </c>
      <c r="BJ410" s="191">
        <f>L410*0.0870197169</f>
        <v/>
      </c>
      <c r="BK410" s="191">
        <f>L410*0.0889787664</f>
        <v/>
      </c>
      <c r="BL410" s="191">
        <f>L410*0.0911905966</f>
        <v/>
      </c>
      <c r="BM410" s="191">
        <f>L410*0.0935920121</f>
        <v/>
      </c>
      <c r="BN410" s="192">
        <f>L410*0.0967517695</f>
        <v/>
      </c>
      <c r="BO410" s="36" t="inlineStr">
        <is>
          <t>.</t>
        </is>
      </c>
      <c r="BP410" s="193">
        <f>SUM(BQ410:CB410)</f>
        <v/>
      </c>
      <c r="BQ410" s="191">
        <f>MAX(0,BC410-AA410)</f>
        <v/>
      </c>
      <c r="BR410" s="191">
        <f>MAX(0,BD410-AB410)</f>
        <v/>
      </c>
      <c r="BS410" s="191">
        <f>MAX(0,BE410-AC410)</f>
        <v/>
      </c>
      <c r="BT410" s="191">
        <f>MAX(0,BF410-AD410)</f>
        <v/>
      </c>
      <c r="BU410" s="191">
        <f>MAX(0,BG410-AE410)</f>
        <v/>
      </c>
      <c r="BV410" s="191">
        <f>MAX(0,BH410-AF410)</f>
        <v/>
      </c>
      <c r="BW410" s="191">
        <f>MAX(0,BI410-AG410)</f>
        <v/>
      </c>
      <c r="BX410" s="191">
        <f>MAX(0,BJ410-AH410)</f>
        <v/>
      </c>
      <c r="BY410" s="191">
        <f>MAX(0,BK410-AI410)</f>
        <v/>
      </c>
      <c r="BZ410" s="191">
        <f>MAX(0,BL410-AJ410)</f>
        <v/>
      </c>
      <c r="CA410" s="191">
        <f>MAX(0,BM410-AK410)</f>
        <v/>
      </c>
      <c r="CB410" s="192">
        <f>MAX(0,BN410-AL410)</f>
        <v/>
      </c>
    </row>
    <row r="411">
      <c r="A411" s="64" t="inlineStr">
        <is>
          <t>59254662000130</t>
        </is>
      </c>
      <c r="B411" s="57" t="inlineStr">
        <is>
          <t>JC PRODUTOS NATURAIS LTDA - ME</t>
        </is>
      </c>
      <c r="C411" s="57" t="inlineStr">
        <is>
          <t>CIA DA SAUDE</t>
        </is>
      </c>
      <c r="D411" s="61" t="inlineStr">
        <is>
          <t>JULIO GADRET</t>
        </is>
      </c>
      <c r="E411" s="30" t="inlineStr">
        <is>
          <t>.</t>
        </is>
      </c>
      <c r="F411" s="63" t="n">
        <v>163</v>
      </c>
      <c r="G411" s="179" t="n">
        <v>0.026</v>
      </c>
      <c r="H411" s="57" t="inlineStr">
        <is>
          <t>🔴 VERMELHO</t>
        </is>
      </c>
      <c r="I411" s="57" t="inlineStr">
        <is>
          <t>ATIVAÇÃO</t>
        </is>
      </c>
      <c r="J411" s="61" t="inlineStr">
        <is>
          <t>Reativar inativos + Prospectar</t>
        </is>
      </c>
      <c r="K411" s="30" t="inlineStr">
        <is>
          <t>.</t>
        </is>
      </c>
      <c r="L411" s="180" t="n">
        <v>1882.09</v>
      </c>
      <c r="M411" s="181" t="n">
        <v>132.26</v>
      </c>
      <c r="N411" s="181" t="n">
        <v>138.21</v>
      </c>
      <c r="O411" s="181" t="n">
        <v>141.54</v>
      </c>
      <c r="P411" s="181" t="n">
        <v>145.22</v>
      </c>
      <c r="Q411" s="181" t="n">
        <v>149.98</v>
      </c>
      <c r="R411" s="181" t="n">
        <v>153.91</v>
      </c>
      <c r="S411" s="181" t="n">
        <v>159.85</v>
      </c>
      <c r="T411" s="181" t="n">
        <v>163.78</v>
      </c>
      <c r="U411" s="181" t="n">
        <v>167.47</v>
      </c>
      <c r="V411" s="181" t="n">
        <v>171.63</v>
      </c>
      <c r="W411" s="181" t="n">
        <v>176.15</v>
      </c>
      <c r="X411" s="182" t="n">
        <v>182.09</v>
      </c>
      <c r="Y411" s="183" t="inlineStr">
        <is>
          <t>.</t>
        </is>
      </c>
      <c r="Z411" s="184">
        <f>SUM(AA411:AL411)</f>
        <v/>
      </c>
      <c r="AA411" s="185" t="n">
        <v>0</v>
      </c>
      <c r="AB411" s="185" t="n">
        <v>0</v>
      </c>
      <c r="AC411" s="185" t="n">
        <v>0</v>
      </c>
      <c r="AD411" s="185" t="n">
        <v>0</v>
      </c>
      <c r="AE411" s="185" t="n">
        <v>0</v>
      </c>
      <c r="AF411" s="185" t="n">
        <v>0</v>
      </c>
      <c r="AG411" s="185" t="n">
        <v>0</v>
      </c>
      <c r="AH411" s="185" t="n">
        <v>0</v>
      </c>
      <c r="AI411" s="185" t="n">
        <v>0</v>
      </c>
      <c r="AJ411" s="185" t="n">
        <v>0</v>
      </c>
      <c r="AK411" s="185" t="n">
        <v>0</v>
      </c>
      <c r="AL411" s="186" t="n">
        <v>0</v>
      </c>
      <c r="AM411" s="30" t="inlineStr">
        <is>
          <t>.</t>
        </is>
      </c>
      <c r="AN411" s="187">
        <f>IF(L411=0,0,Z411/L411)</f>
        <v/>
      </c>
      <c r="AO411" s="57">
        <f>IF(AN411&gt;=1,"🟢",IF(AN411&gt;=0.7,"🟡",IF(AN411&gt;=0.4,"🟠","🔴")))</f>
        <v/>
      </c>
      <c r="AP411" s="185">
        <f>L411-Z411</f>
        <v/>
      </c>
      <c r="AQ411" s="55">
        <f>RANK(Z411,$Z$4:$Z$503,0)</f>
        <v/>
      </c>
      <c r="AR411" s="39" t="inlineStr">
        <is>
          <t>.</t>
        </is>
      </c>
      <c r="AS411" s="27" t="n"/>
      <c r="AT411" s="27" t="n"/>
      <c r="AU411" s="27" t="n"/>
      <c r="AV411" s="27" t="n"/>
      <c r="AW411" s="27" t="n"/>
      <c r="AX411" s="27" t="n"/>
      <c r="AY411" s="204" t="n"/>
      <c r="AZ411" s="204" t="n"/>
      <c r="BA411" s="38" t="inlineStr">
        <is>
          <t>.</t>
        </is>
      </c>
      <c r="BB411" s="190">
        <f>SUM(BC411:BN411)</f>
        <v/>
      </c>
      <c r="BC411" s="191">
        <f>L411*0.0702730030</f>
        <v/>
      </c>
      <c r="BD411" s="191">
        <f>L411*0.0734327604</f>
        <v/>
      </c>
      <c r="BE411" s="191">
        <f>L411*0.0752022245</f>
        <v/>
      </c>
      <c r="BF411" s="191">
        <f>L411*0.0771612740</f>
        <v/>
      </c>
      <c r="BG411" s="191">
        <f>L411*0.0796890799</f>
        <v/>
      </c>
      <c r="BH411" s="191">
        <f>L411*0.0817745197</f>
        <v/>
      </c>
      <c r="BI411" s="191">
        <f>L411*0.0849342770</f>
        <v/>
      </c>
      <c r="BJ411" s="191">
        <f>L411*0.0870197169</f>
        <v/>
      </c>
      <c r="BK411" s="191">
        <f>L411*0.0889787664</f>
        <v/>
      </c>
      <c r="BL411" s="191">
        <f>L411*0.0911905966</f>
        <v/>
      </c>
      <c r="BM411" s="191">
        <f>L411*0.0935920121</f>
        <v/>
      </c>
      <c r="BN411" s="192">
        <f>L411*0.0967517695</f>
        <v/>
      </c>
      <c r="BO411" s="36" t="inlineStr">
        <is>
          <t>.</t>
        </is>
      </c>
      <c r="BP411" s="193">
        <f>SUM(BQ411:CB411)</f>
        <v/>
      </c>
      <c r="BQ411" s="191">
        <f>MAX(0,BC411-AA411)</f>
        <v/>
      </c>
      <c r="BR411" s="191">
        <f>MAX(0,BD411-AB411)</f>
        <v/>
      </c>
      <c r="BS411" s="191">
        <f>MAX(0,BE411-AC411)</f>
        <v/>
      </c>
      <c r="BT411" s="191">
        <f>MAX(0,BF411-AD411)</f>
        <v/>
      </c>
      <c r="BU411" s="191">
        <f>MAX(0,BG411-AE411)</f>
        <v/>
      </c>
      <c r="BV411" s="191">
        <f>MAX(0,BH411-AF411)</f>
        <v/>
      </c>
      <c r="BW411" s="191">
        <f>MAX(0,BI411-AG411)</f>
        <v/>
      </c>
      <c r="BX411" s="191">
        <f>MAX(0,BJ411-AH411)</f>
        <v/>
      </c>
      <c r="BY411" s="191">
        <f>MAX(0,BK411-AI411)</f>
        <v/>
      </c>
      <c r="BZ411" s="191">
        <f>MAX(0,BL411-AJ411)</f>
        <v/>
      </c>
      <c r="CA411" s="191">
        <f>MAX(0,BM411-AK411)</f>
        <v/>
      </c>
      <c r="CB411" s="192">
        <f>MAX(0,BN411-AL411)</f>
        <v/>
      </c>
    </row>
    <row r="412">
      <c r="A412" s="64" t="inlineStr">
        <is>
          <t>57609477000196</t>
        </is>
      </c>
      <c r="B412" s="57" t="inlineStr">
        <is>
          <t>JSC COMERCIO LTDA - ME</t>
        </is>
      </c>
      <c r="C412" s="57" t="inlineStr">
        <is>
          <t>SEM GRUPO</t>
        </is>
      </c>
      <c r="D412" s="61" t="inlineStr">
        <is>
          <t>HEMANUELE DITZEL (MANU)</t>
        </is>
      </c>
      <c r="E412" s="30" t="inlineStr">
        <is>
          <t>.</t>
        </is>
      </c>
      <c r="F412" s="63" t="inlineStr"/>
      <c r="G412" s="179" t="inlineStr"/>
      <c r="H412" s="57" t="inlineStr"/>
      <c r="I412" s="57" t="inlineStr"/>
      <c r="J412" s="61" t="inlineStr"/>
      <c r="K412" s="30" t="inlineStr">
        <is>
          <t>.</t>
        </is>
      </c>
      <c r="L412" s="180" t="n">
        <v>1880.25</v>
      </c>
      <c r="M412" s="181" t="n">
        <v>132.13</v>
      </c>
      <c r="N412" s="181" t="n">
        <v>138.07</v>
      </c>
      <c r="O412" s="181" t="n">
        <v>141.4</v>
      </c>
      <c r="P412" s="181" t="n">
        <v>145.08</v>
      </c>
      <c r="Q412" s="181" t="n">
        <v>149.83</v>
      </c>
      <c r="R412" s="181" t="n">
        <v>153.76</v>
      </c>
      <c r="S412" s="181" t="n">
        <v>159.7</v>
      </c>
      <c r="T412" s="181" t="n">
        <v>163.62</v>
      </c>
      <c r="U412" s="181" t="n">
        <v>167.3</v>
      </c>
      <c r="V412" s="181" t="n">
        <v>171.46</v>
      </c>
      <c r="W412" s="181" t="n">
        <v>175.98</v>
      </c>
      <c r="X412" s="182" t="n">
        <v>181.92</v>
      </c>
      <c r="Y412" s="183" t="inlineStr">
        <is>
          <t>.</t>
        </is>
      </c>
      <c r="Z412" s="184">
        <f>SUM(AA412:AL412)</f>
        <v/>
      </c>
      <c r="AA412" s="185" t="n">
        <v>0</v>
      </c>
      <c r="AB412" s="185" t="n">
        <v>0</v>
      </c>
      <c r="AC412" s="185" t="n">
        <v>0</v>
      </c>
      <c r="AD412" s="185" t="n">
        <v>0</v>
      </c>
      <c r="AE412" s="185" t="n">
        <v>0</v>
      </c>
      <c r="AF412" s="185" t="n">
        <v>0</v>
      </c>
      <c r="AG412" s="185" t="n">
        <v>0</v>
      </c>
      <c r="AH412" s="185" t="n">
        <v>0</v>
      </c>
      <c r="AI412" s="185" t="n">
        <v>862.95</v>
      </c>
      <c r="AJ412" s="185" t="n">
        <v>0</v>
      </c>
      <c r="AK412" s="185" t="n">
        <v>0</v>
      </c>
      <c r="AL412" s="186" t="n">
        <v>0</v>
      </c>
      <c r="AM412" s="30" t="inlineStr">
        <is>
          <t>.</t>
        </is>
      </c>
      <c r="AN412" s="187">
        <f>IF(L412=0,0,Z412/L412)</f>
        <v/>
      </c>
      <c r="AO412" s="57">
        <f>IF(AN412&gt;=1,"🟢",IF(AN412&gt;=0.7,"🟡",IF(AN412&gt;=0.4,"🟠","🔴")))</f>
        <v/>
      </c>
      <c r="AP412" s="185">
        <f>L412-Z412</f>
        <v/>
      </c>
      <c r="AQ412" s="55">
        <f>RANK(Z412,$Z$4:$Z$503,0)</f>
        <v/>
      </c>
      <c r="AR412" s="39" t="inlineStr">
        <is>
          <t>.</t>
        </is>
      </c>
      <c r="AS412" s="27" t="n"/>
      <c r="AT412" s="27" t="n"/>
      <c r="AU412" s="27" t="n"/>
      <c r="AV412" s="27" t="n"/>
      <c r="AW412" s="27" t="n"/>
      <c r="AX412" s="27" t="n"/>
      <c r="AY412" s="204" t="n"/>
      <c r="AZ412" s="204" t="n"/>
      <c r="BA412" s="38" t="inlineStr">
        <is>
          <t>.</t>
        </is>
      </c>
      <c r="BB412" s="190">
        <f>SUM(BC412:BN412)</f>
        <v/>
      </c>
      <c r="BC412" s="191">
        <f>L412*0.0702730030</f>
        <v/>
      </c>
      <c r="BD412" s="191">
        <f>L412*0.0734327604</f>
        <v/>
      </c>
      <c r="BE412" s="191">
        <f>L412*0.0752022245</f>
        <v/>
      </c>
      <c r="BF412" s="191">
        <f>L412*0.0771612740</f>
        <v/>
      </c>
      <c r="BG412" s="191">
        <f>L412*0.0796890799</f>
        <v/>
      </c>
      <c r="BH412" s="191">
        <f>L412*0.0817745197</f>
        <v/>
      </c>
      <c r="BI412" s="191">
        <f>L412*0.0849342770</f>
        <v/>
      </c>
      <c r="BJ412" s="191">
        <f>L412*0.0870197169</f>
        <v/>
      </c>
      <c r="BK412" s="191">
        <f>L412*0.0889787664</f>
        <v/>
      </c>
      <c r="BL412" s="191">
        <f>L412*0.0911905966</f>
        <v/>
      </c>
      <c r="BM412" s="191">
        <f>L412*0.0935920121</f>
        <v/>
      </c>
      <c r="BN412" s="192">
        <f>L412*0.0967517695</f>
        <v/>
      </c>
      <c r="BO412" s="36" t="inlineStr">
        <is>
          <t>.</t>
        </is>
      </c>
      <c r="BP412" s="193">
        <f>SUM(BQ412:CB412)</f>
        <v/>
      </c>
      <c r="BQ412" s="191">
        <f>MAX(0,BC412-AA412)</f>
        <v/>
      </c>
      <c r="BR412" s="191">
        <f>MAX(0,BD412-AB412)</f>
        <v/>
      </c>
      <c r="BS412" s="191">
        <f>MAX(0,BE412-AC412)</f>
        <v/>
      </c>
      <c r="BT412" s="191">
        <f>MAX(0,BF412-AD412)</f>
        <v/>
      </c>
      <c r="BU412" s="191">
        <f>MAX(0,BG412-AE412)</f>
        <v/>
      </c>
      <c r="BV412" s="191">
        <f>MAX(0,BH412-AF412)</f>
        <v/>
      </c>
      <c r="BW412" s="191">
        <f>MAX(0,BI412-AG412)</f>
        <v/>
      </c>
      <c r="BX412" s="191">
        <f>MAX(0,BJ412-AH412)</f>
        <v/>
      </c>
      <c r="BY412" s="191">
        <f>MAX(0,BK412-AI412)</f>
        <v/>
      </c>
      <c r="BZ412" s="191">
        <f>MAX(0,BL412-AJ412)</f>
        <v/>
      </c>
      <c r="CA412" s="191">
        <f>MAX(0,BM412-AK412)</f>
        <v/>
      </c>
      <c r="CB412" s="192">
        <f>MAX(0,BN412-AL412)</f>
        <v/>
      </c>
    </row>
    <row r="413">
      <c r="A413" s="64" t="inlineStr">
        <is>
          <t>59359915000130</t>
        </is>
      </c>
      <c r="B413" s="57" t="inlineStr">
        <is>
          <t>59.359.915 DAVID CESAR DA SILVA - ME</t>
        </is>
      </c>
      <c r="C413" s="57" t="inlineStr">
        <is>
          <t>SEM GRUPO</t>
        </is>
      </c>
      <c r="D413" s="61" t="inlineStr">
        <is>
          <t>HEMANUELE DITZEL (MANU)</t>
        </is>
      </c>
      <c r="E413" s="30" t="inlineStr">
        <is>
          <t>.</t>
        </is>
      </c>
      <c r="F413" s="63" t="inlineStr"/>
      <c r="G413" s="179" t="inlineStr"/>
      <c r="H413" s="57" t="inlineStr"/>
      <c r="I413" s="57" t="inlineStr"/>
      <c r="J413" s="61" t="inlineStr"/>
      <c r="K413" s="30" t="inlineStr">
        <is>
          <t>.</t>
        </is>
      </c>
      <c r="L413" s="180" t="n">
        <v>1872.49</v>
      </c>
      <c r="M413" s="181" t="n">
        <v>131.59</v>
      </c>
      <c r="N413" s="181" t="n">
        <v>137.5</v>
      </c>
      <c r="O413" s="181" t="n">
        <v>140.82</v>
      </c>
      <c r="P413" s="181" t="n">
        <v>144.48</v>
      </c>
      <c r="Q413" s="181" t="n">
        <v>149.22</v>
      </c>
      <c r="R413" s="181" t="n">
        <v>153.12</v>
      </c>
      <c r="S413" s="181" t="n">
        <v>159.04</v>
      </c>
      <c r="T413" s="181" t="n">
        <v>162.94</v>
      </c>
      <c r="U413" s="181" t="n">
        <v>166.61</v>
      </c>
      <c r="V413" s="181" t="n">
        <v>170.75</v>
      </c>
      <c r="W413" s="181" t="n">
        <v>175.25</v>
      </c>
      <c r="X413" s="182" t="n">
        <v>181.17</v>
      </c>
      <c r="Y413" s="183" t="inlineStr">
        <is>
          <t>.</t>
        </is>
      </c>
      <c r="Z413" s="184">
        <f>SUM(AA413:AL413)</f>
        <v/>
      </c>
      <c r="AA413" s="185" t="n">
        <v>0</v>
      </c>
      <c r="AB413" s="185" t="n">
        <v>0</v>
      </c>
      <c r="AC413" s="185" t="n">
        <v>0</v>
      </c>
      <c r="AD413" s="185" t="n">
        <v>0</v>
      </c>
      <c r="AE413" s="185" t="n">
        <v>0</v>
      </c>
      <c r="AF413" s="185" t="n">
        <v>0</v>
      </c>
      <c r="AG413" s="185" t="n">
        <v>0</v>
      </c>
      <c r="AH413" s="185" t="n">
        <v>0</v>
      </c>
      <c r="AI413" s="185" t="n">
        <v>0</v>
      </c>
      <c r="AJ413" s="185" t="n">
        <v>0</v>
      </c>
      <c r="AK413" s="185" t="n">
        <v>0</v>
      </c>
      <c r="AL413" s="186" t="n">
        <v>825.27</v>
      </c>
      <c r="AM413" s="30" t="inlineStr">
        <is>
          <t>.</t>
        </is>
      </c>
      <c r="AN413" s="187">
        <f>IF(L413=0,0,Z413/L413)</f>
        <v/>
      </c>
      <c r="AO413" s="57">
        <f>IF(AN413&gt;=1,"🟢",IF(AN413&gt;=0.7,"🟡",IF(AN413&gt;=0.4,"🟠","🔴")))</f>
        <v/>
      </c>
      <c r="AP413" s="185">
        <f>L413-Z413</f>
        <v/>
      </c>
      <c r="AQ413" s="55">
        <f>RANK(Z413,$Z$4:$Z$503,0)</f>
        <v/>
      </c>
      <c r="AR413" s="39" t="inlineStr">
        <is>
          <t>.</t>
        </is>
      </c>
      <c r="AS413" s="27" t="n"/>
      <c r="AT413" s="27" t="n"/>
      <c r="AU413" s="27" t="n"/>
      <c r="AV413" s="27" t="n"/>
      <c r="AW413" s="27" t="n"/>
      <c r="AX413" s="27" t="n"/>
      <c r="AY413" s="204" t="n"/>
      <c r="AZ413" s="204" t="n"/>
      <c r="BA413" s="38" t="inlineStr">
        <is>
          <t>.</t>
        </is>
      </c>
      <c r="BB413" s="190">
        <f>SUM(BC413:BN413)</f>
        <v/>
      </c>
      <c r="BC413" s="191">
        <f>L413*0.0702730030</f>
        <v/>
      </c>
      <c r="BD413" s="191">
        <f>L413*0.0734327604</f>
        <v/>
      </c>
      <c r="BE413" s="191">
        <f>L413*0.0752022245</f>
        <v/>
      </c>
      <c r="BF413" s="191">
        <f>L413*0.0771612740</f>
        <v/>
      </c>
      <c r="BG413" s="191">
        <f>L413*0.0796890799</f>
        <v/>
      </c>
      <c r="BH413" s="191">
        <f>L413*0.0817745197</f>
        <v/>
      </c>
      <c r="BI413" s="191">
        <f>L413*0.0849342770</f>
        <v/>
      </c>
      <c r="BJ413" s="191">
        <f>L413*0.0870197169</f>
        <v/>
      </c>
      <c r="BK413" s="191">
        <f>L413*0.0889787664</f>
        <v/>
      </c>
      <c r="BL413" s="191">
        <f>L413*0.0911905966</f>
        <v/>
      </c>
      <c r="BM413" s="191">
        <f>L413*0.0935920121</f>
        <v/>
      </c>
      <c r="BN413" s="192">
        <f>L413*0.0967517695</f>
        <v/>
      </c>
      <c r="BO413" s="36" t="inlineStr">
        <is>
          <t>.</t>
        </is>
      </c>
      <c r="BP413" s="193">
        <f>SUM(BQ413:CB413)</f>
        <v/>
      </c>
      <c r="BQ413" s="191">
        <f>MAX(0,BC413-AA413)</f>
        <v/>
      </c>
      <c r="BR413" s="191">
        <f>MAX(0,BD413-AB413)</f>
        <v/>
      </c>
      <c r="BS413" s="191">
        <f>MAX(0,BE413-AC413)</f>
        <v/>
      </c>
      <c r="BT413" s="191">
        <f>MAX(0,BF413-AD413)</f>
        <v/>
      </c>
      <c r="BU413" s="191">
        <f>MAX(0,BG413-AE413)</f>
        <v/>
      </c>
      <c r="BV413" s="191">
        <f>MAX(0,BH413-AF413)</f>
        <v/>
      </c>
      <c r="BW413" s="191">
        <f>MAX(0,BI413-AG413)</f>
        <v/>
      </c>
      <c r="BX413" s="191">
        <f>MAX(0,BJ413-AH413)</f>
        <v/>
      </c>
      <c r="BY413" s="191">
        <f>MAX(0,BK413-AI413)</f>
        <v/>
      </c>
      <c r="BZ413" s="191">
        <f>MAX(0,BL413-AJ413)</f>
        <v/>
      </c>
      <c r="CA413" s="191">
        <f>MAX(0,BM413-AK413)</f>
        <v/>
      </c>
      <c r="CB413" s="192">
        <f>MAX(0,BN413-AL413)</f>
        <v/>
      </c>
    </row>
    <row r="414">
      <c r="A414" s="64" t="inlineStr">
        <is>
          <t>28239223000125</t>
        </is>
      </c>
      <c r="B414" s="57" t="inlineStr">
        <is>
          <t>AUTO POSTO CASIL LTDA</t>
        </is>
      </c>
      <c r="C414" s="57" t="inlineStr">
        <is>
          <t>SEM GRUPO</t>
        </is>
      </c>
      <c r="D414" s="61" t="inlineStr">
        <is>
          <t>HEMANUELE DITZEL (MANU)</t>
        </is>
      </c>
      <c r="E414" s="30" t="inlineStr">
        <is>
          <t>.</t>
        </is>
      </c>
      <c r="F414" s="63" t="inlineStr"/>
      <c r="G414" s="179" t="inlineStr"/>
      <c r="H414" s="57" t="inlineStr"/>
      <c r="I414" s="57" t="inlineStr"/>
      <c r="J414" s="61" t="inlineStr"/>
      <c r="K414" s="30" t="inlineStr">
        <is>
          <t>.</t>
        </is>
      </c>
      <c r="L414" s="180" t="n">
        <v>1845.06</v>
      </c>
      <c r="M414" s="181" t="n">
        <v>129.66</v>
      </c>
      <c r="N414" s="181" t="n">
        <v>135.49</v>
      </c>
      <c r="O414" s="181" t="n">
        <v>138.75</v>
      </c>
      <c r="P414" s="181" t="n">
        <v>142.37</v>
      </c>
      <c r="Q414" s="181" t="n">
        <v>147.03</v>
      </c>
      <c r="R414" s="181" t="n">
        <v>150.88</v>
      </c>
      <c r="S414" s="181" t="n">
        <v>156.71</v>
      </c>
      <c r="T414" s="181" t="n">
        <v>160.56</v>
      </c>
      <c r="U414" s="181" t="n">
        <v>164.17</v>
      </c>
      <c r="V414" s="181" t="n">
        <v>168.25</v>
      </c>
      <c r="W414" s="181" t="n">
        <v>172.68</v>
      </c>
      <c r="X414" s="182" t="n">
        <v>178.51</v>
      </c>
      <c r="Y414" s="183" t="inlineStr">
        <is>
          <t>.</t>
        </is>
      </c>
      <c r="Z414" s="184">
        <f>SUM(AA414:AL414)</f>
        <v/>
      </c>
      <c r="AA414" s="185" t="n">
        <v>0</v>
      </c>
      <c r="AB414" s="185" t="n">
        <v>0</v>
      </c>
      <c r="AC414" s="185" t="n">
        <v>0</v>
      </c>
      <c r="AD414" s="185" t="n">
        <v>0</v>
      </c>
      <c r="AE414" s="185" t="n">
        <v>695.53</v>
      </c>
      <c r="AF414" s="185" t="n">
        <v>67.88</v>
      </c>
      <c r="AG414" s="185" t="n">
        <v>0</v>
      </c>
      <c r="AH414" s="185" t="n">
        <v>0</v>
      </c>
      <c r="AI414" s="185" t="n">
        <v>0</v>
      </c>
      <c r="AJ414" s="185" t="n">
        <v>0</v>
      </c>
      <c r="AK414" s="185" t="n">
        <v>0</v>
      </c>
      <c r="AL414" s="186" t="n">
        <v>0</v>
      </c>
      <c r="AM414" s="30" t="inlineStr">
        <is>
          <t>.</t>
        </is>
      </c>
      <c r="AN414" s="187">
        <f>IF(L414=0,0,Z414/L414)</f>
        <v/>
      </c>
      <c r="AO414" s="57">
        <f>IF(AN414&gt;=1,"🟢",IF(AN414&gt;=0.7,"🟡",IF(AN414&gt;=0.4,"🟠","🔴")))</f>
        <v/>
      </c>
      <c r="AP414" s="185">
        <f>L414-Z414</f>
        <v/>
      </c>
      <c r="AQ414" s="55">
        <f>RANK(Z414,$Z$4:$Z$503,0)</f>
        <v/>
      </c>
      <c r="AR414" s="39" t="inlineStr">
        <is>
          <t>.</t>
        </is>
      </c>
      <c r="AS414" s="27" t="n"/>
      <c r="AT414" s="27" t="n"/>
      <c r="AU414" s="27" t="n"/>
      <c r="AV414" s="27" t="n"/>
      <c r="AW414" s="27" t="n"/>
      <c r="AX414" s="27" t="n"/>
      <c r="AY414" s="204" t="n"/>
      <c r="AZ414" s="204" t="n"/>
      <c r="BA414" s="38" t="inlineStr">
        <is>
          <t>.</t>
        </is>
      </c>
      <c r="BB414" s="190">
        <f>SUM(BC414:BN414)</f>
        <v/>
      </c>
      <c r="BC414" s="191">
        <f>L414*0.0702730030</f>
        <v/>
      </c>
      <c r="BD414" s="191">
        <f>L414*0.0734327604</f>
        <v/>
      </c>
      <c r="BE414" s="191">
        <f>L414*0.0752022245</f>
        <v/>
      </c>
      <c r="BF414" s="191">
        <f>L414*0.0771612740</f>
        <v/>
      </c>
      <c r="BG414" s="191">
        <f>L414*0.0796890799</f>
        <v/>
      </c>
      <c r="BH414" s="191">
        <f>L414*0.0817745197</f>
        <v/>
      </c>
      <c r="BI414" s="191">
        <f>L414*0.0849342770</f>
        <v/>
      </c>
      <c r="BJ414" s="191">
        <f>L414*0.0870197169</f>
        <v/>
      </c>
      <c r="BK414" s="191">
        <f>L414*0.0889787664</f>
        <v/>
      </c>
      <c r="BL414" s="191">
        <f>L414*0.0911905966</f>
        <v/>
      </c>
      <c r="BM414" s="191">
        <f>L414*0.0935920121</f>
        <v/>
      </c>
      <c r="BN414" s="192">
        <f>L414*0.0967517695</f>
        <v/>
      </c>
      <c r="BO414" s="36" t="inlineStr">
        <is>
          <t>.</t>
        </is>
      </c>
      <c r="BP414" s="193">
        <f>SUM(BQ414:CB414)</f>
        <v/>
      </c>
      <c r="BQ414" s="191">
        <f>MAX(0,BC414-AA414)</f>
        <v/>
      </c>
      <c r="BR414" s="191">
        <f>MAX(0,BD414-AB414)</f>
        <v/>
      </c>
      <c r="BS414" s="191">
        <f>MAX(0,BE414-AC414)</f>
        <v/>
      </c>
      <c r="BT414" s="191">
        <f>MAX(0,BF414-AD414)</f>
        <v/>
      </c>
      <c r="BU414" s="191">
        <f>MAX(0,BG414-AE414)</f>
        <v/>
      </c>
      <c r="BV414" s="191">
        <f>MAX(0,BH414-AF414)</f>
        <v/>
      </c>
      <c r="BW414" s="191">
        <f>MAX(0,BI414-AG414)</f>
        <v/>
      </c>
      <c r="BX414" s="191">
        <f>MAX(0,BJ414-AH414)</f>
        <v/>
      </c>
      <c r="BY414" s="191">
        <f>MAX(0,BK414-AI414)</f>
        <v/>
      </c>
      <c r="BZ414" s="191">
        <f>MAX(0,BL414-AJ414)</f>
        <v/>
      </c>
      <c r="CA414" s="191">
        <f>MAX(0,BM414-AK414)</f>
        <v/>
      </c>
      <c r="CB414" s="192">
        <f>MAX(0,BN414-AL414)</f>
        <v/>
      </c>
    </row>
    <row r="415">
      <c r="A415" s="64" t="inlineStr">
        <is>
          <t>58281843000193</t>
        </is>
      </c>
      <c r="B415" s="57" t="inlineStr">
        <is>
          <t>GS SUPLEMENTOS LTDA - ME</t>
        </is>
      </c>
      <c r="C415" s="57" t="inlineStr">
        <is>
          <t>SEM GRUPO</t>
        </is>
      </c>
      <c r="D415" s="61" t="inlineStr">
        <is>
          <t>HEMANUELE DITZEL (MANU)</t>
        </is>
      </c>
      <c r="E415" s="30" t="inlineStr">
        <is>
          <t>.</t>
        </is>
      </c>
      <c r="F415" s="63" t="inlineStr"/>
      <c r="G415" s="179" t="inlineStr"/>
      <c r="H415" s="57" t="inlineStr"/>
      <c r="I415" s="57" t="inlineStr"/>
      <c r="J415" s="61" t="inlineStr"/>
      <c r="K415" s="30" t="inlineStr">
        <is>
          <t>.</t>
        </is>
      </c>
      <c r="L415" s="180" t="n">
        <v>1797.29</v>
      </c>
      <c r="M415" s="181" t="n">
        <v>126.3</v>
      </c>
      <c r="N415" s="181" t="n">
        <v>131.98</v>
      </c>
      <c r="O415" s="181" t="n">
        <v>135.16</v>
      </c>
      <c r="P415" s="181" t="n">
        <v>138.68</v>
      </c>
      <c r="Q415" s="181" t="n">
        <v>143.23</v>
      </c>
      <c r="R415" s="181" t="n">
        <v>146.97</v>
      </c>
      <c r="S415" s="181" t="n">
        <v>152.65</v>
      </c>
      <c r="T415" s="181" t="n">
        <v>156.4</v>
      </c>
      <c r="U415" s="181" t="n">
        <v>159.92</v>
      </c>
      <c r="V415" s="181" t="n">
        <v>163.9</v>
      </c>
      <c r="W415" s="181" t="n">
        <v>168.21</v>
      </c>
      <c r="X415" s="182" t="n">
        <v>173.89</v>
      </c>
      <c r="Y415" s="183" t="inlineStr">
        <is>
          <t>.</t>
        </is>
      </c>
      <c r="Z415" s="184">
        <f>SUM(AA415:AL415)</f>
        <v/>
      </c>
      <c r="AA415" s="185" t="n">
        <v>0</v>
      </c>
      <c r="AB415" s="185" t="n">
        <v>0</v>
      </c>
      <c r="AC415" s="185" t="n">
        <v>0</v>
      </c>
      <c r="AD415" s="185" t="n">
        <v>0</v>
      </c>
      <c r="AE415" s="185" t="n">
        <v>0</v>
      </c>
      <c r="AF415" s="185" t="n">
        <v>721.76</v>
      </c>
      <c r="AG415" s="185" t="n">
        <v>0</v>
      </c>
      <c r="AH415" s="185" t="n">
        <v>0</v>
      </c>
      <c r="AI415" s="185" t="n">
        <v>0</v>
      </c>
      <c r="AJ415" s="185" t="n">
        <v>0</v>
      </c>
      <c r="AK415" s="185" t="n">
        <v>0</v>
      </c>
      <c r="AL415" s="186" t="n">
        <v>0</v>
      </c>
      <c r="AM415" s="30" t="inlineStr">
        <is>
          <t>.</t>
        </is>
      </c>
      <c r="AN415" s="187">
        <f>IF(L415=0,0,Z415/L415)</f>
        <v/>
      </c>
      <c r="AO415" s="57">
        <f>IF(AN415&gt;=1,"🟢",IF(AN415&gt;=0.7,"🟡",IF(AN415&gt;=0.4,"🟠","🔴")))</f>
        <v/>
      </c>
      <c r="AP415" s="185">
        <f>L415-Z415</f>
        <v/>
      </c>
      <c r="AQ415" s="55">
        <f>RANK(Z415,$Z$4:$Z$503,0)</f>
        <v/>
      </c>
      <c r="AR415" s="39" t="inlineStr">
        <is>
          <t>.</t>
        </is>
      </c>
      <c r="AS415" s="27" t="n"/>
      <c r="AT415" s="27" t="n"/>
      <c r="AU415" s="27" t="n"/>
      <c r="AV415" s="27" t="n"/>
      <c r="AW415" s="27" t="n"/>
      <c r="AX415" s="27" t="n"/>
      <c r="AY415" s="204" t="n"/>
      <c r="AZ415" s="204" t="n"/>
      <c r="BA415" s="38" t="inlineStr">
        <is>
          <t>.</t>
        </is>
      </c>
      <c r="BB415" s="190">
        <f>SUM(BC415:BN415)</f>
        <v/>
      </c>
      <c r="BC415" s="191">
        <f>L415*0.0702730030</f>
        <v/>
      </c>
      <c r="BD415" s="191">
        <f>L415*0.0734327604</f>
        <v/>
      </c>
      <c r="BE415" s="191">
        <f>L415*0.0752022245</f>
        <v/>
      </c>
      <c r="BF415" s="191">
        <f>L415*0.0771612740</f>
        <v/>
      </c>
      <c r="BG415" s="191">
        <f>L415*0.0796890799</f>
        <v/>
      </c>
      <c r="BH415" s="191">
        <f>L415*0.0817745197</f>
        <v/>
      </c>
      <c r="BI415" s="191">
        <f>L415*0.0849342770</f>
        <v/>
      </c>
      <c r="BJ415" s="191">
        <f>L415*0.0870197169</f>
        <v/>
      </c>
      <c r="BK415" s="191">
        <f>L415*0.0889787664</f>
        <v/>
      </c>
      <c r="BL415" s="191">
        <f>L415*0.0911905966</f>
        <v/>
      </c>
      <c r="BM415" s="191">
        <f>L415*0.0935920121</f>
        <v/>
      </c>
      <c r="BN415" s="192">
        <f>L415*0.0967517695</f>
        <v/>
      </c>
      <c r="BO415" s="36" t="inlineStr">
        <is>
          <t>.</t>
        </is>
      </c>
      <c r="BP415" s="193">
        <f>SUM(BQ415:CB415)</f>
        <v/>
      </c>
      <c r="BQ415" s="191">
        <f>MAX(0,BC415-AA415)</f>
        <v/>
      </c>
      <c r="BR415" s="191">
        <f>MAX(0,BD415-AB415)</f>
        <v/>
      </c>
      <c r="BS415" s="191">
        <f>MAX(0,BE415-AC415)</f>
        <v/>
      </c>
      <c r="BT415" s="191">
        <f>MAX(0,BF415-AD415)</f>
        <v/>
      </c>
      <c r="BU415" s="191">
        <f>MAX(0,BG415-AE415)</f>
        <v/>
      </c>
      <c r="BV415" s="191">
        <f>MAX(0,BH415-AF415)</f>
        <v/>
      </c>
      <c r="BW415" s="191">
        <f>MAX(0,BI415-AG415)</f>
        <v/>
      </c>
      <c r="BX415" s="191">
        <f>MAX(0,BJ415-AH415)</f>
        <v/>
      </c>
      <c r="BY415" s="191">
        <f>MAX(0,BK415-AI415)</f>
        <v/>
      </c>
      <c r="BZ415" s="191">
        <f>MAX(0,BL415-AJ415)</f>
        <v/>
      </c>
      <c r="CA415" s="191">
        <f>MAX(0,BM415-AK415)</f>
        <v/>
      </c>
      <c r="CB415" s="192">
        <f>MAX(0,BN415-AL415)</f>
        <v/>
      </c>
    </row>
    <row r="416">
      <c r="A416" s="64" t="inlineStr">
        <is>
          <t>45100604000148</t>
        </is>
      </c>
      <c r="B416" s="57" t="inlineStr">
        <is>
          <t>FAZENDINHA SALU.D LTDA - EPP</t>
        </is>
      </c>
      <c r="C416" s="57" t="inlineStr">
        <is>
          <t>SEM GRUPO</t>
        </is>
      </c>
      <c r="D416" s="61" t="inlineStr">
        <is>
          <t>HEMANUELE DITZEL (MANU)</t>
        </is>
      </c>
      <c r="E416" s="30" t="inlineStr">
        <is>
          <t>.</t>
        </is>
      </c>
      <c r="F416" s="63" t="inlineStr"/>
      <c r="G416" s="179" t="inlineStr"/>
      <c r="H416" s="57" t="inlineStr"/>
      <c r="I416" s="57" t="inlineStr"/>
      <c r="J416" s="61" t="inlineStr"/>
      <c r="K416" s="30" t="inlineStr">
        <is>
          <t>.</t>
        </is>
      </c>
      <c r="L416" s="180" t="n">
        <v>1791.36</v>
      </c>
      <c r="M416" s="181" t="n">
        <v>125.88</v>
      </c>
      <c r="N416" s="181" t="n">
        <v>131.55</v>
      </c>
      <c r="O416" s="181" t="n">
        <v>134.71</v>
      </c>
      <c r="P416" s="181" t="n">
        <v>138.22</v>
      </c>
      <c r="Q416" s="181" t="n">
        <v>142.75</v>
      </c>
      <c r="R416" s="181" t="n">
        <v>146.49</v>
      </c>
      <c r="S416" s="181" t="n">
        <v>152.15</v>
      </c>
      <c r="T416" s="181" t="n">
        <v>155.88</v>
      </c>
      <c r="U416" s="181" t="n">
        <v>159.39</v>
      </c>
      <c r="V416" s="181" t="n">
        <v>163.36</v>
      </c>
      <c r="W416" s="181" t="n">
        <v>167.66</v>
      </c>
      <c r="X416" s="182" t="n">
        <v>173.32</v>
      </c>
      <c r="Y416" s="183" t="inlineStr">
        <is>
          <t>.</t>
        </is>
      </c>
      <c r="Z416" s="184">
        <f>SUM(AA416:AL416)</f>
        <v/>
      </c>
      <c r="AA416" s="185" t="n">
        <v>0</v>
      </c>
      <c r="AB416" s="185" t="n">
        <v>0</v>
      </c>
      <c r="AC416" s="185" t="n">
        <v>343.15</v>
      </c>
      <c r="AD416" s="185" t="n">
        <v>0</v>
      </c>
      <c r="AE416" s="185" t="n">
        <v>0</v>
      </c>
      <c r="AF416" s="185" t="n">
        <v>0</v>
      </c>
      <c r="AG416" s="185" t="n">
        <v>0</v>
      </c>
      <c r="AH416" s="185" t="n">
        <v>387.26</v>
      </c>
      <c r="AI416" s="185" t="n">
        <v>0</v>
      </c>
      <c r="AJ416" s="185" t="n">
        <v>0</v>
      </c>
      <c r="AK416" s="185" t="n">
        <v>0</v>
      </c>
      <c r="AL416" s="186" t="n">
        <v>0</v>
      </c>
      <c r="AM416" s="30" t="inlineStr">
        <is>
          <t>.</t>
        </is>
      </c>
      <c r="AN416" s="187">
        <f>IF(L416=0,0,Z416/L416)</f>
        <v/>
      </c>
      <c r="AO416" s="57">
        <f>IF(AN416&gt;=1,"🟢",IF(AN416&gt;=0.7,"🟡",IF(AN416&gt;=0.4,"🟠","🔴")))</f>
        <v/>
      </c>
      <c r="AP416" s="185">
        <f>L416-Z416</f>
        <v/>
      </c>
      <c r="AQ416" s="55">
        <f>RANK(Z416,$Z$4:$Z$503,0)</f>
        <v/>
      </c>
      <c r="AR416" s="39" t="inlineStr">
        <is>
          <t>.</t>
        </is>
      </c>
      <c r="AS416" s="27" t="n"/>
      <c r="AT416" s="27" t="n"/>
      <c r="AU416" s="27" t="n"/>
      <c r="AV416" s="27" t="n"/>
      <c r="AW416" s="27" t="n"/>
      <c r="AX416" s="27" t="n"/>
      <c r="AY416" s="204" t="n"/>
      <c r="AZ416" s="204" t="n"/>
      <c r="BA416" s="38" t="inlineStr">
        <is>
          <t>.</t>
        </is>
      </c>
      <c r="BB416" s="190">
        <f>SUM(BC416:BN416)</f>
        <v/>
      </c>
      <c r="BC416" s="191">
        <f>L416*0.0702730030</f>
        <v/>
      </c>
      <c r="BD416" s="191">
        <f>L416*0.0734327604</f>
        <v/>
      </c>
      <c r="BE416" s="191">
        <f>L416*0.0752022245</f>
        <v/>
      </c>
      <c r="BF416" s="191">
        <f>L416*0.0771612740</f>
        <v/>
      </c>
      <c r="BG416" s="191">
        <f>L416*0.0796890799</f>
        <v/>
      </c>
      <c r="BH416" s="191">
        <f>L416*0.0817745197</f>
        <v/>
      </c>
      <c r="BI416" s="191">
        <f>L416*0.0849342770</f>
        <v/>
      </c>
      <c r="BJ416" s="191">
        <f>L416*0.0870197169</f>
        <v/>
      </c>
      <c r="BK416" s="191">
        <f>L416*0.0889787664</f>
        <v/>
      </c>
      <c r="BL416" s="191">
        <f>L416*0.0911905966</f>
        <v/>
      </c>
      <c r="BM416" s="191">
        <f>L416*0.0935920121</f>
        <v/>
      </c>
      <c r="BN416" s="192">
        <f>L416*0.0967517695</f>
        <v/>
      </c>
      <c r="BO416" s="36" t="inlineStr">
        <is>
          <t>.</t>
        </is>
      </c>
      <c r="BP416" s="193">
        <f>SUM(BQ416:CB416)</f>
        <v/>
      </c>
      <c r="BQ416" s="191">
        <f>MAX(0,BC416-AA416)</f>
        <v/>
      </c>
      <c r="BR416" s="191">
        <f>MAX(0,BD416-AB416)</f>
        <v/>
      </c>
      <c r="BS416" s="191">
        <f>MAX(0,BE416-AC416)</f>
        <v/>
      </c>
      <c r="BT416" s="191">
        <f>MAX(0,BF416-AD416)</f>
        <v/>
      </c>
      <c r="BU416" s="191">
        <f>MAX(0,BG416-AE416)</f>
        <v/>
      </c>
      <c r="BV416" s="191">
        <f>MAX(0,BH416-AF416)</f>
        <v/>
      </c>
      <c r="BW416" s="191">
        <f>MAX(0,BI416-AG416)</f>
        <v/>
      </c>
      <c r="BX416" s="191">
        <f>MAX(0,BJ416-AH416)</f>
        <v/>
      </c>
      <c r="BY416" s="191">
        <f>MAX(0,BK416-AI416)</f>
        <v/>
      </c>
      <c r="BZ416" s="191">
        <f>MAX(0,BL416-AJ416)</f>
        <v/>
      </c>
      <c r="CA416" s="191">
        <f>MAX(0,BM416-AK416)</f>
        <v/>
      </c>
      <c r="CB416" s="192">
        <f>MAX(0,BN416-AL416)</f>
        <v/>
      </c>
    </row>
    <row r="417">
      <c r="A417" s="64" t="inlineStr">
        <is>
          <t>52769733000199</t>
        </is>
      </c>
      <c r="B417" s="57" t="inlineStr">
        <is>
          <t>ADEGA ARAUCARIA COMERCIO DE BEBIDAS LTDA</t>
        </is>
      </c>
      <c r="C417" s="57" t="inlineStr">
        <is>
          <t>SEM GRUPO</t>
        </is>
      </c>
      <c r="D417" s="61" t="inlineStr">
        <is>
          <t>HEMANUELE DITZEL (MANU)</t>
        </is>
      </c>
      <c r="E417" s="30" t="inlineStr">
        <is>
          <t>.</t>
        </is>
      </c>
      <c r="F417" s="63" t="inlineStr"/>
      <c r="G417" s="179" t="inlineStr"/>
      <c r="H417" s="57" t="inlineStr"/>
      <c r="I417" s="57" t="inlineStr"/>
      <c r="J417" s="61" t="inlineStr"/>
      <c r="K417" s="30" t="inlineStr">
        <is>
          <t>.</t>
        </is>
      </c>
      <c r="L417" s="180" t="n">
        <v>1742.81</v>
      </c>
      <c r="M417" s="181" t="n">
        <v>122.47</v>
      </c>
      <c r="N417" s="181" t="n">
        <v>127.98</v>
      </c>
      <c r="O417" s="181" t="n">
        <v>131.06</v>
      </c>
      <c r="P417" s="181" t="n">
        <v>134.48</v>
      </c>
      <c r="Q417" s="181" t="n">
        <v>138.88</v>
      </c>
      <c r="R417" s="181" t="n">
        <v>142.52</v>
      </c>
      <c r="S417" s="181" t="n">
        <v>148.03</v>
      </c>
      <c r="T417" s="181" t="n">
        <v>151.66</v>
      </c>
      <c r="U417" s="181" t="n">
        <v>155.07</v>
      </c>
      <c r="V417" s="181" t="n">
        <v>158.93</v>
      </c>
      <c r="W417" s="181" t="n">
        <v>163.11</v>
      </c>
      <c r="X417" s="182" t="n">
        <v>168.62</v>
      </c>
      <c r="Y417" s="183" t="inlineStr">
        <is>
          <t>.</t>
        </is>
      </c>
      <c r="Z417" s="184">
        <f>SUM(AA417:AL417)</f>
        <v/>
      </c>
      <c r="AA417" s="185" t="n">
        <v>0</v>
      </c>
      <c r="AB417" s="185" t="n">
        <v>1751.99</v>
      </c>
      <c r="AC417" s="185" t="n">
        <v>0</v>
      </c>
      <c r="AD417" s="185" t="n">
        <v>0</v>
      </c>
      <c r="AE417" s="185" t="n">
        <v>0</v>
      </c>
      <c r="AF417" s="185" t="n">
        <v>0</v>
      </c>
      <c r="AG417" s="185" t="n">
        <v>0</v>
      </c>
      <c r="AH417" s="185" t="n">
        <v>0</v>
      </c>
      <c r="AI417" s="185" t="n">
        <v>0</v>
      </c>
      <c r="AJ417" s="185" t="n">
        <v>0</v>
      </c>
      <c r="AK417" s="185" t="n">
        <v>0</v>
      </c>
      <c r="AL417" s="186" t="n">
        <v>0</v>
      </c>
      <c r="AM417" s="30" t="inlineStr">
        <is>
          <t>.</t>
        </is>
      </c>
      <c r="AN417" s="187">
        <f>IF(L417=0,0,Z417/L417)</f>
        <v/>
      </c>
      <c r="AO417" s="57">
        <f>IF(AN417&gt;=1,"🟢",IF(AN417&gt;=0.7,"🟡",IF(AN417&gt;=0.4,"🟠","🔴")))</f>
        <v/>
      </c>
      <c r="AP417" s="185">
        <f>L417-Z417</f>
        <v/>
      </c>
      <c r="AQ417" s="55">
        <f>RANK(Z417,$Z$4:$Z$503,0)</f>
        <v/>
      </c>
      <c r="AR417" s="39" t="inlineStr">
        <is>
          <t>.</t>
        </is>
      </c>
      <c r="AS417" s="27" t="n"/>
      <c r="AT417" s="27" t="n"/>
      <c r="AU417" s="27" t="n"/>
      <c r="AV417" s="27" t="n"/>
      <c r="AW417" s="27" t="n"/>
      <c r="AX417" s="27" t="n"/>
      <c r="AY417" s="204" t="n"/>
      <c r="AZ417" s="204" t="n"/>
      <c r="BA417" s="38" t="inlineStr">
        <is>
          <t>.</t>
        </is>
      </c>
      <c r="BB417" s="190">
        <f>SUM(BC417:BN417)</f>
        <v/>
      </c>
      <c r="BC417" s="191">
        <f>L417*0.0702730030</f>
        <v/>
      </c>
      <c r="BD417" s="191">
        <f>L417*0.0734327604</f>
        <v/>
      </c>
      <c r="BE417" s="191">
        <f>L417*0.0752022245</f>
        <v/>
      </c>
      <c r="BF417" s="191">
        <f>L417*0.0771612740</f>
        <v/>
      </c>
      <c r="BG417" s="191">
        <f>L417*0.0796890799</f>
        <v/>
      </c>
      <c r="BH417" s="191">
        <f>L417*0.0817745197</f>
        <v/>
      </c>
      <c r="BI417" s="191">
        <f>L417*0.0849342770</f>
        <v/>
      </c>
      <c r="BJ417" s="191">
        <f>L417*0.0870197169</f>
        <v/>
      </c>
      <c r="BK417" s="191">
        <f>L417*0.0889787664</f>
        <v/>
      </c>
      <c r="BL417" s="191">
        <f>L417*0.0911905966</f>
        <v/>
      </c>
      <c r="BM417" s="191">
        <f>L417*0.0935920121</f>
        <v/>
      </c>
      <c r="BN417" s="192">
        <f>L417*0.0967517695</f>
        <v/>
      </c>
      <c r="BO417" s="36" t="inlineStr">
        <is>
          <t>.</t>
        </is>
      </c>
      <c r="BP417" s="193">
        <f>SUM(BQ417:CB417)</f>
        <v/>
      </c>
      <c r="BQ417" s="191">
        <f>MAX(0,BC417-AA417)</f>
        <v/>
      </c>
      <c r="BR417" s="191">
        <f>MAX(0,BD417-AB417)</f>
        <v/>
      </c>
      <c r="BS417" s="191">
        <f>MAX(0,BE417-AC417)</f>
        <v/>
      </c>
      <c r="BT417" s="191">
        <f>MAX(0,BF417-AD417)</f>
        <v/>
      </c>
      <c r="BU417" s="191">
        <f>MAX(0,BG417-AE417)</f>
        <v/>
      </c>
      <c r="BV417" s="191">
        <f>MAX(0,BH417-AF417)</f>
        <v/>
      </c>
      <c r="BW417" s="191">
        <f>MAX(0,BI417-AG417)</f>
        <v/>
      </c>
      <c r="BX417" s="191">
        <f>MAX(0,BJ417-AH417)</f>
        <v/>
      </c>
      <c r="BY417" s="191">
        <f>MAX(0,BK417-AI417)</f>
        <v/>
      </c>
      <c r="BZ417" s="191">
        <f>MAX(0,BL417-AJ417)</f>
        <v/>
      </c>
      <c r="CA417" s="191">
        <f>MAX(0,BM417-AK417)</f>
        <v/>
      </c>
      <c r="CB417" s="192">
        <f>MAX(0,BN417-AL417)</f>
        <v/>
      </c>
    </row>
    <row r="418">
      <c r="A418" s="64" t="inlineStr">
        <is>
          <t>57425671000111</t>
        </is>
      </c>
      <c r="B418" s="57" t="inlineStr">
        <is>
          <t>P &amp; M NUTRICAO LTDA - ME</t>
        </is>
      </c>
      <c r="C418" s="57" t="inlineStr">
        <is>
          <t>FITLAND</t>
        </is>
      </c>
      <c r="D418" s="61" t="inlineStr">
        <is>
          <t>JULIO GADRET</t>
        </is>
      </c>
      <c r="E418" s="30" t="inlineStr">
        <is>
          <t>.</t>
        </is>
      </c>
      <c r="F418" s="63" t="n">
        <v>89</v>
      </c>
      <c r="G418" s="179" t="n">
        <v>0.298</v>
      </c>
      <c r="H418" s="57" t="inlineStr">
        <is>
          <t>🔴 VERMELHO</t>
        </is>
      </c>
      <c r="I418" s="57" t="inlineStr">
        <is>
          <t>POSITIVAÇÃO</t>
        </is>
      </c>
      <c r="J418" s="61" t="inlineStr">
        <is>
          <t>Aumentar frequência + Expandir base</t>
        </is>
      </c>
      <c r="K418" s="30" t="inlineStr">
        <is>
          <t>.</t>
        </is>
      </c>
      <c r="L418" s="180" t="n">
        <v>1741.21</v>
      </c>
      <c r="M418" s="181" t="n">
        <v>122.36</v>
      </c>
      <c r="N418" s="181" t="n">
        <v>127.86</v>
      </c>
      <c r="O418" s="181" t="n">
        <v>130.94</v>
      </c>
      <c r="P418" s="181" t="n">
        <v>134.35</v>
      </c>
      <c r="Q418" s="181" t="n">
        <v>138.76</v>
      </c>
      <c r="R418" s="181" t="n">
        <v>142.39</v>
      </c>
      <c r="S418" s="181" t="n">
        <v>147.89</v>
      </c>
      <c r="T418" s="181" t="n">
        <v>151.52</v>
      </c>
      <c r="U418" s="181" t="n">
        <v>154.93</v>
      </c>
      <c r="V418" s="181" t="n">
        <v>158.78</v>
      </c>
      <c r="W418" s="181" t="n">
        <v>162.96</v>
      </c>
      <c r="X418" s="182" t="n">
        <v>168.47</v>
      </c>
      <c r="Y418" s="183" t="inlineStr">
        <is>
          <t>.</t>
        </is>
      </c>
      <c r="Z418" s="184">
        <f>SUM(AA418:AL418)</f>
        <v/>
      </c>
      <c r="AA418" s="185" t="n">
        <v>0</v>
      </c>
      <c r="AB418" s="185" t="n">
        <v>0</v>
      </c>
      <c r="AC418" s="185" t="n">
        <v>0</v>
      </c>
      <c r="AD418" s="185" t="n">
        <v>0</v>
      </c>
      <c r="AE418" s="185" t="n">
        <v>0</v>
      </c>
      <c r="AF418" s="185" t="n">
        <v>0</v>
      </c>
      <c r="AG418" s="185" t="n">
        <v>0</v>
      </c>
      <c r="AH418" s="185" t="n">
        <v>945.59</v>
      </c>
      <c r="AI418" s="185" t="n">
        <v>0</v>
      </c>
      <c r="AJ418" s="185" t="n">
        <v>0</v>
      </c>
      <c r="AK418" s="185" t="n">
        <v>0</v>
      </c>
      <c r="AL418" s="186" t="n">
        <v>0</v>
      </c>
      <c r="AM418" s="30" t="inlineStr">
        <is>
          <t>.</t>
        </is>
      </c>
      <c r="AN418" s="187">
        <f>IF(L418=0,0,Z418/L418)</f>
        <v/>
      </c>
      <c r="AO418" s="57">
        <f>IF(AN418&gt;=1,"🟢",IF(AN418&gt;=0.7,"🟡",IF(AN418&gt;=0.4,"🟠","🔴")))</f>
        <v/>
      </c>
      <c r="AP418" s="185">
        <f>L418-Z418</f>
        <v/>
      </c>
      <c r="AQ418" s="55">
        <f>RANK(Z418,$Z$4:$Z$503,0)</f>
        <v/>
      </c>
      <c r="AR418" s="39" t="inlineStr">
        <is>
          <t>.</t>
        </is>
      </c>
      <c r="AS418" s="27" t="n"/>
      <c r="AT418" s="27" t="n"/>
      <c r="AU418" s="27" t="n"/>
      <c r="AV418" s="27" t="n"/>
      <c r="AW418" s="27" t="n"/>
      <c r="AX418" s="27" t="n"/>
      <c r="AY418" s="204" t="n"/>
      <c r="AZ418" s="204" t="n"/>
      <c r="BA418" s="38" t="inlineStr">
        <is>
          <t>.</t>
        </is>
      </c>
      <c r="BB418" s="190">
        <f>SUM(BC418:BN418)</f>
        <v/>
      </c>
      <c r="BC418" s="191">
        <f>L418*0.0702730030</f>
        <v/>
      </c>
      <c r="BD418" s="191">
        <f>L418*0.0734327604</f>
        <v/>
      </c>
      <c r="BE418" s="191">
        <f>L418*0.0752022245</f>
        <v/>
      </c>
      <c r="BF418" s="191">
        <f>L418*0.0771612740</f>
        <v/>
      </c>
      <c r="BG418" s="191">
        <f>L418*0.0796890799</f>
        <v/>
      </c>
      <c r="BH418" s="191">
        <f>L418*0.0817745197</f>
        <v/>
      </c>
      <c r="BI418" s="191">
        <f>L418*0.0849342770</f>
        <v/>
      </c>
      <c r="BJ418" s="191">
        <f>L418*0.0870197169</f>
        <v/>
      </c>
      <c r="BK418" s="191">
        <f>L418*0.0889787664</f>
        <v/>
      </c>
      <c r="BL418" s="191">
        <f>L418*0.0911905966</f>
        <v/>
      </c>
      <c r="BM418" s="191">
        <f>L418*0.0935920121</f>
        <v/>
      </c>
      <c r="BN418" s="192">
        <f>L418*0.0967517695</f>
        <v/>
      </c>
      <c r="BO418" s="36" t="inlineStr">
        <is>
          <t>.</t>
        </is>
      </c>
      <c r="BP418" s="193">
        <f>SUM(BQ418:CB418)</f>
        <v/>
      </c>
      <c r="BQ418" s="191">
        <f>MAX(0,BC418-AA418)</f>
        <v/>
      </c>
      <c r="BR418" s="191">
        <f>MAX(0,BD418-AB418)</f>
        <v/>
      </c>
      <c r="BS418" s="191">
        <f>MAX(0,BE418-AC418)</f>
        <v/>
      </c>
      <c r="BT418" s="191">
        <f>MAX(0,BF418-AD418)</f>
        <v/>
      </c>
      <c r="BU418" s="191">
        <f>MAX(0,BG418-AE418)</f>
        <v/>
      </c>
      <c r="BV418" s="191">
        <f>MAX(0,BH418-AF418)</f>
        <v/>
      </c>
      <c r="BW418" s="191">
        <f>MAX(0,BI418-AG418)</f>
        <v/>
      </c>
      <c r="BX418" s="191">
        <f>MAX(0,BJ418-AH418)</f>
        <v/>
      </c>
      <c r="BY418" s="191">
        <f>MAX(0,BK418-AI418)</f>
        <v/>
      </c>
      <c r="BZ418" s="191">
        <f>MAX(0,BL418-AJ418)</f>
        <v/>
      </c>
      <c r="CA418" s="191">
        <f>MAX(0,BM418-AK418)</f>
        <v/>
      </c>
      <c r="CB418" s="192">
        <f>MAX(0,BN418-AL418)</f>
        <v/>
      </c>
    </row>
    <row r="419">
      <c r="A419" s="64" t="inlineStr">
        <is>
          <t>53413839000118</t>
        </is>
      </c>
      <c r="B419" s="57" t="inlineStr">
        <is>
          <t>O2 NUTRICAO LTDA - ME</t>
        </is>
      </c>
      <c r="C419" s="57" t="inlineStr">
        <is>
          <t>SEM GRUPO</t>
        </is>
      </c>
      <c r="D419" s="61" t="inlineStr">
        <is>
          <t>LARISSA PADILHA</t>
        </is>
      </c>
      <c r="E419" s="30" t="inlineStr">
        <is>
          <t>.</t>
        </is>
      </c>
      <c r="F419" s="63" t="inlineStr"/>
      <c r="G419" s="179" t="inlineStr"/>
      <c r="H419" s="57" t="inlineStr"/>
      <c r="I419" s="57" t="inlineStr"/>
      <c r="J419" s="61" t="inlineStr"/>
      <c r="K419" s="30" t="inlineStr">
        <is>
          <t>.</t>
        </is>
      </c>
      <c r="L419" s="180" t="n">
        <v>1739.07</v>
      </c>
      <c r="M419" s="181" t="n">
        <v>122.21</v>
      </c>
      <c r="N419" s="181" t="n">
        <v>127.7</v>
      </c>
      <c r="O419" s="181" t="n">
        <v>130.78</v>
      </c>
      <c r="P419" s="181" t="n">
        <v>134.19</v>
      </c>
      <c r="Q419" s="181" t="n">
        <v>138.59</v>
      </c>
      <c r="R419" s="181" t="n">
        <v>142.21</v>
      </c>
      <c r="S419" s="181" t="n">
        <v>147.71</v>
      </c>
      <c r="T419" s="181" t="n">
        <v>151.33</v>
      </c>
      <c r="U419" s="181" t="n">
        <v>154.74</v>
      </c>
      <c r="V419" s="181" t="n">
        <v>158.59</v>
      </c>
      <c r="W419" s="181" t="n">
        <v>162.76</v>
      </c>
      <c r="X419" s="182" t="n">
        <v>168.26</v>
      </c>
      <c r="Y419" s="183" t="inlineStr">
        <is>
          <t>.</t>
        </is>
      </c>
      <c r="Z419" s="184">
        <f>SUM(AA419:AL419)</f>
        <v/>
      </c>
      <c r="AA419" s="185" t="n">
        <v>0</v>
      </c>
      <c r="AB419" s="185" t="n">
        <v>0</v>
      </c>
      <c r="AC419" s="185" t="n">
        <v>0</v>
      </c>
      <c r="AD419" s="185" t="n">
        <v>0</v>
      </c>
      <c r="AE419" s="185" t="n">
        <v>0</v>
      </c>
      <c r="AF419" s="185" t="n">
        <v>0</v>
      </c>
      <c r="AG419" s="185" t="n">
        <v>882.09</v>
      </c>
      <c r="AH419" s="185" t="n">
        <v>0</v>
      </c>
      <c r="AI419" s="185" t="n">
        <v>0</v>
      </c>
      <c r="AJ419" s="185" t="n">
        <v>0</v>
      </c>
      <c r="AK419" s="185" t="n">
        <v>0</v>
      </c>
      <c r="AL419" s="186" t="n">
        <v>0</v>
      </c>
      <c r="AM419" s="30" t="inlineStr">
        <is>
          <t>.</t>
        </is>
      </c>
      <c r="AN419" s="187">
        <f>IF(L419=0,0,Z419/L419)</f>
        <v/>
      </c>
      <c r="AO419" s="57">
        <f>IF(AN419&gt;=1,"🟢",IF(AN419&gt;=0.7,"🟡",IF(AN419&gt;=0.4,"🟠","🔴")))</f>
        <v/>
      </c>
      <c r="AP419" s="185">
        <f>L419-Z419</f>
        <v/>
      </c>
      <c r="AQ419" s="55">
        <f>RANK(Z419,$Z$4:$Z$503,0)</f>
        <v/>
      </c>
      <c r="AR419" s="39" t="inlineStr">
        <is>
          <t>.</t>
        </is>
      </c>
      <c r="AS419" s="27" t="n"/>
      <c r="AT419" s="27" t="n"/>
      <c r="AU419" s="27" t="n"/>
      <c r="AV419" s="27" t="n"/>
      <c r="AW419" s="27" t="n"/>
      <c r="AX419" s="27" t="n"/>
      <c r="AY419" s="204" t="n"/>
      <c r="AZ419" s="204" t="n"/>
      <c r="BA419" s="38" t="inlineStr">
        <is>
          <t>.</t>
        </is>
      </c>
      <c r="BB419" s="190">
        <f>SUM(BC419:BN419)</f>
        <v/>
      </c>
      <c r="BC419" s="191">
        <f>L419*0.0702730030</f>
        <v/>
      </c>
      <c r="BD419" s="191">
        <f>L419*0.0734327604</f>
        <v/>
      </c>
      <c r="BE419" s="191">
        <f>L419*0.0752022245</f>
        <v/>
      </c>
      <c r="BF419" s="191">
        <f>L419*0.0771612740</f>
        <v/>
      </c>
      <c r="BG419" s="191">
        <f>L419*0.0796890799</f>
        <v/>
      </c>
      <c r="BH419" s="191">
        <f>L419*0.0817745197</f>
        <v/>
      </c>
      <c r="BI419" s="191">
        <f>L419*0.0849342770</f>
        <v/>
      </c>
      <c r="BJ419" s="191">
        <f>L419*0.0870197169</f>
        <v/>
      </c>
      <c r="BK419" s="191">
        <f>L419*0.0889787664</f>
        <v/>
      </c>
      <c r="BL419" s="191">
        <f>L419*0.0911905966</f>
        <v/>
      </c>
      <c r="BM419" s="191">
        <f>L419*0.0935920121</f>
        <v/>
      </c>
      <c r="BN419" s="192">
        <f>L419*0.0967517695</f>
        <v/>
      </c>
      <c r="BO419" s="36" t="inlineStr">
        <is>
          <t>.</t>
        </is>
      </c>
      <c r="BP419" s="193">
        <f>SUM(BQ419:CB419)</f>
        <v/>
      </c>
      <c r="BQ419" s="191">
        <f>MAX(0,BC419-AA419)</f>
        <v/>
      </c>
      <c r="BR419" s="191">
        <f>MAX(0,BD419-AB419)</f>
        <v/>
      </c>
      <c r="BS419" s="191">
        <f>MAX(0,BE419-AC419)</f>
        <v/>
      </c>
      <c r="BT419" s="191">
        <f>MAX(0,BF419-AD419)</f>
        <v/>
      </c>
      <c r="BU419" s="191">
        <f>MAX(0,BG419-AE419)</f>
        <v/>
      </c>
      <c r="BV419" s="191">
        <f>MAX(0,BH419-AF419)</f>
        <v/>
      </c>
      <c r="BW419" s="191">
        <f>MAX(0,BI419-AG419)</f>
        <v/>
      </c>
      <c r="BX419" s="191">
        <f>MAX(0,BJ419-AH419)</f>
        <v/>
      </c>
      <c r="BY419" s="191">
        <f>MAX(0,BK419-AI419)</f>
        <v/>
      </c>
      <c r="BZ419" s="191">
        <f>MAX(0,BL419-AJ419)</f>
        <v/>
      </c>
      <c r="CA419" s="191">
        <f>MAX(0,BM419-AK419)</f>
        <v/>
      </c>
      <c r="CB419" s="192">
        <f>MAX(0,BN419-AL419)</f>
        <v/>
      </c>
    </row>
    <row r="420">
      <c r="A420" s="64" t="inlineStr">
        <is>
          <t>38431127000138</t>
        </is>
      </c>
      <c r="B420" s="57" t="inlineStr">
        <is>
          <t>DEISE HERMES BECKER 93087799068 - ME</t>
        </is>
      </c>
      <c r="C420" s="57" t="inlineStr">
        <is>
          <t>SEM GRUPO</t>
        </is>
      </c>
      <c r="D420" s="61" t="inlineStr">
        <is>
          <t>HEMANUELE DITZEL (MANU)</t>
        </is>
      </c>
      <c r="E420" s="30" t="inlineStr">
        <is>
          <t>.</t>
        </is>
      </c>
      <c r="F420" s="63" t="inlineStr"/>
      <c r="G420" s="179" t="inlineStr"/>
      <c r="H420" s="57" t="inlineStr"/>
      <c r="I420" s="57" t="inlineStr"/>
      <c r="J420" s="61" t="inlineStr"/>
      <c r="K420" s="30" t="inlineStr">
        <is>
          <t>.</t>
        </is>
      </c>
      <c r="L420" s="180" t="n">
        <v>1722.98</v>
      </c>
      <c r="M420" s="181" t="n">
        <v>121.08</v>
      </c>
      <c r="N420" s="181" t="n">
        <v>126.52</v>
      </c>
      <c r="O420" s="181" t="n">
        <v>129.57</v>
      </c>
      <c r="P420" s="181" t="n">
        <v>132.95</v>
      </c>
      <c r="Q420" s="181" t="n">
        <v>137.3</v>
      </c>
      <c r="R420" s="181" t="n">
        <v>140.9</v>
      </c>
      <c r="S420" s="181" t="n">
        <v>146.34</v>
      </c>
      <c r="T420" s="181" t="n">
        <v>149.93</v>
      </c>
      <c r="U420" s="181" t="n">
        <v>153.31</v>
      </c>
      <c r="V420" s="181" t="n">
        <v>157.12</v>
      </c>
      <c r="W420" s="181" t="n">
        <v>161.26</v>
      </c>
      <c r="X420" s="182" t="n">
        <v>166.7</v>
      </c>
      <c r="Y420" s="183" t="inlineStr">
        <is>
          <t>.</t>
        </is>
      </c>
      <c r="Z420" s="184">
        <f>SUM(AA420:AL420)</f>
        <v/>
      </c>
      <c r="AA420" s="185" t="n">
        <v>0</v>
      </c>
      <c r="AB420" s="185" t="n">
        <v>0</v>
      </c>
      <c r="AC420" s="185" t="n">
        <v>677.79</v>
      </c>
      <c r="AD420" s="185" t="n">
        <v>0</v>
      </c>
      <c r="AE420" s="185" t="n">
        <v>0</v>
      </c>
      <c r="AF420" s="185" t="n">
        <v>0</v>
      </c>
      <c r="AG420" s="185" t="n">
        <v>0</v>
      </c>
      <c r="AH420" s="185" t="n">
        <v>0</v>
      </c>
      <c r="AI420" s="185" t="n">
        <v>0</v>
      </c>
      <c r="AJ420" s="185" t="n">
        <v>0</v>
      </c>
      <c r="AK420" s="185" t="n">
        <v>0</v>
      </c>
      <c r="AL420" s="186" t="n">
        <v>0</v>
      </c>
      <c r="AM420" s="30" t="inlineStr">
        <is>
          <t>.</t>
        </is>
      </c>
      <c r="AN420" s="187">
        <f>IF(L420=0,0,Z420/L420)</f>
        <v/>
      </c>
      <c r="AO420" s="57">
        <f>IF(AN420&gt;=1,"🟢",IF(AN420&gt;=0.7,"🟡",IF(AN420&gt;=0.4,"🟠","🔴")))</f>
        <v/>
      </c>
      <c r="AP420" s="185">
        <f>L420-Z420</f>
        <v/>
      </c>
      <c r="AQ420" s="55">
        <f>RANK(Z420,$Z$4:$Z$503,0)</f>
        <v/>
      </c>
      <c r="AR420" s="39" t="inlineStr">
        <is>
          <t>.</t>
        </is>
      </c>
      <c r="AS420" s="27" t="n"/>
      <c r="AT420" s="27" t="n"/>
      <c r="AU420" s="27" t="n"/>
      <c r="AV420" s="27" t="n"/>
      <c r="AW420" s="27" t="n"/>
      <c r="AX420" s="27" t="n"/>
      <c r="AY420" s="204" t="n"/>
      <c r="AZ420" s="204" t="n"/>
      <c r="BA420" s="38" t="inlineStr">
        <is>
          <t>.</t>
        </is>
      </c>
      <c r="BB420" s="190">
        <f>SUM(BC420:BN420)</f>
        <v/>
      </c>
      <c r="BC420" s="191">
        <f>L420*0.0702730030</f>
        <v/>
      </c>
      <c r="BD420" s="191">
        <f>L420*0.0734327604</f>
        <v/>
      </c>
      <c r="BE420" s="191">
        <f>L420*0.0752022245</f>
        <v/>
      </c>
      <c r="BF420" s="191">
        <f>L420*0.0771612740</f>
        <v/>
      </c>
      <c r="BG420" s="191">
        <f>L420*0.0796890799</f>
        <v/>
      </c>
      <c r="BH420" s="191">
        <f>L420*0.0817745197</f>
        <v/>
      </c>
      <c r="BI420" s="191">
        <f>L420*0.0849342770</f>
        <v/>
      </c>
      <c r="BJ420" s="191">
        <f>L420*0.0870197169</f>
        <v/>
      </c>
      <c r="BK420" s="191">
        <f>L420*0.0889787664</f>
        <v/>
      </c>
      <c r="BL420" s="191">
        <f>L420*0.0911905966</f>
        <v/>
      </c>
      <c r="BM420" s="191">
        <f>L420*0.0935920121</f>
        <v/>
      </c>
      <c r="BN420" s="192">
        <f>L420*0.0967517695</f>
        <v/>
      </c>
      <c r="BO420" s="36" t="inlineStr">
        <is>
          <t>.</t>
        </is>
      </c>
      <c r="BP420" s="193">
        <f>SUM(BQ420:CB420)</f>
        <v/>
      </c>
      <c r="BQ420" s="191">
        <f>MAX(0,BC420-AA420)</f>
        <v/>
      </c>
      <c r="BR420" s="191">
        <f>MAX(0,BD420-AB420)</f>
        <v/>
      </c>
      <c r="BS420" s="191">
        <f>MAX(0,BE420-AC420)</f>
        <v/>
      </c>
      <c r="BT420" s="191">
        <f>MAX(0,BF420-AD420)</f>
        <v/>
      </c>
      <c r="BU420" s="191">
        <f>MAX(0,BG420-AE420)</f>
        <v/>
      </c>
      <c r="BV420" s="191">
        <f>MAX(0,BH420-AF420)</f>
        <v/>
      </c>
      <c r="BW420" s="191">
        <f>MAX(0,BI420-AG420)</f>
        <v/>
      </c>
      <c r="BX420" s="191">
        <f>MAX(0,BJ420-AH420)</f>
        <v/>
      </c>
      <c r="BY420" s="191">
        <f>MAX(0,BK420-AI420)</f>
        <v/>
      </c>
      <c r="BZ420" s="191">
        <f>MAX(0,BL420-AJ420)</f>
        <v/>
      </c>
      <c r="CA420" s="191">
        <f>MAX(0,BM420-AK420)</f>
        <v/>
      </c>
      <c r="CB420" s="192">
        <f>MAX(0,BN420-AL420)</f>
        <v/>
      </c>
    </row>
    <row r="421">
      <c r="A421" s="64" t="inlineStr">
        <is>
          <t>51599613000128</t>
        </is>
      </c>
      <c r="B421" s="57" t="inlineStr">
        <is>
          <t>51.599.613 GENESIO PAIXAO DE JESUS - ME</t>
        </is>
      </c>
      <c r="C421" s="57" t="inlineStr">
        <is>
          <t>SEM GRUPO</t>
        </is>
      </c>
      <c r="D421" s="61" t="inlineStr">
        <is>
          <t>LARISSA PADILHA</t>
        </is>
      </c>
      <c r="E421" s="30" t="inlineStr">
        <is>
          <t>.</t>
        </is>
      </c>
      <c r="F421" s="63" t="inlineStr"/>
      <c r="G421" s="179" t="inlineStr"/>
      <c r="H421" s="57" t="inlineStr"/>
      <c r="I421" s="57" t="inlineStr"/>
      <c r="J421" s="61" t="inlineStr"/>
      <c r="K421" s="30" t="inlineStr">
        <is>
          <t>.</t>
        </is>
      </c>
      <c r="L421" s="180" t="n">
        <v>1709.81</v>
      </c>
      <c r="M421" s="181" t="n">
        <v>120.15</v>
      </c>
      <c r="N421" s="181" t="n">
        <v>125.56</v>
      </c>
      <c r="O421" s="181" t="n">
        <v>128.58</v>
      </c>
      <c r="P421" s="181" t="n">
        <v>131.93</v>
      </c>
      <c r="Q421" s="181" t="n">
        <v>136.25</v>
      </c>
      <c r="R421" s="181" t="n">
        <v>139.82</v>
      </c>
      <c r="S421" s="181" t="n">
        <v>145.22</v>
      </c>
      <c r="T421" s="181" t="n">
        <v>148.79</v>
      </c>
      <c r="U421" s="181" t="n">
        <v>152.14</v>
      </c>
      <c r="V421" s="181" t="n">
        <v>155.92</v>
      </c>
      <c r="W421" s="181" t="n">
        <v>160.02</v>
      </c>
      <c r="X421" s="182" t="n">
        <v>165.43</v>
      </c>
      <c r="Y421" s="183" t="inlineStr">
        <is>
          <t>.</t>
        </is>
      </c>
      <c r="Z421" s="184">
        <f>SUM(AA421:AL421)</f>
        <v/>
      </c>
      <c r="AA421" s="185" t="n">
        <v>0</v>
      </c>
      <c r="AB421" s="185" t="n">
        <v>0</v>
      </c>
      <c r="AC421" s="185" t="n">
        <v>0</v>
      </c>
      <c r="AD421" s="185" t="n">
        <v>0</v>
      </c>
      <c r="AE421" s="185" t="n">
        <v>0</v>
      </c>
      <c r="AF421" s="185" t="n">
        <v>0</v>
      </c>
      <c r="AG421" s="185" t="n">
        <v>0</v>
      </c>
      <c r="AH421" s="185" t="n">
        <v>0</v>
      </c>
      <c r="AI421" s="185" t="n">
        <v>774.49</v>
      </c>
      <c r="AJ421" s="185" t="n">
        <v>0</v>
      </c>
      <c r="AK421" s="185" t="n">
        <v>0</v>
      </c>
      <c r="AL421" s="186" t="n">
        <v>0</v>
      </c>
      <c r="AM421" s="30" t="inlineStr">
        <is>
          <t>.</t>
        </is>
      </c>
      <c r="AN421" s="187">
        <f>IF(L421=0,0,Z421/L421)</f>
        <v/>
      </c>
      <c r="AO421" s="57">
        <f>IF(AN421&gt;=1,"🟢",IF(AN421&gt;=0.7,"🟡",IF(AN421&gt;=0.4,"🟠","🔴")))</f>
        <v/>
      </c>
      <c r="AP421" s="185">
        <f>L421-Z421</f>
        <v/>
      </c>
      <c r="AQ421" s="55">
        <f>RANK(Z421,$Z$4:$Z$503,0)</f>
        <v/>
      </c>
      <c r="AR421" s="39" t="inlineStr">
        <is>
          <t>.</t>
        </is>
      </c>
      <c r="AS421" s="27" t="n"/>
      <c r="AT421" s="27" t="n"/>
      <c r="AU421" s="27" t="n"/>
      <c r="AV421" s="27" t="n"/>
      <c r="AW421" s="27" t="n"/>
      <c r="AX421" s="27" t="n"/>
      <c r="AY421" s="204" t="n"/>
      <c r="AZ421" s="204" t="n"/>
      <c r="BA421" s="38" t="inlineStr">
        <is>
          <t>.</t>
        </is>
      </c>
      <c r="BB421" s="190">
        <f>SUM(BC421:BN421)</f>
        <v/>
      </c>
      <c r="BC421" s="191">
        <f>L421*0.0702730030</f>
        <v/>
      </c>
      <c r="BD421" s="191">
        <f>L421*0.0734327604</f>
        <v/>
      </c>
      <c r="BE421" s="191">
        <f>L421*0.0752022245</f>
        <v/>
      </c>
      <c r="BF421" s="191">
        <f>L421*0.0771612740</f>
        <v/>
      </c>
      <c r="BG421" s="191">
        <f>L421*0.0796890799</f>
        <v/>
      </c>
      <c r="BH421" s="191">
        <f>L421*0.0817745197</f>
        <v/>
      </c>
      <c r="BI421" s="191">
        <f>L421*0.0849342770</f>
        <v/>
      </c>
      <c r="BJ421" s="191">
        <f>L421*0.0870197169</f>
        <v/>
      </c>
      <c r="BK421" s="191">
        <f>L421*0.0889787664</f>
        <v/>
      </c>
      <c r="BL421" s="191">
        <f>L421*0.0911905966</f>
        <v/>
      </c>
      <c r="BM421" s="191">
        <f>L421*0.0935920121</f>
        <v/>
      </c>
      <c r="BN421" s="192">
        <f>L421*0.0967517695</f>
        <v/>
      </c>
      <c r="BO421" s="36" t="inlineStr">
        <is>
          <t>.</t>
        </is>
      </c>
      <c r="BP421" s="193">
        <f>SUM(BQ421:CB421)</f>
        <v/>
      </c>
      <c r="BQ421" s="191">
        <f>MAX(0,BC421-AA421)</f>
        <v/>
      </c>
      <c r="BR421" s="191">
        <f>MAX(0,BD421-AB421)</f>
        <v/>
      </c>
      <c r="BS421" s="191">
        <f>MAX(0,BE421-AC421)</f>
        <v/>
      </c>
      <c r="BT421" s="191">
        <f>MAX(0,BF421-AD421)</f>
        <v/>
      </c>
      <c r="BU421" s="191">
        <f>MAX(0,BG421-AE421)</f>
        <v/>
      </c>
      <c r="BV421" s="191">
        <f>MAX(0,BH421-AF421)</f>
        <v/>
      </c>
      <c r="BW421" s="191">
        <f>MAX(0,BI421-AG421)</f>
        <v/>
      </c>
      <c r="BX421" s="191">
        <f>MAX(0,BJ421-AH421)</f>
        <v/>
      </c>
      <c r="BY421" s="191">
        <f>MAX(0,BK421-AI421)</f>
        <v/>
      </c>
      <c r="BZ421" s="191">
        <f>MAX(0,BL421-AJ421)</f>
        <v/>
      </c>
      <c r="CA421" s="191">
        <f>MAX(0,BM421-AK421)</f>
        <v/>
      </c>
      <c r="CB421" s="192">
        <f>MAX(0,BN421-AL421)</f>
        <v/>
      </c>
    </row>
    <row r="422">
      <c r="A422" s="64" t="inlineStr">
        <is>
          <t>28998910000124</t>
        </is>
      </c>
      <c r="B422" s="57" t="inlineStr">
        <is>
          <t>AUTO POSTO AVENTADOR LTDA</t>
        </is>
      </c>
      <c r="C422" s="57" t="inlineStr">
        <is>
          <t>SEM GRUPO</t>
        </is>
      </c>
      <c r="D422" s="61" t="inlineStr">
        <is>
          <t>HEMANUELE DITZEL (MANU)</t>
        </is>
      </c>
      <c r="E422" s="30" t="inlineStr">
        <is>
          <t>.</t>
        </is>
      </c>
      <c r="F422" s="63" t="inlineStr"/>
      <c r="G422" s="179" t="inlineStr"/>
      <c r="H422" s="57" t="inlineStr"/>
      <c r="I422" s="57" t="inlineStr"/>
      <c r="J422" s="61" t="inlineStr"/>
      <c r="K422" s="30" t="inlineStr">
        <is>
          <t>.</t>
        </is>
      </c>
      <c r="L422" s="180" t="n">
        <v>1708.25</v>
      </c>
      <c r="M422" s="181" t="n">
        <v>120.04</v>
      </c>
      <c r="N422" s="181" t="n">
        <v>125.44</v>
      </c>
      <c r="O422" s="181" t="n">
        <v>128.46</v>
      </c>
      <c r="P422" s="181" t="n">
        <v>131.81</v>
      </c>
      <c r="Q422" s="181" t="n">
        <v>136.13</v>
      </c>
      <c r="R422" s="181" t="n">
        <v>139.69</v>
      </c>
      <c r="S422" s="181" t="n">
        <v>145.09</v>
      </c>
      <c r="T422" s="181" t="n">
        <v>148.65</v>
      </c>
      <c r="U422" s="181" t="n">
        <v>152</v>
      </c>
      <c r="V422" s="181" t="n">
        <v>155.78</v>
      </c>
      <c r="W422" s="181" t="n">
        <v>159.88</v>
      </c>
      <c r="X422" s="182" t="n">
        <v>165.28</v>
      </c>
      <c r="Y422" s="183" t="inlineStr">
        <is>
          <t>.</t>
        </is>
      </c>
      <c r="Z422" s="184">
        <f>SUM(AA422:AL422)</f>
        <v/>
      </c>
      <c r="AA422" s="185" t="n">
        <v>0</v>
      </c>
      <c r="AB422" s="185" t="n">
        <v>0</v>
      </c>
      <c r="AC422" s="185" t="n">
        <v>0</v>
      </c>
      <c r="AD422" s="185" t="n">
        <v>0</v>
      </c>
      <c r="AE422" s="185" t="n">
        <v>695.6799999999999</v>
      </c>
      <c r="AF422" s="185" t="n">
        <v>0</v>
      </c>
      <c r="AG422" s="185" t="n">
        <v>0</v>
      </c>
      <c r="AH422" s="185" t="n">
        <v>0</v>
      </c>
      <c r="AI422" s="185" t="n">
        <v>0</v>
      </c>
      <c r="AJ422" s="185" t="n">
        <v>0</v>
      </c>
      <c r="AK422" s="185" t="n">
        <v>0</v>
      </c>
      <c r="AL422" s="186" t="n">
        <v>0</v>
      </c>
      <c r="AM422" s="30" t="inlineStr">
        <is>
          <t>.</t>
        </is>
      </c>
      <c r="AN422" s="187">
        <f>IF(L422=0,0,Z422/L422)</f>
        <v/>
      </c>
      <c r="AO422" s="57">
        <f>IF(AN422&gt;=1,"🟢",IF(AN422&gt;=0.7,"🟡",IF(AN422&gt;=0.4,"🟠","🔴")))</f>
        <v/>
      </c>
      <c r="AP422" s="185">
        <f>L422-Z422</f>
        <v/>
      </c>
      <c r="AQ422" s="55">
        <f>RANK(Z422,$Z$4:$Z$503,0)</f>
        <v/>
      </c>
      <c r="AR422" s="39" t="inlineStr">
        <is>
          <t>.</t>
        </is>
      </c>
      <c r="AS422" s="27" t="n"/>
      <c r="AT422" s="27" t="n"/>
      <c r="AU422" s="27" t="n"/>
      <c r="AV422" s="27" t="n"/>
      <c r="AW422" s="27" t="n"/>
      <c r="AX422" s="27" t="n"/>
      <c r="AY422" s="204" t="n"/>
      <c r="AZ422" s="204" t="n"/>
      <c r="BA422" s="38" t="inlineStr">
        <is>
          <t>.</t>
        </is>
      </c>
      <c r="BB422" s="190">
        <f>SUM(BC422:BN422)</f>
        <v/>
      </c>
      <c r="BC422" s="191">
        <f>L422*0.0702730030</f>
        <v/>
      </c>
      <c r="BD422" s="191">
        <f>L422*0.0734327604</f>
        <v/>
      </c>
      <c r="BE422" s="191">
        <f>L422*0.0752022245</f>
        <v/>
      </c>
      <c r="BF422" s="191">
        <f>L422*0.0771612740</f>
        <v/>
      </c>
      <c r="BG422" s="191">
        <f>L422*0.0796890799</f>
        <v/>
      </c>
      <c r="BH422" s="191">
        <f>L422*0.0817745197</f>
        <v/>
      </c>
      <c r="BI422" s="191">
        <f>L422*0.0849342770</f>
        <v/>
      </c>
      <c r="BJ422" s="191">
        <f>L422*0.0870197169</f>
        <v/>
      </c>
      <c r="BK422" s="191">
        <f>L422*0.0889787664</f>
        <v/>
      </c>
      <c r="BL422" s="191">
        <f>L422*0.0911905966</f>
        <v/>
      </c>
      <c r="BM422" s="191">
        <f>L422*0.0935920121</f>
        <v/>
      </c>
      <c r="BN422" s="192">
        <f>L422*0.0967517695</f>
        <v/>
      </c>
      <c r="BO422" s="36" t="inlineStr">
        <is>
          <t>.</t>
        </is>
      </c>
      <c r="BP422" s="193">
        <f>SUM(BQ422:CB422)</f>
        <v/>
      </c>
      <c r="BQ422" s="191">
        <f>MAX(0,BC422-AA422)</f>
        <v/>
      </c>
      <c r="BR422" s="191">
        <f>MAX(0,BD422-AB422)</f>
        <v/>
      </c>
      <c r="BS422" s="191">
        <f>MAX(0,BE422-AC422)</f>
        <v/>
      </c>
      <c r="BT422" s="191">
        <f>MAX(0,BF422-AD422)</f>
        <v/>
      </c>
      <c r="BU422" s="191">
        <f>MAX(0,BG422-AE422)</f>
        <v/>
      </c>
      <c r="BV422" s="191">
        <f>MAX(0,BH422-AF422)</f>
        <v/>
      </c>
      <c r="BW422" s="191">
        <f>MAX(0,BI422-AG422)</f>
        <v/>
      </c>
      <c r="BX422" s="191">
        <f>MAX(0,BJ422-AH422)</f>
        <v/>
      </c>
      <c r="BY422" s="191">
        <f>MAX(0,BK422-AI422)</f>
        <v/>
      </c>
      <c r="BZ422" s="191">
        <f>MAX(0,BL422-AJ422)</f>
        <v/>
      </c>
      <c r="CA422" s="191">
        <f>MAX(0,BM422-AK422)</f>
        <v/>
      </c>
      <c r="CB422" s="192">
        <f>MAX(0,BN422-AL422)</f>
        <v/>
      </c>
    </row>
    <row r="423">
      <c r="A423" s="64" t="inlineStr">
        <is>
          <t>35883706000123</t>
        </is>
      </c>
      <c r="B423" s="57" t="inlineStr">
        <is>
          <t>VS COMERCIO DE PRODUTOS NATURAIS LTDA -</t>
        </is>
      </c>
      <c r="C423" s="57" t="inlineStr">
        <is>
          <t>SEM GRUPO</t>
        </is>
      </c>
      <c r="D423" s="61" t="inlineStr">
        <is>
          <t>LARISSA PADILHA</t>
        </is>
      </c>
      <c r="E423" s="30" t="inlineStr">
        <is>
          <t>.</t>
        </is>
      </c>
      <c r="F423" s="63" t="inlineStr"/>
      <c r="G423" s="179" t="inlineStr"/>
      <c r="H423" s="57" t="inlineStr"/>
      <c r="I423" s="57" t="inlineStr"/>
      <c r="J423" s="61" t="inlineStr"/>
      <c r="K423" s="30" t="inlineStr">
        <is>
          <t>.</t>
        </is>
      </c>
      <c r="L423" s="180" t="n">
        <v>1704.59</v>
      </c>
      <c r="M423" s="181" t="n">
        <v>119.79</v>
      </c>
      <c r="N423" s="181" t="n">
        <v>125.17</v>
      </c>
      <c r="O423" s="181" t="n">
        <v>128.19</v>
      </c>
      <c r="P423" s="181" t="n">
        <v>131.53</v>
      </c>
      <c r="Q423" s="181" t="n">
        <v>135.84</v>
      </c>
      <c r="R423" s="181" t="n">
        <v>139.39</v>
      </c>
      <c r="S423" s="181" t="n">
        <v>144.78</v>
      </c>
      <c r="T423" s="181" t="n">
        <v>148.33</v>
      </c>
      <c r="U423" s="181" t="n">
        <v>151.67</v>
      </c>
      <c r="V423" s="181" t="n">
        <v>155.44</v>
      </c>
      <c r="W423" s="181" t="n">
        <v>159.54</v>
      </c>
      <c r="X423" s="182" t="n">
        <v>164.92</v>
      </c>
      <c r="Y423" s="183" t="inlineStr">
        <is>
          <t>.</t>
        </is>
      </c>
      <c r="Z423" s="184">
        <f>SUM(AA423:AL423)</f>
        <v/>
      </c>
      <c r="AA423" s="185" t="n">
        <v>0</v>
      </c>
      <c r="AB423" s="185" t="n">
        <v>0</v>
      </c>
      <c r="AC423" s="185" t="n">
        <v>0</v>
      </c>
      <c r="AD423" s="185" t="n">
        <v>0</v>
      </c>
      <c r="AE423" s="185" t="n">
        <v>0</v>
      </c>
      <c r="AF423" s="185" t="n">
        <v>0</v>
      </c>
      <c r="AG423" s="185" t="n">
        <v>0</v>
      </c>
      <c r="AH423" s="185" t="n">
        <v>0</v>
      </c>
      <c r="AI423" s="185" t="n">
        <v>0</v>
      </c>
      <c r="AJ423" s="185" t="n">
        <v>0</v>
      </c>
      <c r="AK423" s="185" t="n">
        <v>0</v>
      </c>
      <c r="AL423" s="186" t="n">
        <v>751.26</v>
      </c>
      <c r="AM423" s="30" t="inlineStr">
        <is>
          <t>.</t>
        </is>
      </c>
      <c r="AN423" s="187">
        <f>IF(L423=0,0,Z423/L423)</f>
        <v/>
      </c>
      <c r="AO423" s="57">
        <f>IF(AN423&gt;=1,"🟢",IF(AN423&gt;=0.7,"🟡",IF(AN423&gt;=0.4,"🟠","🔴")))</f>
        <v/>
      </c>
      <c r="AP423" s="185">
        <f>L423-Z423</f>
        <v/>
      </c>
      <c r="AQ423" s="55">
        <f>RANK(Z423,$Z$4:$Z$503,0)</f>
        <v/>
      </c>
      <c r="AR423" s="39" t="inlineStr">
        <is>
          <t>.</t>
        </is>
      </c>
      <c r="AS423" s="27" t="n"/>
      <c r="AT423" s="27" t="n"/>
      <c r="AU423" s="27" t="n"/>
      <c r="AV423" s="27" t="n"/>
      <c r="AW423" s="27" t="n"/>
      <c r="AX423" s="27" t="n"/>
      <c r="AY423" s="204" t="n"/>
      <c r="AZ423" s="204" t="n"/>
      <c r="BA423" s="38" t="inlineStr">
        <is>
          <t>.</t>
        </is>
      </c>
      <c r="BB423" s="190">
        <f>SUM(BC423:BN423)</f>
        <v/>
      </c>
      <c r="BC423" s="191">
        <f>L423*0.0702730030</f>
        <v/>
      </c>
      <c r="BD423" s="191">
        <f>L423*0.0734327604</f>
        <v/>
      </c>
      <c r="BE423" s="191">
        <f>L423*0.0752022245</f>
        <v/>
      </c>
      <c r="BF423" s="191">
        <f>L423*0.0771612740</f>
        <v/>
      </c>
      <c r="BG423" s="191">
        <f>L423*0.0796890799</f>
        <v/>
      </c>
      <c r="BH423" s="191">
        <f>L423*0.0817745197</f>
        <v/>
      </c>
      <c r="BI423" s="191">
        <f>L423*0.0849342770</f>
        <v/>
      </c>
      <c r="BJ423" s="191">
        <f>L423*0.0870197169</f>
        <v/>
      </c>
      <c r="BK423" s="191">
        <f>L423*0.0889787664</f>
        <v/>
      </c>
      <c r="BL423" s="191">
        <f>L423*0.0911905966</f>
        <v/>
      </c>
      <c r="BM423" s="191">
        <f>L423*0.0935920121</f>
        <v/>
      </c>
      <c r="BN423" s="192">
        <f>L423*0.0967517695</f>
        <v/>
      </c>
      <c r="BO423" s="36" t="inlineStr">
        <is>
          <t>.</t>
        </is>
      </c>
      <c r="BP423" s="193">
        <f>SUM(BQ423:CB423)</f>
        <v/>
      </c>
      <c r="BQ423" s="191">
        <f>MAX(0,BC423-AA423)</f>
        <v/>
      </c>
      <c r="BR423" s="191">
        <f>MAX(0,BD423-AB423)</f>
        <v/>
      </c>
      <c r="BS423" s="191">
        <f>MAX(0,BE423-AC423)</f>
        <v/>
      </c>
      <c r="BT423" s="191">
        <f>MAX(0,BF423-AD423)</f>
        <v/>
      </c>
      <c r="BU423" s="191">
        <f>MAX(0,BG423-AE423)</f>
        <v/>
      </c>
      <c r="BV423" s="191">
        <f>MAX(0,BH423-AF423)</f>
        <v/>
      </c>
      <c r="BW423" s="191">
        <f>MAX(0,BI423-AG423)</f>
        <v/>
      </c>
      <c r="BX423" s="191">
        <f>MAX(0,BJ423-AH423)</f>
        <v/>
      </c>
      <c r="BY423" s="191">
        <f>MAX(0,BK423-AI423)</f>
        <v/>
      </c>
      <c r="BZ423" s="191">
        <f>MAX(0,BL423-AJ423)</f>
        <v/>
      </c>
      <c r="CA423" s="191">
        <f>MAX(0,BM423-AK423)</f>
        <v/>
      </c>
      <c r="CB423" s="192">
        <f>MAX(0,BN423-AL423)</f>
        <v/>
      </c>
    </row>
    <row r="424">
      <c r="A424" s="64" t="inlineStr">
        <is>
          <t>44191961000104</t>
        </is>
      </c>
      <c r="B424" s="57" t="inlineStr">
        <is>
          <t>FONTE LTDA - ME</t>
        </is>
      </c>
      <c r="C424" s="57" t="inlineStr">
        <is>
          <t>SEM GRUPO</t>
        </is>
      </c>
      <c r="D424" s="61" t="inlineStr">
        <is>
          <t>HEMANUELE DITZEL (MANU)</t>
        </is>
      </c>
      <c r="E424" s="30" t="inlineStr">
        <is>
          <t>.</t>
        </is>
      </c>
      <c r="F424" s="63" t="inlineStr"/>
      <c r="G424" s="179" t="inlineStr"/>
      <c r="H424" s="57" t="inlineStr"/>
      <c r="I424" s="57" t="inlineStr"/>
      <c r="J424" s="61" t="inlineStr"/>
      <c r="K424" s="30" t="inlineStr">
        <is>
          <t>.</t>
        </is>
      </c>
      <c r="L424" s="180" t="n">
        <v>1696.73</v>
      </c>
      <c r="M424" s="181" t="n">
        <v>119.23</v>
      </c>
      <c r="N424" s="181" t="n">
        <v>124.6</v>
      </c>
      <c r="O424" s="181" t="n">
        <v>127.6</v>
      </c>
      <c r="P424" s="181" t="n">
        <v>130.92</v>
      </c>
      <c r="Q424" s="181" t="n">
        <v>135.21</v>
      </c>
      <c r="R424" s="181" t="n">
        <v>138.75</v>
      </c>
      <c r="S424" s="181" t="n">
        <v>144.11</v>
      </c>
      <c r="T424" s="181" t="n">
        <v>147.65</v>
      </c>
      <c r="U424" s="181" t="n">
        <v>150.97</v>
      </c>
      <c r="V424" s="181" t="n">
        <v>154.73</v>
      </c>
      <c r="W424" s="181" t="n">
        <v>158.8</v>
      </c>
      <c r="X424" s="182" t="n">
        <v>164.16</v>
      </c>
      <c r="Y424" s="183" t="inlineStr">
        <is>
          <t>.</t>
        </is>
      </c>
      <c r="Z424" s="184">
        <f>SUM(AA424:AL424)</f>
        <v/>
      </c>
      <c r="AA424" s="185" t="n">
        <v>0</v>
      </c>
      <c r="AB424" s="185" t="n">
        <v>0</v>
      </c>
      <c r="AC424" s="185" t="n">
        <v>0</v>
      </c>
      <c r="AD424" s="185" t="n">
        <v>0</v>
      </c>
      <c r="AE424" s="185" t="n">
        <v>0</v>
      </c>
      <c r="AF424" s="185" t="n">
        <v>0</v>
      </c>
      <c r="AG424" s="185" t="n">
        <v>0</v>
      </c>
      <c r="AH424" s="185" t="n">
        <v>0</v>
      </c>
      <c r="AI424" s="185" t="n">
        <v>0</v>
      </c>
      <c r="AJ424" s="185" t="n">
        <v>0</v>
      </c>
      <c r="AK424" s="185" t="n">
        <v>905.0700000000001</v>
      </c>
      <c r="AL424" s="186" t="n">
        <v>0</v>
      </c>
      <c r="AM424" s="30" t="inlineStr">
        <is>
          <t>.</t>
        </is>
      </c>
      <c r="AN424" s="187">
        <f>IF(L424=0,0,Z424/L424)</f>
        <v/>
      </c>
      <c r="AO424" s="57">
        <f>IF(AN424&gt;=1,"🟢",IF(AN424&gt;=0.7,"🟡",IF(AN424&gt;=0.4,"🟠","🔴")))</f>
        <v/>
      </c>
      <c r="AP424" s="185">
        <f>L424-Z424</f>
        <v/>
      </c>
      <c r="AQ424" s="55">
        <f>RANK(Z424,$Z$4:$Z$503,0)</f>
        <v/>
      </c>
      <c r="AR424" s="39" t="inlineStr">
        <is>
          <t>.</t>
        </is>
      </c>
      <c r="AS424" s="27" t="n"/>
      <c r="AT424" s="27" t="n"/>
      <c r="AU424" s="27" t="n"/>
      <c r="AV424" s="27" t="n"/>
      <c r="AW424" s="27" t="n"/>
      <c r="AX424" s="27" t="n"/>
      <c r="AY424" s="204" t="n"/>
      <c r="AZ424" s="204" t="n"/>
      <c r="BA424" s="38" t="inlineStr">
        <is>
          <t>.</t>
        </is>
      </c>
      <c r="BB424" s="190">
        <f>SUM(BC424:BN424)</f>
        <v/>
      </c>
      <c r="BC424" s="191">
        <f>L424*0.0702730030</f>
        <v/>
      </c>
      <c r="BD424" s="191">
        <f>L424*0.0734327604</f>
        <v/>
      </c>
      <c r="BE424" s="191">
        <f>L424*0.0752022245</f>
        <v/>
      </c>
      <c r="BF424" s="191">
        <f>L424*0.0771612740</f>
        <v/>
      </c>
      <c r="BG424" s="191">
        <f>L424*0.0796890799</f>
        <v/>
      </c>
      <c r="BH424" s="191">
        <f>L424*0.0817745197</f>
        <v/>
      </c>
      <c r="BI424" s="191">
        <f>L424*0.0849342770</f>
        <v/>
      </c>
      <c r="BJ424" s="191">
        <f>L424*0.0870197169</f>
        <v/>
      </c>
      <c r="BK424" s="191">
        <f>L424*0.0889787664</f>
        <v/>
      </c>
      <c r="BL424" s="191">
        <f>L424*0.0911905966</f>
        <v/>
      </c>
      <c r="BM424" s="191">
        <f>L424*0.0935920121</f>
        <v/>
      </c>
      <c r="BN424" s="192">
        <f>L424*0.0967517695</f>
        <v/>
      </c>
      <c r="BO424" s="36" t="inlineStr">
        <is>
          <t>.</t>
        </is>
      </c>
      <c r="BP424" s="193">
        <f>SUM(BQ424:CB424)</f>
        <v/>
      </c>
      <c r="BQ424" s="191">
        <f>MAX(0,BC424-AA424)</f>
        <v/>
      </c>
      <c r="BR424" s="191">
        <f>MAX(0,BD424-AB424)</f>
        <v/>
      </c>
      <c r="BS424" s="191">
        <f>MAX(0,BE424-AC424)</f>
        <v/>
      </c>
      <c r="BT424" s="191">
        <f>MAX(0,BF424-AD424)</f>
        <v/>
      </c>
      <c r="BU424" s="191">
        <f>MAX(0,BG424-AE424)</f>
        <v/>
      </c>
      <c r="BV424" s="191">
        <f>MAX(0,BH424-AF424)</f>
        <v/>
      </c>
      <c r="BW424" s="191">
        <f>MAX(0,BI424-AG424)</f>
        <v/>
      </c>
      <c r="BX424" s="191">
        <f>MAX(0,BJ424-AH424)</f>
        <v/>
      </c>
      <c r="BY424" s="191">
        <f>MAX(0,BK424-AI424)</f>
        <v/>
      </c>
      <c r="BZ424" s="191">
        <f>MAX(0,BL424-AJ424)</f>
        <v/>
      </c>
      <c r="CA424" s="191">
        <f>MAX(0,BM424-AK424)</f>
        <v/>
      </c>
      <c r="CB424" s="192">
        <f>MAX(0,BN424-AL424)</f>
        <v/>
      </c>
    </row>
    <row r="425">
      <c r="A425" s="64" t="inlineStr">
        <is>
          <t>41329482000105</t>
        </is>
      </c>
      <c r="B425" s="57" t="inlineStr">
        <is>
          <t>41.329.482 ELIO ANTONIO RODRIGUES LEMES-</t>
        </is>
      </c>
      <c r="C425" s="57" t="inlineStr">
        <is>
          <t>SEM GRUPO</t>
        </is>
      </c>
      <c r="D425" s="61" t="inlineStr">
        <is>
          <t>HEMANUELE DITZEL (MANU)</t>
        </is>
      </c>
      <c r="E425" s="30" t="inlineStr">
        <is>
          <t>.</t>
        </is>
      </c>
      <c r="F425" s="63" t="inlineStr"/>
      <c r="G425" s="179" t="inlineStr"/>
      <c r="H425" s="57" t="inlineStr"/>
      <c r="I425" s="57" t="inlineStr"/>
      <c r="J425" s="61" t="inlineStr"/>
      <c r="K425" s="30" t="inlineStr">
        <is>
          <t>.</t>
        </is>
      </c>
      <c r="L425" s="180" t="n">
        <v>1696.03</v>
      </c>
      <c r="M425" s="181" t="n">
        <v>119.19</v>
      </c>
      <c r="N425" s="181" t="n">
        <v>124.54</v>
      </c>
      <c r="O425" s="181" t="n">
        <v>127.55</v>
      </c>
      <c r="P425" s="181" t="n">
        <v>130.87</v>
      </c>
      <c r="Q425" s="181" t="n">
        <v>135.16</v>
      </c>
      <c r="R425" s="181" t="n">
        <v>138.69</v>
      </c>
      <c r="S425" s="181" t="n">
        <v>144.05</v>
      </c>
      <c r="T425" s="181" t="n">
        <v>147.59</v>
      </c>
      <c r="U425" s="181" t="n">
        <v>150.91</v>
      </c>
      <c r="V425" s="181" t="n">
        <v>154.66</v>
      </c>
      <c r="W425" s="181" t="n">
        <v>158.73</v>
      </c>
      <c r="X425" s="182" t="n">
        <v>164.09</v>
      </c>
      <c r="Y425" s="183" t="inlineStr">
        <is>
          <t>.</t>
        </is>
      </c>
      <c r="Z425" s="184">
        <f>SUM(AA425:AL425)</f>
        <v/>
      </c>
      <c r="AA425" s="185" t="n">
        <v>0</v>
      </c>
      <c r="AB425" s="185" t="n">
        <v>1704.95</v>
      </c>
      <c r="AC425" s="185" t="n">
        <v>0</v>
      </c>
      <c r="AD425" s="185" t="n">
        <v>0</v>
      </c>
      <c r="AE425" s="185" t="n">
        <v>0</v>
      </c>
      <c r="AF425" s="185" t="n">
        <v>0</v>
      </c>
      <c r="AG425" s="185" t="n">
        <v>0</v>
      </c>
      <c r="AH425" s="185" t="n">
        <v>0</v>
      </c>
      <c r="AI425" s="185" t="n">
        <v>0</v>
      </c>
      <c r="AJ425" s="185" t="n">
        <v>0</v>
      </c>
      <c r="AK425" s="185" t="n">
        <v>0</v>
      </c>
      <c r="AL425" s="186" t="n">
        <v>0</v>
      </c>
      <c r="AM425" s="30" t="inlineStr">
        <is>
          <t>.</t>
        </is>
      </c>
      <c r="AN425" s="187">
        <f>IF(L425=0,0,Z425/L425)</f>
        <v/>
      </c>
      <c r="AO425" s="57">
        <f>IF(AN425&gt;=1,"🟢",IF(AN425&gt;=0.7,"🟡",IF(AN425&gt;=0.4,"🟠","🔴")))</f>
        <v/>
      </c>
      <c r="AP425" s="185">
        <f>L425-Z425</f>
        <v/>
      </c>
      <c r="AQ425" s="55">
        <f>RANK(Z425,$Z$4:$Z$503,0)</f>
        <v/>
      </c>
      <c r="AR425" s="39" t="inlineStr">
        <is>
          <t>.</t>
        </is>
      </c>
      <c r="AS425" s="27" t="n"/>
      <c r="AT425" s="27" t="n"/>
      <c r="AU425" s="27" t="n"/>
      <c r="AV425" s="27" t="n"/>
      <c r="AW425" s="27" t="n"/>
      <c r="AX425" s="27" t="n"/>
      <c r="AY425" s="204" t="n"/>
      <c r="AZ425" s="204" t="n"/>
      <c r="BA425" s="38" t="inlineStr">
        <is>
          <t>.</t>
        </is>
      </c>
      <c r="BB425" s="190">
        <f>SUM(BC425:BN425)</f>
        <v/>
      </c>
      <c r="BC425" s="191">
        <f>L425*0.0702730030</f>
        <v/>
      </c>
      <c r="BD425" s="191">
        <f>L425*0.0734327604</f>
        <v/>
      </c>
      <c r="BE425" s="191">
        <f>L425*0.0752022245</f>
        <v/>
      </c>
      <c r="BF425" s="191">
        <f>L425*0.0771612740</f>
        <v/>
      </c>
      <c r="BG425" s="191">
        <f>L425*0.0796890799</f>
        <v/>
      </c>
      <c r="BH425" s="191">
        <f>L425*0.0817745197</f>
        <v/>
      </c>
      <c r="BI425" s="191">
        <f>L425*0.0849342770</f>
        <v/>
      </c>
      <c r="BJ425" s="191">
        <f>L425*0.0870197169</f>
        <v/>
      </c>
      <c r="BK425" s="191">
        <f>L425*0.0889787664</f>
        <v/>
      </c>
      <c r="BL425" s="191">
        <f>L425*0.0911905966</f>
        <v/>
      </c>
      <c r="BM425" s="191">
        <f>L425*0.0935920121</f>
        <v/>
      </c>
      <c r="BN425" s="192">
        <f>L425*0.0967517695</f>
        <v/>
      </c>
      <c r="BO425" s="36" t="inlineStr">
        <is>
          <t>.</t>
        </is>
      </c>
      <c r="BP425" s="193">
        <f>SUM(BQ425:CB425)</f>
        <v/>
      </c>
      <c r="BQ425" s="191">
        <f>MAX(0,BC425-AA425)</f>
        <v/>
      </c>
      <c r="BR425" s="191">
        <f>MAX(0,BD425-AB425)</f>
        <v/>
      </c>
      <c r="BS425" s="191">
        <f>MAX(0,BE425-AC425)</f>
        <v/>
      </c>
      <c r="BT425" s="191">
        <f>MAX(0,BF425-AD425)</f>
        <v/>
      </c>
      <c r="BU425" s="191">
        <f>MAX(0,BG425-AE425)</f>
        <v/>
      </c>
      <c r="BV425" s="191">
        <f>MAX(0,BH425-AF425)</f>
        <v/>
      </c>
      <c r="BW425" s="191">
        <f>MAX(0,BI425-AG425)</f>
        <v/>
      </c>
      <c r="BX425" s="191">
        <f>MAX(0,BJ425-AH425)</f>
        <v/>
      </c>
      <c r="BY425" s="191">
        <f>MAX(0,BK425-AI425)</f>
        <v/>
      </c>
      <c r="BZ425" s="191">
        <f>MAX(0,BL425-AJ425)</f>
        <v/>
      </c>
      <c r="CA425" s="191">
        <f>MAX(0,BM425-AK425)</f>
        <v/>
      </c>
      <c r="CB425" s="192">
        <f>MAX(0,BN425-AL425)</f>
        <v/>
      </c>
    </row>
    <row r="426">
      <c r="A426" s="64" t="inlineStr">
        <is>
          <t>16966212000168</t>
        </is>
      </c>
      <c r="B426" s="57" t="inlineStr">
        <is>
          <t>AVILA SUPLEMENTOS ALIMENTICIOS LTDA - ME</t>
        </is>
      </c>
      <c r="C426" s="57" t="inlineStr">
        <is>
          <t>CIA DA SAUDE</t>
        </is>
      </c>
      <c r="D426" s="61" t="inlineStr">
        <is>
          <t>JULIO GADRET</t>
        </is>
      </c>
      <c r="E426" s="30" t="inlineStr">
        <is>
          <t>.</t>
        </is>
      </c>
      <c r="F426" s="63" t="n">
        <v>163</v>
      </c>
      <c r="G426" s="179" t="n">
        <v>0.026</v>
      </c>
      <c r="H426" s="57" t="inlineStr">
        <is>
          <t>🔴 VERMELHO</t>
        </is>
      </c>
      <c r="I426" s="57" t="inlineStr">
        <is>
          <t>ATIVAÇÃO</t>
        </is>
      </c>
      <c r="J426" s="61" t="inlineStr">
        <is>
          <t>Reativar inativos + Prospectar</t>
        </is>
      </c>
      <c r="K426" s="30" t="inlineStr">
        <is>
          <t>.</t>
        </is>
      </c>
      <c r="L426" s="180" t="n">
        <v>1686.24</v>
      </c>
      <c r="M426" s="181" t="n">
        <v>118.5</v>
      </c>
      <c r="N426" s="181" t="n">
        <v>123.82</v>
      </c>
      <c r="O426" s="181" t="n">
        <v>126.81</v>
      </c>
      <c r="P426" s="181" t="n">
        <v>130.11</v>
      </c>
      <c r="Q426" s="181" t="n">
        <v>134.37</v>
      </c>
      <c r="R426" s="181" t="n">
        <v>137.89</v>
      </c>
      <c r="S426" s="181" t="n">
        <v>143.22</v>
      </c>
      <c r="T426" s="181" t="n">
        <v>146.74</v>
      </c>
      <c r="U426" s="181" t="n">
        <v>150.04</v>
      </c>
      <c r="V426" s="181" t="n">
        <v>153.77</v>
      </c>
      <c r="W426" s="181" t="n">
        <v>157.82</v>
      </c>
      <c r="X426" s="182" t="n">
        <v>163.15</v>
      </c>
      <c r="Y426" s="183" t="inlineStr">
        <is>
          <t>.</t>
        </is>
      </c>
      <c r="Z426" s="184">
        <f>SUM(AA426:AL426)</f>
        <v/>
      </c>
      <c r="AA426" s="185" t="n">
        <v>0</v>
      </c>
      <c r="AB426" s="185" t="n">
        <v>0</v>
      </c>
      <c r="AC426" s="185" t="n">
        <v>0</v>
      </c>
      <c r="AD426" s="185" t="n">
        <v>0</v>
      </c>
      <c r="AE426" s="185" t="n">
        <v>0</v>
      </c>
      <c r="AF426" s="185" t="n">
        <v>0</v>
      </c>
      <c r="AG426" s="185" t="n">
        <v>0</v>
      </c>
      <c r="AH426" s="185" t="n">
        <v>0</v>
      </c>
      <c r="AI426" s="185" t="n">
        <v>763.8099999999999</v>
      </c>
      <c r="AJ426" s="185" t="n">
        <v>0</v>
      </c>
      <c r="AK426" s="185" t="n">
        <v>0</v>
      </c>
      <c r="AL426" s="186" t="n">
        <v>0</v>
      </c>
      <c r="AM426" s="30" t="inlineStr">
        <is>
          <t>.</t>
        </is>
      </c>
      <c r="AN426" s="187">
        <f>IF(L426=0,0,Z426/L426)</f>
        <v/>
      </c>
      <c r="AO426" s="57">
        <f>IF(AN426&gt;=1,"🟢",IF(AN426&gt;=0.7,"🟡",IF(AN426&gt;=0.4,"🟠","🔴")))</f>
        <v/>
      </c>
      <c r="AP426" s="185">
        <f>L426-Z426</f>
        <v/>
      </c>
      <c r="AQ426" s="55">
        <f>RANK(Z426,$Z$4:$Z$503,0)</f>
        <v/>
      </c>
      <c r="AR426" s="39" t="inlineStr">
        <is>
          <t>.</t>
        </is>
      </c>
      <c r="AS426" s="27" t="n"/>
      <c r="AT426" s="27" t="n"/>
      <c r="AU426" s="27" t="n"/>
      <c r="AV426" s="27" t="n"/>
      <c r="AW426" s="27" t="n"/>
      <c r="AX426" s="27" t="n"/>
      <c r="AY426" s="204" t="n"/>
      <c r="AZ426" s="204" t="n"/>
      <c r="BA426" s="38" t="inlineStr">
        <is>
          <t>.</t>
        </is>
      </c>
      <c r="BB426" s="190">
        <f>SUM(BC426:BN426)</f>
        <v/>
      </c>
      <c r="BC426" s="191">
        <f>L426*0.0702730030</f>
        <v/>
      </c>
      <c r="BD426" s="191">
        <f>L426*0.0734327604</f>
        <v/>
      </c>
      <c r="BE426" s="191">
        <f>L426*0.0752022245</f>
        <v/>
      </c>
      <c r="BF426" s="191">
        <f>L426*0.0771612740</f>
        <v/>
      </c>
      <c r="BG426" s="191">
        <f>L426*0.0796890799</f>
        <v/>
      </c>
      <c r="BH426" s="191">
        <f>L426*0.0817745197</f>
        <v/>
      </c>
      <c r="BI426" s="191">
        <f>L426*0.0849342770</f>
        <v/>
      </c>
      <c r="BJ426" s="191">
        <f>L426*0.0870197169</f>
        <v/>
      </c>
      <c r="BK426" s="191">
        <f>L426*0.0889787664</f>
        <v/>
      </c>
      <c r="BL426" s="191">
        <f>L426*0.0911905966</f>
        <v/>
      </c>
      <c r="BM426" s="191">
        <f>L426*0.0935920121</f>
        <v/>
      </c>
      <c r="BN426" s="192">
        <f>L426*0.0967517695</f>
        <v/>
      </c>
      <c r="BO426" s="36" t="inlineStr">
        <is>
          <t>.</t>
        </is>
      </c>
      <c r="BP426" s="193">
        <f>SUM(BQ426:CB426)</f>
        <v/>
      </c>
      <c r="BQ426" s="191">
        <f>MAX(0,BC426-AA426)</f>
        <v/>
      </c>
      <c r="BR426" s="191">
        <f>MAX(0,BD426-AB426)</f>
        <v/>
      </c>
      <c r="BS426" s="191">
        <f>MAX(0,BE426-AC426)</f>
        <v/>
      </c>
      <c r="BT426" s="191">
        <f>MAX(0,BF426-AD426)</f>
        <v/>
      </c>
      <c r="BU426" s="191">
        <f>MAX(0,BG426-AE426)</f>
        <v/>
      </c>
      <c r="BV426" s="191">
        <f>MAX(0,BH426-AF426)</f>
        <v/>
      </c>
      <c r="BW426" s="191">
        <f>MAX(0,BI426-AG426)</f>
        <v/>
      </c>
      <c r="BX426" s="191">
        <f>MAX(0,BJ426-AH426)</f>
        <v/>
      </c>
      <c r="BY426" s="191">
        <f>MAX(0,BK426-AI426)</f>
        <v/>
      </c>
      <c r="BZ426" s="191">
        <f>MAX(0,BL426-AJ426)</f>
        <v/>
      </c>
      <c r="CA426" s="191">
        <f>MAX(0,BM426-AK426)</f>
        <v/>
      </c>
      <c r="CB426" s="192">
        <f>MAX(0,BN426-AL426)</f>
        <v/>
      </c>
    </row>
    <row r="427">
      <c r="A427" s="64" t="inlineStr">
        <is>
          <t>40679450000177</t>
        </is>
      </c>
      <c r="B427" s="57" t="inlineStr">
        <is>
          <t>ALCINA P DE MEDEIROS OLIVEIRA - ME</t>
        </is>
      </c>
      <c r="C427" s="57" t="inlineStr">
        <is>
          <t>SEM GRUPO</t>
        </is>
      </c>
      <c r="D427" s="61" t="inlineStr">
        <is>
          <t>LARISSA PADILHA</t>
        </is>
      </c>
      <c r="E427" s="30" t="inlineStr">
        <is>
          <t>.</t>
        </is>
      </c>
      <c r="F427" s="63" t="inlineStr"/>
      <c r="G427" s="179" t="inlineStr"/>
      <c r="H427" s="57" t="inlineStr"/>
      <c r="I427" s="57" t="inlineStr"/>
      <c r="J427" s="61" t="inlineStr"/>
      <c r="K427" s="30" t="inlineStr">
        <is>
          <t>.</t>
        </is>
      </c>
      <c r="L427" s="180" t="n">
        <v>1679.97</v>
      </c>
      <c r="M427" s="181" t="n">
        <v>118.06</v>
      </c>
      <c r="N427" s="181" t="n">
        <v>123.36</v>
      </c>
      <c r="O427" s="181" t="n">
        <v>126.34</v>
      </c>
      <c r="P427" s="181" t="n">
        <v>129.63</v>
      </c>
      <c r="Q427" s="181" t="n">
        <v>133.87</v>
      </c>
      <c r="R427" s="181" t="n">
        <v>137.38</v>
      </c>
      <c r="S427" s="181" t="n">
        <v>142.69</v>
      </c>
      <c r="T427" s="181" t="n">
        <v>146.19</v>
      </c>
      <c r="U427" s="181" t="n">
        <v>149.48</v>
      </c>
      <c r="V427" s="181" t="n">
        <v>153.2</v>
      </c>
      <c r="W427" s="181" t="n">
        <v>157.23</v>
      </c>
      <c r="X427" s="182" t="n">
        <v>162.54</v>
      </c>
      <c r="Y427" s="183" t="inlineStr">
        <is>
          <t>.</t>
        </is>
      </c>
      <c r="Z427" s="184">
        <f>SUM(AA427:AL427)</f>
        <v/>
      </c>
      <c r="AA427" s="185" t="n">
        <v>0</v>
      </c>
      <c r="AB427" s="185" t="n">
        <v>1688.8</v>
      </c>
      <c r="AC427" s="185" t="n">
        <v>0</v>
      </c>
      <c r="AD427" s="185" t="n">
        <v>0</v>
      </c>
      <c r="AE427" s="185" t="n">
        <v>0</v>
      </c>
      <c r="AF427" s="185" t="n">
        <v>0</v>
      </c>
      <c r="AG427" s="185" t="n">
        <v>0</v>
      </c>
      <c r="AH427" s="185" t="n">
        <v>0</v>
      </c>
      <c r="AI427" s="185" t="n">
        <v>0</v>
      </c>
      <c r="AJ427" s="185" t="n">
        <v>0</v>
      </c>
      <c r="AK427" s="185" t="n">
        <v>0</v>
      </c>
      <c r="AL427" s="186" t="n">
        <v>0</v>
      </c>
      <c r="AM427" s="30" t="inlineStr">
        <is>
          <t>.</t>
        </is>
      </c>
      <c r="AN427" s="187">
        <f>IF(L427=0,0,Z427/L427)</f>
        <v/>
      </c>
      <c r="AO427" s="57">
        <f>IF(AN427&gt;=1,"🟢",IF(AN427&gt;=0.7,"🟡",IF(AN427&gt;=0.4,"🟠","🔴")))</f>
        <v/>
      </c>
      <c r="AP427" s="185">
        <f>L427-Z427</f>
        <v/>
      </c>
      <c r="AQ427" s="55">
        <f>RANK(Z427,$Z$4:$Z$503,0)</f>
        <v/>
      </c>
      <c r="AR427" s="39" t="inlineStr">
        <is>
          <t>.</t>
        </is>
      </c>
      <c r="AS427" s="27" t="n"/>
      <c r="AT427" s="27" t="n"/>
      <c r="AU427" s="27" t="n"/>
      <c r="AV427" s="27" t="n"/>
      <c r="AW427" s="27" t="n"/>
      <c r="AX427" s="27" t="n"/>
      <c r="AY427" s="204" t="n"/>
      <c r="AZ427" s="204" t="n"/>
      <c r="BA427" s="38" t="inlineStr">
        <is>
          <t>.</t>
        </is>
      </c>
      <c r="BB427" s="190">
        <f>SUM(BC427:BN427)</f>
        <v/>
      </c>
      <c r="BC427" s="191">
        <f>L427*0.0702730030</f>
        <v/>
      </c>
      <c r="BD427" s="191">
        <f>L427*0.0734327604</f>
        <v/>
      </c>
      <c r="BE427" s="191">
        <f>L427*0.0752022245</f>
        <v/>
      </c>
      <c r="BF427" s="191">
        <f>L427*0.0771612740</f>
        <v/>
      </c>
      <c r="BG427" s="191">
        <f>L427*0.0796890799</f>
        <v/>
      </c>
      <c r="BH427" s="191">
        <f>L427*0.0817745197</f>
        <v/>
      </c>
      <c r="BI427" s="191">
        <f>L427*0.0849342770</f>
        <v/>
      </c>
      <c r="BJ427" s="191">
        <f>L427*0.0870197169</f>
        <v/>
      </c>
      <c r="BK427" s="191">
        <f>L427*0.0889787664</f>
        <v/>
      </c>
      <c r="BL427" s="191">
        <f>L427*0.0911905966</f>
        <v/>
      </c>
      <c r="BM427" s="191">
        <f>L427*0.0935920121</f>
        <v/>
      </c>
      <c r="BN427" s="192">
        <f>L427*0.0967517695</f>
        <v/>
      </c>
      <c r="BO427" s="36" t="inlineStr">
        <is>
          <t>.</t>
        </is>
      </c>
      <c r="BP427" s="193">
        <f>SUM(BQ427:CB427)</f>
        <v/>
      </c>
      <c r="BQ427" s="191">
        <f>MAX(0,BC427-AA427)</f>
        <v/>
      </c>
      <c r="BR427" s="191">
        <f>MAX(0,BD427-AB427)</f>
        <v/>
      </c>
      <c r="BS427" s="191">
        <f>MAX(0,BE427-AC427)</f>
        <v/>
      </c>
      <c r="BT427" s="191">
        <f>MAX(0,BF427-AD427)</f>
        <v/>
      </c>
      <c r="BU427" s="191">
        <f>MAX(0,BG427-AE427)</f>
        <v/>
      </c>
      <c r="BV427" s="191">
        <f>MAX(0,BH427-AF427)</f>
        <v/>
      </c>
      <c r="BW427" s="191">
        <f>MAX(0,BI427-AG427)</f>
        <v/>
      </c>
      <c r="BX427" s="191">
        <f>MAX(0,BJ427-AH427)</f>
        <v/>
      </c>
      <c r="BY427" s="191">
        <f>MAX(0,BK427-AI427)</f>
        <v/>
      </c>
      <c r="BZ427" s="191">
        <f>MAX(0,BL427-AJ427)</f>
        <v/>
      </c>
      <c r="CA427" s="191">
        <f>MAX(0,BM427-AK427)</f>
        <v/>
      </c>
      <c r="CB427" s="192">
        <f>MAX(0,BN427-AL427)</f>
        <v/>
      </c>
    </row>
    <row r="428">
      <c r="A428" s="64" t="inlineStr">
        <is>
          <t>20021355000174</t>
        </is>
      </c>
      <c r="B428" s="57" t="inlineStr">
        <is>
          <t>FRANCO DE OLIVEIRA SILVA &amp; CIA LTDA - ME</t>
        </is>
      </c>
      <c r="C428" s="57" t="inlineStr">
        <is>
          <t>SEM GRUPO</t>
        </is>
      </c>
      <c r="D428" s="61" t="inlineStr">
        <is>
          <t>HEMANUELE DITZEL (MANU)</t>
        </is>
      </c>
      <c r="E428" s="30" t="inlineStr">
        <is>
          <t>.</t>
        </is>
      </c>
      <c r="F428" s="63" t="inlineStr"/>
      <c r="G428" s="179" t="inlineStr"/>
      <c r="H428" s="57" t="inlineStr"/>
      <c r="I428" s="57" t="inlineStr"/>
      <c r="J428" s="61" t="inlineStr"/>
      <c r="K428" s="30" t="inlineStr">
        <is>
          <t>.</t>
        </is>
      </c>
      <c r="L428" s="180" t="n">
        <v>1679.37</v>
      </c>
      <c r="M428" s="181" t="n">
        <v>118.01</v>
      </c>
      <c r="N428" s="181" t="n">
        <v>123.32</v>
      </c>
      <c r="O428" s="181" t="n">
        <v>126.29</v>
      </c>
      <c r="P428" s="181" t="n">
        <v>129.58</v>
      </c>
      <c r="Q428" s="181" t="n">
        <v>133.83</v>
      </c>
      <c r="R428" s="181" t="n">
        <v>137.33</v>
      </c>
      <c r="S428" s="181" t="n">
        <v>142.64</v>
      </c>
      <c r="T428" s="181" t="n">
        <v>146.14</v>
      </c>
      <c r="U428" s="181" t="n">
        <v>149.43</v>
      </c>
      <c r="V428" s="181" t="n">
        <v>153.14</v>
      </c>
      <c r="W428" s="181" t="n">
        <v>157.18</v>
      </c>
      <c r="X428" s="182" t="n">
        <v>162.48</v>
      </c>
      <c r="Y428" s="183" t="inlineStr">
        <is>
          <t>.</t>
        </is>
      </c>
      <c r="Z428" s="184">
        <f>SUM(AA428:AL428)</f>
        <v/>
      </c>
      <c r="AA428" s="185" t="n">
        <v>0</v>
      </c>
      <c r="AB428" s="185" t="n">
        <v>0</v>
      </c>
      <c r="AC428" s="185" t="n">
        <v>0</v>
      </c>
      <c r="AD428" s="185" t="n">
        <v>0</v>
      </c>
      <c r="AE428" s="185" t="n">
        <v>0</v>
      </c>
      <c r="AF428" s="185" t="n">
        <v>0</v>
      </c>
      <c r="AG428" s="185" t="n">
        <v>0</v>
      </c>
      <c r="AH428" s="185" t="n">
        <v>707.64</v>
      </c>
      <c r="AI428" s="185" t="n">
        <v>0</v>
      </c>
      <c r="AJ428" s="185" t="n">
        <v>0</v>
      </c>
      <c r="AK428" s="185" t="n">
        <v>0</v>
      </c>
      <c r="AL428" s="186" t="n">
        <v>0</v>
      </c>
      <c r="AM428" s="30" t="inlineStr">
        <is>
          <t>.</t>
        </is>
      </c>
      <c r="AN428" s="187">
        <f>IF(L428=0,0,Z428/L428)</f>
        <v/>
      </c>
      <c r="AO428" s="57">
        <f>IF(AN428&gt;=1,"🟢",IF(AN428&gt;=0.7,"🟡",IF(AN428&gt;=0.4,"🟠","🔴")))</f>
        <v/>
      </c>
      <c r="AP428" s="185">
        <f>L428-Z428</f>
        <v/>
      </c>
      <c r="AQ428" s="55">
        <f>RANK(Z428,$Z$4:$Z$503,0)</f>
        <v/>
      </c>
      <c r="AR428" s="39" t="inlineStr">
        <is>
          <t>.</t>
        </is>
      </c>
      <c r="AS428" s="27" t="n"/>
      <c r="AT428" s="27" t="n"/>
      <c r="AU428" s="27" t="n"/>
      <c r="AV428" s="27" t="n"/>
      <c r="AW428" s="27" t="n"/>
      <c r="AX428" s="27" t="n"/>
      <c r="AY428" s="204" t="n"/>
      <c r="AZ428" s="204" t="n"/>
      <c r="BA428" s="38" t="inlineStr">
        <is>
          <t>.</t>
        </is>
      </c>
      <c r="BB428" s="190">
        <f>SUM(BC428:BN428)</f>
        <v/>
      </c>
      <c r="BC428" s="191">
        <f>L428*0.0702730030</f>
        <v/>
      </c>
      <c r="BD428" s="191">
        <f>L428*0.0734327604</f>
        <v/>
      </c>
      <c r="BE428" s="191">
        <f>L428*0.0752022245</f>
        <v/>
      </c>
      <c r="BF428" s="191">
        <f>L428*0.0771612740</f>
        <v/>
      </c>
      <c r="BG428" s="191">
        <f>L428*0.0796890799</f>
        <v/>
      </c>
      <c r="BH428" s="191">
        <f>L428*0.0817745197</f>
        <v/>
      </c>
      <c r="BI428" s="191">
        <f>L428*0.0849342770</f>
        <v/>
      </c>
      <c r="BJ428" s="191">
        <f>L428*0.0870197169</f>
        <v/>
      </c>
      <c r="BK428" s="191">
        <f>L428*0.0889787664</f>
        <v/>
      </c>
      <c r="BL428" s="191">
        <f>L428*0.0911905966</f>
        <v/>
      </c>
      <c r="BM428" s="191">
        <f>L428*0.0935920121</f>
        <v/>
      </c>
      <c r="BN428" s="192">
        <f>L428*0.0967517695</f>
        <v/>
      </c>
      <c r="BO428" s="36" t="inlineStr">
        <is>
          <t>.</t>
        </is>
      </c>
      <c r="BP428" s="193">
        <f>SUM(BQ428:CB428)</f>
        <v/>
      </c>
      <c r="BQ428" s="191">
        <f>MAX(0,BC428-AA428)</f>
        <v/>
      </c>
      <c r="BR428" s="191">
        <f>MAX(0,BD428-AB428)</f>
        <v/>
      </c>
      <c r="BS428" s="191">
        <f>MAX(0,BE428-AC428)</f>
        <v/>
      </c>
      <c r="BT428" s="191">
        <f>MAX(0,BF428-AD428)</f>
        <v/>
      </c>
      <c r="BU428" s="191">
        <f>MAX(0,BG428-AE428)</f>
        <v/>
      </c>
      <c r="BV428" s="191">
        <f>MAX(0,BH428-AF428)</f>
        <v/>
      </c>
      <c r="BW428" s="191">
        <f>MAX(0,BI428-AG428)</f>
        <v/>
      </c>
      <c r="BX428" s="191">
        <f>MAX(0,BJ428-AH428)</f>
        <v/>
      </c>
      <c r="BY428" s="191">
        <f>MAX(0,BK428-AI428)</f>
        <v/>
      </c>
      <c r="BZ428" s="191">
        <f>MAX(0,BL428-AJ428)</f>
        <v/>
      </c>
      <c r="CA428" s="191">
        <f>MAX(0,BM428-AK428)</f>
        <v/>
      </c>
      <c r="CB428" s="192">
        <f>MAX(0,BN428-AL428)</f>
        <v/>
      </c>
    </row>
    <row r="429">
      <c r="A429" s="64" t="inlineStr">
        <is>
          <t>49733252000119</t>
        </is>
      </c>
      <c r="B429" s="57" t="inlineStr">
        <is>
          <t>49.733.252 MARIA MADALENA ANDRADE SILVA</t>
        </is>
      </c>
      <c r="C429" s="57" t="inlineStr">
        <is>
          <t>SEM GRUPO</t>
        </is>
      </c>
      <c r="D429" s="61" t="inlineStr">
        <is>
          <t>LARISSA PADILHA</t>
        </is>
      </c>
      <c r="E429" s="30" t="inlineStr">
        <is>
          <t>.</t>
        </is>
      </c>
      <c r="F429" s="63" t="inlineStr"/>
      <c r="G429" s="179" t="inlineStr"/>
      <c r="H429" s="57" t="inlineStr"/>
      <c r="I429" s="57" t="inlineStr"/>
      <c r="J429" s="61" t="inlineStr"/>
      <c r="K429" s="30" t="inlineStr">
        <is>
          <t>.</t>
        </is>
      </c>
      <c r="L429" s="180" t="n">
        <v>1679.2</v>
      </c>
      <c r="M429" s="181" t="n">
        <v>118</v>
      </c>
      <c r="N429" s="181" t="n">
        <v>123.31</v>
      </c>
      <c r="O429" s="181" t="n">
        <v>126.28</v>
      </c>
      <c r="P429" s="181" t="n">
        <v>129.57</v>
      </c>
      <c r="Q429" s="181" t="n">
        <v>133.81</v>
      </c>
      <c r="R429" s="181" t="n">
        <v>137.32</v>
      </c>
      <c r="S429" s="181" t="n">
        <v>142.62</v>
      </c>
      <c r="T429" s="181" t="n">
        <v>146.12</v>
      </c>
      <c r="U429" s="181" t="n">
        <v>149.41</v>
      </c>
      <c r="V429" s="181" t="n">
        <v>153.13</v>
      </c>
      <c r="W429" s="181" t="n">
        <v>157.16</v>
      </c>
      <c r="X429" s="182" t="n">
        <v>162.47</v>
      </c>
      <c r="Y429" s="183" t="inlineStr">
        <is>
          <t>.</t>
        </is>
      </c>
      <c r="Z429" s="184">
        <f>SUM(AA429:AL429)</f>
        <v/>
      </c>
      <c r="AA429" s="185" t="n">
        <v>0</v>
      </c>
      <c r="AB429" s="185" t="n">
        <v>0</v>
      </c>
      <c r="AC429" s="185" t="n">
        <v>0</v>
      </c>
      <c r="AD429" s="185" t="n">
        <v>0</v>
      </c>
      <c r="AE429" s="185" t="n">
        <v>0</v>
      </c>
      <c r="AF429" s="185" t="n">
        <v>0</v>
      </c>
      <c r="AG429" s="185" t="n">
        <v>0</v>
      </c>
      <c r="AH429" s="185" t="n">
        <v>0</v>
      </c>
      <c r="AI429" s="185" t="n">
        <v>0</v>
      </c>
      <c r="AJ429" s="185" t="n">
        <v>0</v>
      </c>
      <c r="AK429" s="185" t="n">
        <v>0</v>
      </c>
      <c r="AL429" s="186" t="n">
        <v>740.0700000000001</v>
      </c>
      <c r="AM429" s="30" t="inlineStr">
        <is>
          <t>.</t>
        </is>
      </c>
      <c r="AN429" s="187">
        <f>IF(L429=0,0,Z429/L429)</f>
        <v/>
      </c>
      <c r="AO429" s="57">
        <f>IF(AN429&gt;=1,"🟢",IF(AN429&gt;=0.7,"🟡",IF(AN429&gt;=0.4,"🟠","🔴")))</f>
        <v/>
      </c>
      <c r="AP429" s="185">
        <f>L429-Z429</f>
        <v/>
      </c>
      <c r="AQ429" s="55">
        <f>RANK(Z429,$Z$4:$Z$503,0)</f>
        <v/>
      </c>
      <c r="AR429" s="39" t="inlineStr">
        <is>
          <t>.</t>
        </is>
      </c>
      <c r="AS429" s="27" t="n"/>
      <c r="AT429" s="27" t="n"/>
      <c r="AU429" s="27" t="n"/>
      <c r="AV429" s="27" t="n"/>
      <c r="AW429" s="27" t="n"/>
      <c r="AX429" s="27" t="n"/>
      <c r="AY429" s="204" t="n"/>
      <c r="AZ429" s="204" t="n"/>
      <c r="BA429" s="38" t="inlineStr">
        <is>
          <t>.</t>
        </is>
      </c>
      <c r="BB429" s="190">
        <f>SUM(BC429:BN429)</f>
        <v/>
      </c>
      <c r="BC429" s="191">
        <f>L429*0.0702730030</f>
        <v/>
      </c>
      <c r="BD429" s="191">
        <f>L429*0.0734327604</f>
        <v/>
      </c>
      <c r="BE429" s="191">
        <f>L429*0.0752022245</f>
        <v/>
      </c>
      <c r="BF429" s="191">
        <f>L429*0.0771612740</f>
        <v/>
      </c>
      <c r="BG429" s="191">
        <f>L429*0.0796890799</f>
        <v/>
      </c>
      <c r="BH429" s="191">
        <f>L429*0.0817745197</f>
        <v/>
      </c>
      <c r="BI429" s="191">
        <f>L429*0.0849342770</f>
        <v/>
      </c>
      <c r="BJ429" s="191">
        <f>L429*0.0870197169</f>
        <v/>
      </c>
      <c r="BK429" s="191">
        <f>L429*0.0889787664</f>
        <v/>
      </c>
      <c r="BL429" s="191">
        <f>L429*0.0911905966</f>
        <v/>
      </c>
      <c r="BM429" s="191">
        <f>L429*0.0935920121</f>
        <v/>
      </c>
      <c r="BN429" s="192">
        <f>L429*0.0967517695</f>
        <v/>
      </c>
      <c r="BO429" s="36" t="inlineStr">
        <is>
          <t>.</t>
        </is>
      </c>
      <c r="BP429" s="193">
        <f>SUM(BQ429:CB429)</f>
        <v/>
      </c>
      <c r="BQ429" s="191">
        <f>MAX(0,BC429-AA429)</f>
        <v/>
      </c>
      <c r="BR429" s="191">
        <f>MAX(0,BD429-AB429)</f>
        <v/>
      </c>
      <c r="BS429" s="191">
        <f>MAX(0,BE429-AC429)</f>
        <v/>
      </c>
      <c r="BT429" s="191">
        <f>MAX(0,BF429-AD429)</f>
        <v/>
      </c>
      <c r="BU429" s="191">
        <f>MAX(0,BG429-AE429)</f>
        <v/>
      </c>
      <c r="BV429" s="191">
        <f>MAX(0,BH429-AF429)</f>
        <v/>
      </c>
      <c r="BW429" s="191">
        <f>MAX(0,BI429-AG429)</f>
        <v/>
      </c>
      <c r="BX429" s="191">
        <f>MAX(0,BJ429-AH429)</f>
        <v/>
      </c>
      <c r="BY429" s="191">
        <f>MAX(0,BK429-AI429)</f>
        <v/>
      </c>
      <c r="BZ429" s="191">
        <f>MAX(0,BL429-AJ429)</f>
        <v/>
      </c>
      <c r="CA429" s="191">
        <f>MAX(0,BM429-AK429)</f>
        <v/>
      </c>
      <c r="CB429" s="192">
        <f>MAX(0,BN429-AL429)</f>
        <v/>
      </c>
    </row>
    <row r="430">
      <c r="A430" s="64" t="inlineStr">
        <is>
          <t>40053395000105</t>
        </is>
      </c>
      <c r="B430" s="57" t="inlineStr">
        <is>
          <t>CALLIERO PROD SAUD &amp; LAERTE PROD SAUD -</t>
        </is>
      </c>
      <c r="C430" s="57" t="inlineStr">
        <is>
          <t>DIVINA TERRA</t>
        </is>
      </c>
      <c r="D430" s="61" t="inlineStr">
        <is>
          <t>DAIANE STAVICKI</t>
        </is>
      </c>
      <c r="E430" s="30" t="inlineStr">
        <is>
          <t>.</t>
        </is>
      </c>
      <c r="F430" s="63" t="n">
        <v>85</v>
      </c>
      <c r="G430" s="179" t="n">
        <v>0.1</v>
      </c>
      <c r="H430" s="57" t="inlineStr">
        <is>
          <t>🔴 VERMELHO</t>
        </is>
      </c>
      <c r="I430" s="57" t="inlineStr">
        <is>
          <t>POSITIVAÇÃO</t>
        </is>
      </c>
      <c r="J430" s="61" t="inlineStr">
        <is>
          <t>Aumentar frequência + Expandir base</t>
        </is>
      </c>
      <c r="K430" s="30" t="inlineStr">
        <is>
          <t>.</t>
        </is>
      </c>
      <c r="L430" s="180" t="n">
        <v>1668.78</v>
      </c>
      <c r="M430" s="181" t="n">
        <v>117.27</v>
      </c>
      <c r="N430" s="181" t="n">
        <v>122.54</v>
      </c>
      <c r="O430" s="181" t="n">
        <v>125.5</v>
      </c>
      <c r="P430" s="181" t="n">
        <v>128.76</v>
      </c>
      <c r="Q430" s="181" t="n">
        <v>132.98</v>
      </c>
      <c r="R430" s="181" t="n">
        <v>136.46</v>
      </c>
      <c r="S430" s="181" t="n">
        <v>141.74</v>
      </c>
      <c r="T430" s="181" t="n">
        <v>145.22</v>
      </c>
      <c r="U430" s="181" t="n">
        <v>148.49</v>
      </c>
      <c r="V430" s="181" t="n">
        <v>152.18</v>
      </c>
      <c r="W430" s="181" t="n">
        <v>156.18</v>
      </c>
      <c r="X430" s="182" t="n">
        <v>161.46</v>
      </c>
      <c r="Y430" s="183" t="inlineStr">
        <is>
          <t>.</t>
        </is>
      </c>
      <c r="Z430" s="184">
        <f>SUM(AA430:AL430)</f>
        <v/>
      </c>
      <c r="AA430" s="185" t="n">
        <v>0</v>
      </c>
      <c r="AB430" s="185" t="n">
        <v>0</v>
      </c>
      <c r="AC430" s="185" t="n">
        <v>0</v>
      </c>
      <c r="AD430" s="185" t="n">
        <v>0</v>
      </c>
      <c r="AE430" s="185" t="n">
        <v>677.09</v>
      </c>
      <c r="AF430" s="185" t="n">
        <v>0</v>
      </c>
      <c r="AG430" s="185" t="n">
        <v>0</v>
      </c>
      <c r="AH430" s="185" t="n">
        <v>0</v>
      </c>
      <c r="AI430" s="185" t="n">
        <v>0</v>
      </c>
      <c r="AJ430" s="185" t="n">
        <v>0</v>
      </c>
      <c r="AK430" s="185" t="n">
        <v>0</v>
      </c>
      <c r="AL430" s="186" t="n">
        <v>0</v>
      </c>
      <c r="AM430" s="30" t="inlineStr">
        <is>
          <t>.</t>
        </is>
      </c>
      <c r="AN430" s="187">
        <f>IF(L430=0,0,Z430/L430)</f>
        <v/>
      </c>
      <c r="AO430" s="57">
        <f>IF(AN430&gt;=1,"🟢",IF(AN430&gt;=0.7,"🟡",IF(AN430&gt;=0.4,"🟠","🔴")))</f>
        <v/>
      </c>
      <c r="AP430" s="185">
        <f>L430-Z430</f>
        <v/>
      </c>
      <c r="AQ430" s="55">
        <f>RANK(Z430,$Z$4:$Z$503,0)</f>
        <v/>
      </c>
      <c r="AR430" s="39" t="inlineStr">
        <is>
          <t>.</t>
        </is>
      </c>
      <c r="AS430" s="27" t="n"/>
      <c r="AT430" s="27" t="n"/>
      <c r="AU430" s="27" t="n"/>
      <c r="AV430" s="27" t="n"/>
      <c r="AW430" s="27" t="n"/>
      <c r="AX430" s="27" t="n"/>
      <c r="AY430" s="204" t="n"/>
      <c r="AZ430" s="204" t="n"/>
      <c r="BA430" s="38" t="inlineStr">
        <is>
          <t>.</t>
        </is>
      </c>
      <c r="BB430" s="190">
        <f>SUM(BC430:BN430)</f>
        <v/>
      </c>
      <c r="BC430" s="191">
        <f>L430*0.0702730030</f>
        <v/>
      </c>
      <c r="BD430" s="191">
        <f>L430*0.0734327604</f>
        <v/>
      </c>
      <c r="BE430" s="191">
        <f>L430*0.0752022245</f>
        <v/>
      </c>
      <c r="BF430" s="191">
        <f>L430*0.0771612740</f>
        <v/>
      </c>
      <c r="BG430" s="191">
        <f>L430*0.0796890799</f>
        <v/>
      </c>
      <c r="BH430" s="191">
        <f>L430*0.0817745197</f>
        <v/>
      </c>
      <c r="BI430" s="191">
        <f>L430*0.0849342770</f>
        <v/>
      </c>
      <c r="BJ430" s="191">
        <f>L430*0.0870197169</f>
        <v/>
      </c>
      <c r="BK430" s="191">
        <f>L430*0.0889787664</f>
        <v/>
      </c>
      <c r="BL430" s="191">
        <f>L430*0.0911905966</f>
        <v/>
      </c>
      <c r="BM430" s="191">
        <f>L430*0.0935920121</f>
        <v/>
      </c>
      <c r="BN430" s="192">
        <f>L430*0.0967517695</f>
        <v/>
      </c>
      <c r="BO430" s="36" t="inlineStr">
        <is>
          <t>.</t>
        </is>
      </c>
      <c r="BP430" s="193">
        <f>SUM(BQ430:CB430)</f>
        <v/>
      </c>
      <c r="BQ430" s="191">
        <f>MAX(0,BC430-AA430)</f>
        <v/>
      </c>
      <c r="BR430" s="191">
        <f>MAX(0,BD430-AB430)</f>
        <v/>
      </c>
      <c r="BS430" s="191">
        <f>MAX(0,BE430-AC430)</f>
        <v/>
      </c>
      <c r="BT430" s="191">
        <f>MAX(0,BF430-AD430)</f>
        <v/>
      </c>
      <c r="BU430" s="191">
        <f>MAX(0,BG430-AE430)</f>
        <v/>
      </c>
      <c r="BV430" s="191">
        <f>MAX(0,BH430-AF430)</f>
        <v/>
      </c>
      <c r="BW430" s="191">
        <f>MAX(0,BI430-AG430)</f>
        <v/>
      </c>
      <c r="BX430" s="191">
        <f>MAX(0,BJ430-AH430)</f>
        <v/>
      </c>
      <c r="BY430" s="191">
        <f>MAX(0,BK430-AI430)</f>
        <v/>
      </c>
      <c r="BZ430" s="191">
        <f>MAX(0,BL430-AJ430)</f>
        <v/>
      </c>
      <c r="CA430" s="191">
        <f>MAX(0,BM430-AK430)</f>
        <v/>
      </c>
      <c r="CB430" s="192">
        <f>MAX(0,BN430-AL430)</f>
        <v/>
      </c>
    </row>
    <row r="431">
      <c r="A431" s="64" t="inlineStr">
        <is>
          <t>41610352000146</t>
        </is>
      </c>
      <c r="B431" s="57" t="inlineStr">
        <is>
          <t>41.610.352 TAMIRES TRINDADE DA SILVA</t>
        </is>
      </c>
      <c r="C431" s="57" t="inlineStr">
        <is>
          <t>SEM GRUPO</t>
        </is>
      </c>
      <c r="D431" s="61" t="inlineStr">
        <is>
          <t>LARISSA PADILHA</t>
        </is>
      </c>
      <c r="E431" s="30" t="inlineStr">
        <is>
          <t>.</t>
        </is>
      </c>
      <c r="F431" s="63" t="inlineStr"/>
      <c r="G431" s="179" t="inlineStr"/>
      <c r="H431" s="57" t="inlineStr"/>
      <c r="I431" s="57" t="inlineStr"/>
      <c r="J431" s="61" t="inlineStr"/>
      <c r="K431" s="30" t="inlineStr">
        <is>
          <t>.</t>
        </is>
      </c>
      <c r="L431" s="180" t="n">
        <v>1668.11</v>
      </c>
      <c r="M431" s="181" t="n">
        <v>117.22</v>
      </c>
      <c r="N431" s="181" t="n">
        <v>122.49</v>
      </c>
      <c r="O431" s="181" t="n">
        <v>125.45</v>
      </c>
      <c r="P431" s="181" t="n">
        <v>128.71</v>
      </c>
      <c r="Q431" s="181" t="n">
        <v>132.93</v>
      </c>
      <c r="R431" s="181" t="n">
        <v>136.41</v>
      </c>
      <c r="S431" s="181" t="n">
        <v>141.68</v>
      </c>
      <c r="T431" s="181" t="n">
        <v>145.16</v>
      </c>
      <c r="U431" s="181" t="n">
        <v>148.43</v>
      </c>
      <c r="V431" s="181" t="n">
        <v>152.12</v>
      </c>
      <c r="W431" s="181" t="n">
        <v>156.12</v>
      </c>
      <c r="X431" s="182" t="n">
        <v>161.39</v>
      </c>
      <c r="Y431" s="183" t="inlineStr">
        <is>
          <t>.</t>
        </is>
      </c>
      <c r="Z431" s="184">
        <f>SUM(AA431:AL431)</f>
        <v/>
      </c>
      <c r="AA431" s="185" t="n">
        <v>0</v>
      </c>
      <c r="AB431" s="185" t="n">
        <v>0</v>
      </c>
      <c r="AC431" s="185" t="n">
        <v>0</v>
      </c>
      <c r="AD431" s="185" t="n">
        <v>0</v>
      </c>
      <c r="AE431" s="185" t="n">
        <v>676.8200000000001</v>
      </c>
      <c r="AF431" s="185" t="n">
        <v>0</v>
      </c>
      <c r="AG431" s="185" t="n">
        <v>0</v>
      </c>
      <c r="AH431" s="185" t="n">
        <v>0</v>
      </c>
      <c r="AI431" s="185" t="n">
        <v>0</v>
      </c>
      <c r="AJ431" s="185" t="n">
        <v>0</v>
      </c>
      <c r="AK431" s="185" t="n">
        <v>0</v>
      </c>
      <c r="AL431" s="186" t="n">
        <v>0</v>
      </c>
      <c r="AM431" s="30" t="inlineStr">
        <is>
          <t>.</t>
        </is>
      </c>
      <c r="AN431" s="187">
        <f>IF(L431=0,0,Z431/L431)</f>
        <v/>
      </c>
      <c r="AO431" s="57">
        <f>IF(AN431&gt;=1,"🟢",IF(AN431&gt;=0.7,"🟡",IF(AN431&gt;=0.4,"🟠","🔴")))</f>
        <v/>
      </c>
      <c r="AP431" s="185">
        <f>L431-Z431</f>
        <v/>
      </c>
      <c r="AQ431" s="55">
        <f>RANK(Z431,$Z$4:$Z$503,0)</f>
        <v/>
      </c>
      <c r="AR431" s="39" t="inlineStr">
        <is>
          <t>.</t>
        </is>
      </c>
      <c r="AS431" s="27" t="n"/>
      <c r="AT431" s="27" t="n"/>
      <c r="AU431" s="27" t="n"/>
      <c r="AV431" s="27" t="n"/>
      <c r="AW431" s="27" t="n"/>
      <c r="AX431" s="27" t="n"/>
      <c r="AY431" s="204" t="n"/>
      <c r="AZ431" s="204" t="n"/>
      <c r="BA431" s="38" t="inlineStr">
        <is>
          <t>.</t>
        </is>
      </c>
      <c r="BB431" s="190">
        <f>SUM(BC431:BN431)</f>
        <v/>
      </c>
      <c r="BC431" s="191">
        <f>L431*0.0702730030</f>
        <v/>
      </c>
      <c r="BD431" s="191">
        <f>L431*0.0734327604</f>
        <v/>
      </c>
      <c r="BE431" s="191">
        <f>L431*0.0752022245</f>
        <v/>
      </c>
      <c r="BF431" s="191">
        <f>L431*0.0771612740</f>
        <v/>
      </c>
      <c r="BG431" s="191">
        <f>L431*0.0796890799</f>
        <v/>
      </c>
      <c r="BH431" s="191">
        <f>L431*0.0817745197</f>
        <v/>
      </c>
      <c r="BI431" s="191">
        <f>L431*0.0849342770</f>
        <v/>
      </c>
      <c r="BJ431" s="191">
        <f>L431*0.0870197169</f>
        <v/>
      </c>
      <c r="BK431" s="191">
        <f>L431*0.0889787664</f>
        <v/>
      </c>
      <c r="BL431" s="191">
        <f>L431*0.0911905966</f>
        <v/>
      </c>
      <c r="BM431" s="191">
        <f>L431*0.0935920121</f>
        <v/>
      </c>
      <c r="BN431" s="192">
        <f>L431*0.0967517695</f>
        <v/>
      </c>
      <c r="BO431" s="36" t="inlineStr">
        <is>
          <t>.</t>
        </is>
      </c>
      <c r="BP431" s="193">
        <f>SUM(BQ431:CB431)</f>
        <v/>
      </c>
      <c r="BQ431" s="191">
        <f>MAX(0,BC431-AA431)</f>
        <v/>
      </c>
      <c r="BR431" s="191">
        <f>MAX(0,BD431-AB431)</f>
        <v/>
      </c>
      <c r="BS431" s="191">
        <f>MAX(0,BE431-AC431)</f>
        <v/>
      </c>
      <c r="BT431" s="191">
        <f>MAX(0,BF431-AD431)</f>
        <v/>
      </c>
      <c r="BU431" s="191">
        <f>MAX(0,BG431-AE431)</f>
        <v/>
      </c>
      <c r="BV431" s="191">
        <f>MAX(0,BH431-AF431)</f>
        <v/>
      </c>
      <c r="BW431" s="191">
        <f>MAX(0,BI431-AG431)</f>
        <v/>
      </c>
      <c r="BX431" s="191">
        <f>MAX(0,BJ431-AH431)</f>
        <v/>
      </c>
      <c r="BY431" s="191">
        <f>MAX(0,BK431-AI431)</f>
        <v/>
      </c>
      <c r="BZ431" s="191">
        <f>MAX(0,BL431-AJ431)</f>
        <v/>
      </c>
      <c r="CA431" s="191">
        <f>MAX(0,BM431-AK431)</f>
        <v/>
      </c>
      <c r="CB431" s="192">
        <f>MAX(0,BN431-AL431)</f>
        <v/>
      </c>
    </row>
    <row r="432">
      <c r="A432" s="64" t="inlineStr">
        <is>
          <t>61631622000102</t>
        </is>
      </c>
      <c r="B432" s="57" t="inlineStr">
        <is>
          <t>61.631.622 RICARDO AMERICO DOS SANTOS -</t>
        </is>
      </c>
      <c r="C432" s="57" t="inlineStr">
        <is>
          <t>SEM GRUPO</t>
        </is>
      </c>
      <c r="D432" s="61" t="inlineStr">
        <is>
          <t>LARISSA PADILHA</t>
        </is>
      </c>
      <c r="E432" s="30" t="inlineStr">
        <is>
          <t>.</t>
        </is>
      </c>
      <c r="F432" s="63" t="inlineStr"/>
      <c r="G432" s="179" t="inlineStr"/>
      <c r="H432" s="57" t="inlineStr"/>
      <c r="I432" s="57" t="inlineStr"/>
      <c r="J432" s="61" t="inlineStr"/>
      <c r="K432" s="30" t="inlineStr">
        <is>
          <t>.</t>
        </is>
      </c>
      <c r="L432" s="180" t="n">
        <v>1663.92</v>
      </c>
      <c r="M432" s="181" t="n">
        <v>116.93</v>
      </c>
      <c r="N432" s="181" t="n">
        <v>122.19</v>
      </c>
      <c r="O432" s="181" t="n">
        <v>125.13</v>
      </c>
      <c r="P432" s="181" t="n">
        <v>128.39</v>
      </c>
      <c r="Q432" s="181" t="n">
        <v>132.6</v>
      </c>
      <c r="R432" s="181" t="n">
        <v>136.07</v>
      </c>
      <c r="S432" s="181" t="n">
        <v>141.32</v>
      </c>
      <c r="T432" s="181" t="n">
        <v>144.79</v>
      </c>
      <c r="U432" s="181" t="n">
        <v>148.05</v>
      </c>
      <c r="V432" s="181" t="n">
        <v>151.73</v>
      </c>
      <c r="W432" s="181" t="n">
        <v>155.73</v>
      </c>
      <c r="X432" s="182" t="n">
        <v>160.99</v>
      </c>
      <c r="Y432" s="183" t="inlineStr">
        <is>
          <t>.</t>
        </is>
      </c>
      <c r="Z432" s="184">
        <f>SUM(AA432:AL432)</f>
        <v/>
      </c>
      <c r="AA432" s="185" t="n">
        <v>0</v>
      </c>
      <c r="AB432" s="185" t="n">
        <v>0</v>
      </c>
      <c r="AC432" s="185" t="n">
        <v>0</v>
      </c>
      <c r="AD432" s="185" t="n">
        <v>0</v>
      </c>
      <c r="AE432" s="185" t="n">
        <v>0</v>
      </c>
      <c r="AF432" s="185" t="n">
        <v>0</v>
      </c>
      <c r="AG432" s="185" t="n">
        <v>0</v>
      </c>
      <c r="AH432" s="185" t="n">
        <v>0</v>
      </c>
      <c r="AI432" s="185" t="n">
        <v>0</v>
      </c>
      <c r="AJ432" s="185" t="n">
        <v>0</v>
      </c>
      <c r="AK432" s="185" t="n">
        <v>0</v>
      </c>
      <c r="AL432" s="186" t="n">
        <v>733.34</v>
      </c>
      <c r="AM432" s="30" t="inlineStr">
        <is>
          <t>.</t>
        </is>
      </c>
      <c r="AN432" s="187">
        <f>IF(L432=0,0,Z432/L432)</f>
        <v/>
      </c>
      <c r="AO432" s="57">
        <f>IF(AN432&gt;=1,"🟢",IF(AN432&gt;=0.7,"🟡",IF(AN432&gt;=0.4,"🟠","🔴")))</f>
        <v/>
      </c>
      <c r="AP432" s="185">
        <f>L432-Z432</f>
        <v/>
      </c>
      <c r="AQ432" s="55">
        <f>RANK(Z432,$Z$4:$Z$503,0)</f>
        <v/>
      </c>
      <c r="AR432" s="39" t="inlineStr">
        <is>
          <t>.</t>
        </is>
      </c>
      <c r="AS432" s="27" t="n"/>
      <c r="AT432" s="27" t="n"/>
      <c r="AU432" s="27" t="n"/>
      <c r="AV432" s="27" t="n"/>
      <c r="AW432" s="27" t="n"/>
      <c r="AX432" s="27" t="n"/>
      <c r="AY432" s="204" t="n"/>
      <c r="AZ432" s="204" t="n"/>
      <c r="BA432" s="38" t="inlineStr">
        <is>
          <t>.</t>
        </is>
      </c>
      <c r="BB432" s="190">
        <f>SUM(BC432:BN432)</f>
        <v/>
      </c>
      <c r="BC432" s="191">
        <f>L432*0.0702730030</f>
        <v/>
      </c>
      <c r="BD432" s="191">
        <f>L432*0.0734327604</f>
        <v/>
      </c>
      <c r="BE432" s="191">
        <f>L432*0.0752022245</f>
        <v/>
      </c>
      <c r="BF432" s="191">
        <f>L432*0.0771612740</f>
        <v/>
      </c>
      <c r="BG432" s="191">
        <f>L432*0.0796890799</f>
        <v/>
      </c>
      <c r="BH432" s="191">
        <f>L432*0.0817745197</f>
        <v/>
      </c>
      <c r="BI432" s="191">
        <f>L432*0.0849342770</f>
        <v/>
      </c>
      <c r="BJ432" s="191">
        <f>L432*0.0870197169</f>
        <v/>
      </c>
      <c r="BK432" s="191">
        <f>L432*0.0889787664</f>
        <v/>
      </c>
      <c r="BL432" s="191">
        <f>L432*0.0911905966</f>
        <v/>
      </c>
      <c r="BM432" s="191">
        <f>L432*0.0935920121</f>
        <v/>
      </c>
      <c r="BN432" s="192">
        <f>L432*0.0967517695</f>
        <v/>
      </c>
      <c r="BO432" s="36" t="inlineStr">
        <is>
          <t>.</t>
        </is>
      </c>
      <c r="BP432" s="193">
        <f>SUM(BQ432:CB432)</f>
        <v/>
      </c>
      <c r="BQ432" s="191">
        <f>MAX(0,BC432-AA432)</f>
        <v/>
      </c>
      <c r="BR432" s="191">
        <f>MAX(0,BD432-AB432)</f>
        <v/>
      </c>
      <c r="BS432" s="191">
        <f>MAX(0,BE432-AC432)</f>
        <v/>
      </c>
      <c r="BT432" s="191">
        <f>MAX(0,BF432-AD432)</f>
        <v/>
      </c>
      <c r="BU432" s="191">
        <f>MAX(0,BG432-AE432)</f>
        <v/>
      </c>
      <c r="BV432" s="191">
        <f>MAX(0,BH432-AF432)</f>
        <v/>
      </c>
      <c r="BW432" s="191">
        <f>MAX(0,BI432-AG432)</f>
        <v/>
      </c>
      <c r="BX432" s="191">
        <f>MAX(0,BJ432-AH432)</f>
        <v/>
      </c>
      <c r="BY432" s="191">
        <f>MAX(0,BK432-AI432)</f>
        <v/>
      </c>
      <c r="BZ432" s="191">
        <f>MAX(0,BL432-AJ432)</f>
        <v/>
      </c>
      <c r="CA432" s="191">
        <f>MAX(0,BM432-AK432)</f>
        <v/>
      </c>
      <c r="CB432" s="192">
        <f>MAX(0,BN432-AL432)</f>
        <v/>
      </c>
    </row>
    <row r="433">
      <c r="A433" s="64" t="inlineStr">
        <is>
          <t>17261509001839</t>
        </is>
      </c>
      <c r="B433" s="57" t="inlineStr">
        <is>
          <t>UNIAO LESTE BRASILEIRA DA IGREJA ADVENTI</t>
        </is>
      </c>
      <c r="C433" s="57" t="inlineStr">
        <is>
          <t>SEM GRUPO</t>
        </is>
      </c>
      <c r="D433" s="61" t="inlineStr">
        <is>
          <t>LARISSA PADILHA</t>
        </is>
      </c>
      <c r="E433" s="30" t="inlineStr">
        <is>
          <t>.</t>
        </is>
      </c>
      <c r="F433" s="63" t="inlineStr"/>
      <c r="G433" s="179" t="inlineStr"/>
      <c r="H433" s="57" t="inlineStr"/>
      <c r="I433" s="57" t="inlineStr"/>
      <c r="J433" s="61" t="inlineStr"/>
      <c r="K433" s="30" t="inlineStr">
        <is>
          <t>.</t>
        </is>
      </c>
      <c r="L433" s="180" t="n">
        <v>1658.72</v>
      </c>
      <c r="M433" s="181" t="n">
        <v>116.56</v>
      </c>
      <c r="N433" s="181" t="n">
        <v>121.81</v>
      </c>
      <c r="O433" s="181" t="n">
        <v>124.74</v>
      </c>
      <c r="P433" s="181" t="n">
        <v>127.99</v>
      </c>
      <c r="Q433" s="181" t="n">
        <v>132.18</v>
      </c>
      <c r="R433" s="181" t="n">
        <v>135.64</v>
      </c>
      <c r="S433" s="181" t="n">
        <v>140.88</v>
      </c>
      <c r="T433" s="181" t="n">
        <v>144.34</v>
      </c>
      <c r="U433" s="181" t="n">
        <v>147.59</v>
      </c>
      <c r="V433" s="181" t="n">
        <v>151.26</v>
      </c>
      <c r="W433" s="181" t="n">
        <v>155.24</v>
      </c>
      <c r="X433" s="182" t="n">
        <v>160.49</v>
      </c>
      <c r="Y433" s="183" t="inlineStr">
        <is>
          <t>.</t>
        </is>
      </c>
      <c r="Z433" s="184">
        <f>SUM(AA433:AL433)</f>
        <v/>
      </c>
      <c r="AA433" s="185" t="n">
        <v>0</v>
      </c>
      <c r="AB433" s="185" t="n">
        <v>0</v>
      </c>
      <c r="AC433" s="185" t="n">
        <v>0</v>
      </c>
      <c r="AD433" s="185" t="n">
        <v>0</v>
      </c>
      <c r="AE433" s="185" t="n">
        <v>0</v>
      </c>
      <c r="AF433" s="185" t="n">
        <v>666.11</v>
      </c>
      <c r="AG433" s="185" t="n">
        <v>0</v>
      </c>
      <c r="AH433" s="185" t="n">
        <v>0</v>
      </c>
      <c r="AI433" s="185" t="n">
        <v>0</v>
      </c>
      <c r="AJ433" s="185" t="n">
        <v>0</v>
      </c>
      <c r="AK433" s="185" t="n">
        <v>0</v>
      </c>
      <c r="AL433" s="186" t="n">
        <v>0</v>
      </c>
      <c r="AM433" s="30" t="inlineStr">
        <is>
          <t>.</t>
        </is>
      </c>
      <c r="AN433" s="187">
        <f>IF(L433=0,0,Z433/L433)</f>
        <v/>
      </c>
      <c r="AO433" s="57">
        <f>IF(AN433&gt;=1,"🟢",IF(AN433&gt;=0.7,"🟡",IF(AN433&gt;=0.4,"🟠","🔴")))</f>
        <v/>
      </c>
      <c r="AP433" s="185">
        <f>L433-Z433</f>
        <v/>
      </c>
      <c r="AQ433" s="55">
        <f>RANK(Z433,$Z$4:$Z$503,0)</f>
        <v/>
      </c>
      <c r="AR433" s="39" t="inlineStr">
        <is>
          <t>.</t>
        </is>
      </c>
      <c r="AS433" s="27" t="n"/>
      <c r="AT433" s="27" t="n"/>
      <c r="AU433" s="27" t="n"/>
      <c r="AV433" s="27" t="n"/>
      <c r="AW433" s="27" t="n"/>
      <c r="AX433" s="27" t="n"/>
      <c r="AY433" s="204" t="n"/>
      <c r="AZ433" s="204" t="n"/>
      <c r="BA433" s="38" t="inlineStr">
        <is>
          <t>.</t>
        </is>
      </c>
      <c r="BB433" s="190">
        <f>SUM(BC433:BN433)</f>
        <v/>
      </c>
      <c r="BC433" s="191">
        <f>L433*0.0702730030</f>
        <v/>
      </c>
      <c r="BD433" s="191">
        <f>L433*0.0734327604</f>
        <v/>
      </c>
      <c r="BE433" s="191">
        <f>L433*0.0752022245</f>
        <v/>
      </c>
      <c r="BF433" s="191">
        <f>L433*0.0771612740</f>
        <v/>
      </c>
      <c r="BG433" s="191">
        <f>L433*0.0796890799</f>
        <v/>
      </c>
      <c r="BH433" s="191">
        <f>L433*0.0817745197</f>
        <v/>
      </c>
      <c r="BI433" s="191">
        <f>L433*0.0849342770</f>
        <v/>
      </c>
      <c r="BJ433" s="191">
        <f>L433*0.0870197169</f>
        <v/>
      </c>
      <c r="BK433" s="191">
        <f>L433*0.0889787664</f>
        <v/>
      </c>
      <c r="BL433" s="191">
        <f>L433*0.0911905966</f>
        <v/>
      </c>
      <c r="BM433" s="191">
        <f>L433*0.0935920121</f>
        <v/>
      </c>
      <c r="BN433" s="192">
        <f>L433*0.0967517695</f>
        <v/>
      </c>
      <c r="BO433" s="36" t="inlineStr">
        <is>
          <t>.</t>
        </is>
      </c>
      <c r="BP433" s="193">
        <f>SUM(BQ433:CB433)</f>
        <v/>
      </c>
      <c r="BQ433" s="191">
        <f>MAX(0,BC433-AA433)</f>
        <v/>
      </c>
      <c r="BR433" s="191">
        <f>MAX(0,BD433-AB433)</f>
        <v/>
      </c>
      <c r="BS433" s="191">
        <f>MAX(0,BE433-AC433)</f>
        <v/>
      </c>
      <c r="BT433" s="191">
        <f>MAX(0,BF433-AD433)</f>
        <v/>
      </c>
      <c r="BU433" s="191">
        <f>MAX(0,BG433-AE433)</f>
        <v/>
      </c>
      <c r="BV433" s="191">
        <f>MAX(0,BH433-AF433)</f>
        <v/>
      </c>
      <c r="BW433" s="191">
        <f>MAX(0,BI433-AG433)</f>
        <v/>
      </c>
      <c r="BX433" s="191">
        <f>MAX(0,BJ433-AH433)</f>
        <v/>
      </c>
      <c r="BY433" s="191">
        <f>MAX(0,BK433-AI433)</f>
        <v/>
      </c>
      <c r="BZ433" s="191">
        <f>MAX(0,BL433-AJ433)</f>
        <v/>
      </c>
      <c r="CA433" s="191">
        <f>MAX(0,BM433-AK433)</f>
        <v/>
      </c>
      <c r="CB433" s="192">
        <f>MAX(0,BN433-AL433)</f>
        <v/>
      </c>
    </row>
    <row r="434">
      <c r="A434" s="64" t="inlineStr">
        <is>
          <t>55666250000157</t>
        </is>
      </c>
      <c r="B434" s="57" t="inlineStr">
        <is>
          <t>MERCADO SAUDAVEL COMERCIO DE ALIMENTOS L</t>
        </is>
      </c>
      <c r="C434" s="57" t="inlineStr">
        <is>
          <t>DIVINA TERRA</t>
        </is>
      </c>
      <c r="D434" s="61" t="inlineStr">
        <is>
          <t>DAIANE STAVICKI</t>
        </is>
      </c>
      <c r="E434" s="30" t="inlineStr">
        <is>
          <t>.</t>
        </is>
      </c>
      <c r="F434" s="63" t="n">
        <v>85</v>
      </c>
      <c r="G434" s="179" t="n">
        <v>0.1</v>
      </c>
      <c r="H434" s="57" t="inlineStr">
        <is>
          <t>🔴 VERMELHO</t>
        </is>
      </c>
      <c r="I434" s="57" t="inlineStr">
        <is>
          <t>POSITIVAÇÃO</t>
        </is>
      </c>
      <c r="J434" s="61" t="inlineStr">
        <is>
          <t>Aumentar frequência + Expandir base</t>
        </is>
      </c>
      <c r="K434" s="30" t="inlineStr">
        <is>
          <t>.</t>
        </is>
      </c>
      <c r="L434" s="180" t="n">
        <v>1651.84</v>
      </c>
      <c r="M434" s="181" t="n">
        <v>116.08</v>
      </c>
      <c r="N434" s="181" t="n">
        <v>121.3</v>
      </c>
      <c r="O434" s="181" t="n">
        <v>124.22</v>
      </c>
      <c r="P434" s="181" t="n">
        <v>127.46</v>
      </c>
      <c r="Q434" s="181" t="n">
        <v>131.63</v>
      </c>
      <c r="R434" s="181" t="n">
        <v>135.08</v>
      </c>
      <c r="S434" s="181" t="n">
        <v>140.3</v>
      </c>
      <c r="T434" s="181" t="n">
        <v>143.74</v>
      </c>
      <c r="U434" s="181" t="n">
        <v>146.98</v>
      </c>
      <c r="V434" s="181" t="n">
        <v>150.63</v>
      </c>
      <c r="W434" s="181" t="n">
        <v>154.6</v>
      </c>
      <c r="X434" s="182" t="n">
        <v>159.82</v>
      </c>
      <c r="Y434" s="183" t="inlineStr">
        <is>
          <t>.</t>
        </is>
      </c>
      <c r="Z434" s="184">
        <f>SUM(AA434:AL434)</f>
        <v/>
      </c>
      <c r="AA434" s="185" t="n">
        <v>0</v>
      </c>
      <c r="AB434" s="185" t="n">
        <v>0</v>
      </c>
      <c r="AC434" s="185" t="n">
        <v>0</v>
      </c>
      <c r="AD434" s="185" t="n">
        <v>0</v>
      </c>
      <c r="AE434" s="185" t="n">
        <v>670.22</v>
      </c>
      <c r="AF434" s="185" t="n">
        <v>0</v>
      </c>
      <c r="AG434" s="185" t="n">
        <v>0</v>
      </c>
      <c r="AH434" s="185" t="n">
        <v>0</v>
      </c>
      <c r="AI434" s="185" t="n">
        <v>0</v>
      </c>
      <c r="AJ434" s="185" t="n">
        <v>0</v>
      </c>
      <c r="AK434" s="185" t="n">
        <v>0</v>
      </c>
      <c r="AL434" s="186" t="n">
        <v>0</v>
      </c>
      <c r="AM434" s="30" t="inlineStr">
        <is>
          <t>.</t>
        </is>
      </c>
      <c r="AN434" s="187">
        <f>IF(L434=0,0,Z434/L434)</f>
        <v/>
      </c>
      <c r="AO434" s="57">
        <f>IF(AN434&gt;=1,"🟢",IF(AN434&gt;=0.7,"🟡",IF(AN434&gt;=0.4,"🟠","🔴")))</f>
        <v/>
      </c>
      <c r="AP434" s="185">
        <f>L434-Z434</f>
        <v/>
      </c>
      <c r="AQ434" s="55">
        <f>RANK(Z434,$Z$4:$Z$503,0)</f>
        <v/>
      </c>
      <c r="AR434" s="39" t="inlineStr">
        <is>
          <t>.</t>
        </is>
      </c>
      <c r="AS434" s="27" t="n"/>
      <c r="AT434" s="27" t="n"/>
      <c r="AU434" s="27" t="n"/>
      <c r="AV434" s="27" t="n"/>
      <c r="AW434" s="27" t="n"/>
      <c r="AX434" s="27" t="n"/>
      <c r="AY434" s="204" t="n"/>
      <c r="AZ434" s="204" t="n"/>
      <c r="BA434" s="38" t="inlineStr">
        <is>
          <t>.</t>
        </is>
      </c>
      <c r="BB434" s="190">
        <f>SUM(BC434:BN434)</f>
        <v/>
      </c>
      <c r="BC434" s="191">
        <f>L434*0.0702730030</f>
        <v/>
      </c>
      <c r="BD434" s="191">
        <f>L434*0.0734327604</f>
        <v/>
      </c>
      <c r="BE434" s="191">
        <f>L434*0.0752022245</f>
        <v/>
      </c>
      <c r="BF434" s="191">
        <f>L434*0.0771612740</f>
        <v/>
      </c>
      <c r="BG434" s="191">
        <f>L434*0.0796890799</f>
        <v/>
      </c>
      <c r="BH434" s="191">
        <f>L434*0.0817745197</f>
        <v/>
      </c>
      <c r="BI434" s="191">
        <f>L434*0.0849342770</f>
        <v/>
      </c>
      <c r="BJ434" s="191">
        <f>L434*0.0870197169</f>
        <v/>
      </c>
      <c r="BK434" s="191">
        <f>L434*0.0889787664</f>
        <v/>
      </c>
      <c r="BL434" s="191">
        <f>L434*0.0911905966</f>
        <v/>
      </c>
      <c r="BM434" s="191">
        <f>L434*0.0935920121</f>
        <v/>
      </c>
      <c r="BN434" s="192">
        <f>L434*0.0967517695</f>
        <v/>
      </c>
      <c r="BO434" s="36" t="inlineStr">
        <is>
          <t>.</t>
        </is>
      </c>
      <c r="BP434" s="193">
        <f>SUM(BQ434:CB434)</f>
        <v/>
      </c>
      <c r="BQ434" s="191">
        <f>MAX(0,BC434-AA434)</f>
        <v/>
      </c>
      <c r="BR434" s="191">
        <f>MAX(0,BD434-AB434)</f>
        <v/>
      </c>
      <c r="BS434" s="191">
        <f>MAX(0,BE434-AC434)</f>
        <v/>
      </c>
      <c r="BT434" s="191">
        <f>MAX(0,BF434-AD434)</f>
        <v/>
      </c>
      <c r="BU434" s="191">
        <f>MAX(0,BG434-AE434)</f>
        <v/>
      </c>
      <c r="BV434" s="191">
        <f>MAX(0,BH434-AF434)</f>
        <v/>
      </c>
      <c r="BW434" s="191">
        <f>MAX(0,BI434-AG434)</f>
        <v/>
      </c>
      <c r="BX434" s="191">
        <f>MAX(0,BJ434-AH434)</f>
        <v/>
      </c>
      <c r="BY434" s="191">
        <f>MAX(0,BK434-AI434)</f>
        <v/>
      </c>
      <c r="BZ434" s="191">
        <f>MAX(0,BL434-AJ434)</f>
        <v/>
      </c>
      <c r="CA434" s="191">
        <f>MAX(0,BM434-AK434)</f>
        <v/>
      </c>
      <c r="CB434" s="192">
        <f>MAX(0,BN434-AL434)</f>
        <v/>
      </c>
    </row>
    <row r="435">
      <c r="A435" s="64" t="inlineStr">
        <is>
          <t>42149466000101</t>
        </is>
      </c>
      <c r="B435" s="57" t="inlineStr">
        <is>
          <t>42.149.466 LARISSA DA SILVA PADILHA - ME</t>
        </is>
      </c>
      <c r="C435" s="57" t="inlineStr">
        <is>
          <t>SEM GRUPO</t>
        </is>
      </c>
      <c r="D435" s="61" t="inlineStr">
        <is>
          <t>HEMANUELE DITZEL (MANU)</t>
        </is>
      </c>
      <c r="E435" s="30" t="inlineStr">
        <is>
          <t>.</t>
        </is>
      </c>
      <c r="F435" s="63" t="inlineStr"/>
      <c r="G435" s="179" t="inlineStr"/>
      <c r="H435" s="57" t="inlineStr"/>
      <c r="I435" s="57" t="inlineStr"/>
      <c r="J435" s="61" t="inlineStr"/>
      <c r="K435" s="30" t="inlineStr">
        <is>
          <t>.</t>
        </is>
      </c>
      <c r="L435" s="180" t="n">
        <v>1649.11</v>
      </c>
      <c r="M435" s="181" t="n">
        <v>115.89</v>
      </c>
      <c r="N435" s="181" t="n">
        <v>121.1</v>
      </c>
      <c r="O435" s="181" t="n">
        <v>124.02</v>
      </c>
      <c r="P435" s="181" t="n">
        <v>127.25</v>
      </c>
      <c r="Q435" s="181" t="n">
        <v>131.42</v>
      </c>
      <c r="R435" s="181" t="n">
        <v>134.85</v>
      </c>
      <c r="S435" s="181" t="n">
        <v>140.07</v>
      </c>
      <c r="T435" s="181" t="n">
        <v>143.5</v>
      </c>
      <c r="U435" s="181" t="n">
        <v>146.74</v>
      </c>
      <c r="V435" s="181" t="n">
        <v>150.38</v>
      </c>
      <c r="W435" s="181" t="n">
        <v>154.34</v>
      </c>
      <c r="X435" s="182" t="n">
        <v>159.55</v>
      </c>
      <c r="Y435" s="183" t="inlineStr">
        <is>
          <t>.</t>
        </is>
      </c>
      <c r="Z435" s="184">
        <f>SUM(AA435:AL435)</f>
        <v/>
      </c>
      <c r="AA435" s="185" t="n">
        <v>0</v>
      </c>
      <c r="AB435" s="185" t="n">
        <v>0</v>
      </c>
      <c r="AC435" s="185" t="n">
        <v>0</v>
      </c>
      <c r="AD435" s="185" t="n">
        <v>0</v>
      </c>
      <c r="AE435" s="185" t="n">
        <v>0</v>
      </c>
      <c r="AF435" s="185" t="n">
        <v>0</v>
      </c>
      <c r="AG435" s="185" t="n">
        <v>0</v>
      </c>
      <c r="AH435" s="185" t="n">
        <v>0</v>
      </c>
      <c r="AI435" s="185" t="n">
        <v>0</v>
      </c>
      <c r="AJ435" s="185" t="n">
        <v>938.11</v>
      </c>
      <c r="AK435" s="185" t="n">
        <v>0</v>
      </c>
      <c r="AL435" s="186" t="n">
        <v>0</v>
      </c>
      <c r="AM435" s="30" t="inlineStr">
        <is>
          <t>.</t>
        </is>
      </c>
      <c r="AN435" s="187">
        <f>IF(L435=0,0,Z435/L435)</f>
        <v/>
      </c>
      <c r="AO435" s="57">
        <f>IF(AN435&gt;=1,"🟢",IF(AN435&gt;=0.7,"🟡",IF(AN435&gt;=0.4,"🟠","🔴")))</f>
        <v/>
      </c>
      <c r="AP435" s="185">
        <f>L435-Z435</f>
        <v/>
      </c>
      <c r="AQ435" s="55">
        <f>RANK(Z435,$Z$4:$Z$503,0)</f>
        <v/>
      </c>
      <c r="AR435" s="39" t="inlineStr">
        <is>
          <t>.</t>
        </is>
      </c>
      <c r="AS435" s="27" t="n"/>
      <c r="AT435" s="27" t="n"/>
      <c r="AU435" s="27" t="n"/>
      <c r="AV435" s="27" t="n"/>
      <c r="AW435" s="27" t="n"/>
      <c r="AX435" s="27" t="n"/>
      <c r="AY435" s="204" t="n"/>
      <c r="AZ435" s="204" t="n"/>
      <c r="BA435" s="38" t="inlineStr">
        <is>
          <t>.</t>
        </is>
      </c>
      <c r="BB435" s="190">
        <f>SUM(BC435:BN435)</f>
        <v/>
      </c>
      <c r="BC435" s="191">
        <f>L435*0.0702730030</f>
        <v/>
      </c>
      <c r="BD435" s="191">
        <f>L435*0.0734327604</f>
        <v/>
      </c>
      <c r="BE435" s="191">
        <f>L435*0.0752022245</f>
        <v/>
      </c>
      <c r="BF435" s="191">
        <f>L435*0.0771612740</f>
        <v/>
      </c>
      <c r="BG435" s="191">
        <f>L435*0.0796890799</f>
        <v/>
      </c>
      <c r="BH435" s="191">
        <f>L435*0.0817745197</f>
        <v/>
      </c>
      <c r="BI435" s="191">
        <f>L435*0.0849342770</f>
        <v/>
      </c>
      <c r="BJ435" s="191">
        <f>L435*0.0870197169</f>
        <v/>
      </c>
      <c r="BK435" s="191">
        <f>L435*0.0889787664</f>
        <v/>
      </c>
      <c r="BL435" s="191">
        <f>L435*0.0911905966</f>
        <v/>
      </c>
      <c r="BM435" s="191">
        <f>L435*0.0935920121</f>
        <v/>
      </c>
      <c r="BN435" s="192">
        <f>L435*0.0967517695</f>
        <v/>
      </c>
      <c r="BO435" s="36" t="inlineStr">
        <is>
          <t>.</t>
        </is>
      </c>
      <c r="BP435" s="193">
        <f>SUM(BQ435:CB435)</f>
        <v/>
      </c>
      <c r="BQ435" s="191">
        <f>MAX(0,BC435-AA435)</f>
        <v/>
      </c>
      <c r="BR435" s="191">
        <f>MAX(0,BD435-AB435)</f>
        <v/>
      </c>
      <c r="BS435" s="191">
        <f>MAX(0,BE435-AC435)</f>
        <v/>
      </c>
      <c r="BT435" s="191">
        <f>MAX(0,BF435-AD435)</f>
        <v/>
      </c>
      <c r="BU435" s="191">
        <f>MAX(0,BG435-AE435)</f>
        <v/>
      </c>
      <c r="BV435" s="191">
        <f>MAX(0,BH435-AF435)</f>
        <v/>
      </c>
      <c r="BW435" s="191">
        <f>MAX(0,BI435-AG435)</f>
        <v/>
      </c>
      <c r="BX435" s="191">
        <f>MAX(0,BJ435-AH435)</f>
        <v/>
      </c>
      <c r="BY435" s="191">
        <f>MAX(0,BK435-AI435)</f>
        <v/>
      </c>
      <c r="BZ435" s="191">
        <f>MAX(0,BL435-AJ435)</f>
        <v/>
      </c>
      <c r="CA435" s="191">
        <f>MAX(0,BM435-AK435)</f>
        <v/>
      </c>
      <c r="CB435" s="192">
        <f>MAX(0,BN435-AL435)</f>
        <v/>
      </c>
    </row>
    <row r="436">
      <c r="A436" s="64" t="inlineStr">
        <is>
          <t>34159229000195</t>
        </is>
      </c>
      <c r="B436" s="57" t="inlineStr">
        <is>
          <t>AUTO POSTO JLS LTDA</t>
        </is>
      </c>
      <c r="C436" s="57" t="inlineStr">
        <is>
          <t>SEM GRUPO</t>
        </is>
      </c>
      <c r="D436" s="61" t="inlineStr">
        <is>
          <t>HEMANUELE DITZEL (MANU)</t>
        </is>
      </c>
      <c r="E436" s="30" t="inlineStr">
        <is>
          <t>.</t>
        </is>
      </c>
      <c r="F436" s="63" t="inlineStr"/>
      <c r="G436" s="179" t="inlineStr"/>
      <c r="H436" s="57" t="inlineStr"/>
      <c r="I436" s="57" t="inlineStr"/>
      <c r="J436" s="61" t="inlineStr"/>
      <c r="K436" s="30" t="inlineStr">
        <is>
          <t>.</t>
        </is>
      </c>
      <c r="L436" s="180" t="n">
        <v>1643.64</v>
      </c>
      <c r="M436" s="181" t="n">
        <v>115.5</v>
      </c>
      <c r="N436" s="181" t="n">
        <v>120.7</v>
      </c>
      <c r="O436" s="181" t="n">
        <v>123.61</v>
      </c>
      <c r="P436" s="181" t="n">
        <v>126.83</v>
      </c>
      <c r="Q436" s="181" t="n">
        <v>130.98</v>
      </c>
      <c r="R436" s="181" t="n">
        <v>134.41</v>
      </c>
      <c r="S436" s="181" t="n">
        <v>139.6</v>
      </c>
      <c r="T436" s="181" t="n">
        <v>143.03</v>
      </c>
      <c r="U436" s="181" t="n">
        <v>146.25</v>
      </c>
      <c r="V436" s="181" t="n">
        <v>149.88</v>
      </c>
      <c r="W436" s="181" t="n">
        <v>153.83</v>
      </c>
      <c r="X436" s="182" t="n">
        <v>159.02</v>
      </c>
      <c r="Y436" s="183" t="inlineStr">
        <is>
          <t>.</t>
        </is>
      </c>
      <c r="Z436" s="184">
        <f>SUM(AA436:AL436)</f>
        <v/>
      </c>
      <c r="AA436" s="185" t="n">
        <v>0</v>
      </c>
      <c r="AB436" s="185" t="n">
        <v>0</v>
      </c>
      <c r="AC436" s="185" t="n">
        <v>0</v>
      </c>
      <c r="AD436" s="185" t="n">
        <v>0</v>
      </c>
      <c r="AE436" s="185" t="n">
        <v>700.22</v>
      </c>
      <c r="AF436" s="185" t="n">
        <v>0</v>
      </c>
      <c r="AG436" s="185" t="n">
        <v>0</v>
      </c>
      <c r="AH436" s="185" t="n">
        <v>0</v>
      </c>
      <c r="AI436" s="185" t="n">
        <v>0</v>
      </c>
      <c r="AJ436" s="185" t="n">
        <v>0</v>
      </c>
      <c r="AK436" s="185" t="n">
        <v>0</v>
      </c>
      <c r="AL436" s="186" t="n">
        <v>0</v>
      </c>
      <c r="AM436" s="30" t="inlineStr">
        <is>
          <t>.</t>
        </is>
      </c>
      <c r="AN436" s="187">
        <f>IF(L436=0,0,Z436/L436)</f>
        <v/>
      </c>
      <c r="AO436" s="57">
        <f>IF(AN436&gt;=1,"🟢",IF(AN436&gt;=0.7,"🟡",IF(AN436&gt;=0.4,"🟠","🔴")))</f>
        <v/>
      </c>
      <c r="AP436" s="185">
        <f>L436-Z436</f>
        <v/>
      </c>
      <c r="AQ436" s="55">
        <f>RANK(Z436,$Z$4:$Z$503,0)</f>
        <v/>
      </c>
      <c r="AR436" s="39" t="inlineStr">
        <is>
          <t>.</t>
        </is>
      </c>
      <c r="AS436" s="27" t="n"/>
      <c r="AT436" s="27" t="n"/>
      <c r="AU436" s="27" t="n"/>
      <c r="AV436" s="27" t="n"/>
      <c r="AW436" s="27" t="n"/>
      <c r="AX436" s="27" t="n"/>
      <c r="AY436" s="204" t="n"/>
      <c r="AZ436" s="204" t="n"/>
      <c r="BA436" s="38" t="inlineStr">
        <is>
          <t>.</t>
        </is>
      </c>
      <c r="BB436" s="190">
        <f>SUM(BC436:BN436)</f>
        <v/>
      </c>
      <c r="BC436" s="191">
        <f>L436*0.0702730030</f>
        <v/>
      </c>
      <c r="BD436" s="191">
        <f>L436*0.0734327604</f>
        <v/>
      </c>
      <c r="BE436" s="191">
        <f>L436*0.0752022245</f>
        <v/>
      </c>
      <c r="BF436" s="191">
        <f>L436*0.0771612740</f>
        <v/>
      </c>
      <c r="BG436" s="191">
        <f>L436*0.0796890799</f>
        <v/>
      </c>
      <c r="BH436" s="191">
        <f>L436*0.0817745197</f>
        <v/>
      </c>
      <c r="BI436" s="191">
        <f>L436*0.0849342770</f>
        <v/>
      </c>
      <c r="BJ436" s="191">
        <f>L436*0.0870197169</f>
        <v/>
      </c>
      <c r="BK436" s="191">
        <f>L436*0.0889787664</f>
        <v/>
      </c>
      <c r="BL436" s="191">
        <f>L436*0.0911905966</f>
        <v/>
      </c>
      <c r="BM436" s="191">
        <f>L436*0.0935920121</f>
        <v/>
      </c>
      <c r="BN436" s="192">
        <f>L436*0.0967517695</f>
        <v/>
      </c>
      <c r="BO436" s="36" t="inlineStr">
        <is>
          <t>.</t>
        </is>
      </c>
      <c r="BP436" s="193">
        <f>SUM(BQ436:CB436)</f>
        <v/>
      </c>
      <c r="BQ436" s="191">
        <f>MAX(0,BC436-AA436)</f>
        <v/>
      </c>
      <c r="BR436" s="191">
        <f>MAX(0,BD436-AB436)</f>
        <v/>
      </c>
      <c r="BS436" s="191">
        <f>MAX(0,BE436-AC436)</f>
        <v/>
      </c>
      <c r="BT436" s="191">
        <f>MAX(0,BF436-AD436)</f>
        <v/>
      </c>
      <c r="BU436" s="191">
        <f>MAX(0,BG436-AE436)</f>
        <v/>
      </c>
      <c r="BV436" s="191">
        <f>MAX(0,BH436-AF436)</f>
        <v/>
      </c>
      <c r="BW436" s="191">
        <f>MAX(0,BI436-AG436)</f>
        <v/>
      </c>
      <c r="BX436" s="191">
        <f>MAX(0,BJ436-AH436)</f>
        <v/>
      </c>
      <c r="BY436" s="191">
        <f>MAX(0,BK436-AI436)</f>
        <v/>
      </c>
      <c r="BZ436" s="191">
        <f>MAX(0,BL436-AJ436)</f>
        <v/>
      </c>
      <c r="CA436" s="191">
        <f>MAX(0,BM436-AK436)</f>
        <v/>
      </c>
      <c r="CB436" s="192">
        <f>MAX(0,BN436-AL436)</f>
        <v/>
      </c>
    </row>
    <row r="437">
      <c r="A437" s="64" t="inlineStr">
        <is>
          <t>37738174000247</t>
        </is>
      </c>
      <c r="B437" s="57" t="inlineStr">
        <is>
          <t>VEGSIM LTDA - ME</t>
        </is>
      </c>
      <c r="C437" s="57" t="inlineStr">
        <is>
          <t>SEM GRUPO</t>
        </is>
      </c>
      <c r="D437" s="61" t="inlineStr">
        <is>
          <t>LARISSA PADILHA</t>
        </is>
      </c>
      <c r="E437" s="30" t="inlineStr">
        <is>
          <t>.</t>
        </is>
      </c>
      <c r="F437" s="63" t="inlineStr"/>
      <c r="G437" s="179" t="inlineStr"/>
      <c r="H437" s="57" t="inlineStr"/>
      <c r="I437" s="57" t="inlineStr"/>
      <c r="J437" s="61" t="inlineStr"/>
      <c r="K437" s="30" t="inlineStr">
        <is>
          <t>.</t>
        </is>
      </c>
      <c r="L437" s="180" t="n">
        <v>1642.29</v>
      </c>
      <c r="M437" s="181" t="n">
        <v>115.41</v>
      </c>
      <c r="N437" s="181" t="n">
        <v>120.6</v>
      </c>
      <c r="O437" s="181" t="n">
        <v>123.5</v>
      </c>
      <c r="P437" s="181" t="n">
        <v>126.72</v>
      </c>
      <c r="Q437" s="181" t="n">
        <v>130.87</v>
      </c>
      <c r="R437" s="181" t="n">
        <v>134.3</v>
      </c>
      <c r="S437" s="181" t="n">
        <v>139.49</v>
      </c>
      <c r="T437" s="181" t="n">
        <v>142.91</v>
      </c>
      <c r="U437" s="181" t="n">
        <v>146.13</v>
      </c>
      <c r="V437" s="181" t="n">
        <v>149.76</v>
      </c>
      <c r="W437" s="181" t="n">
        <v>153.71</v>
      </c>
      <c r="X437" s="182" t="n">
        <v>158.89</v>
      </c>
      <c r="Y437" s="183" t="inlineStr">
        <is>
          <t>.</t>
        </is>
      </c>
      <c r="Z437" s="184">
        <f>SUM(AA437:AL437)</f>
        <v/>
      </c>
      <c r="AA437" s="185" t="n">
        <v>0</v>
      </c>
      <c r="AB437" s="185" t="n">
        <v>0</v>
      </c>
      <c r="AC437" s="185" t="n">
        <v>0</v>
      </c>
      <c r="AD437" s="185" t="n">
        <v>0</v>
      </c>
      <c r="AE437" s="185" t="n">
        <v>0</v>
      </c>
      <c r="AF437" s="185" t="n">
        <v>0</v>
      </c>
      <c r="AG437" s="185" t="n">
        <v>0</v>
      </c>
      <c r="AH437" s="185" t="n">
        <v>0</v>
      </c>
      <c r="AI437" s="185" t="n">
        <v>0</v>
      </c>
      <c r="AJ437" s="185" t="n">
        <v>934.24</v>
      </c>
      <c r="AK437" s="185" t="n">
        <v>0</v>
      </c>
      <c r="AL437" s="186" t="n">
        <v>0</v>
      </c>
      <c r="AM437" s="30" t="inlineStr">
        <is>
          <t>.</t>
        </is>
      </c>
      <c r="AN437" s="187">
        <f>IF(L437=0,0,Z437/L437)</f>
        <v/>
      </c>
      <c r="AO437" s="57">
        <f>IF(AN437&gt;=1,"🟢",IF(AN437&gt;=0.7,"🟡",IF(AN437&gt;=0.4,"🟠","🔴")))</f>
        <v/>
      </c>
      <c r="AP437" s="185">
        <f>L437-Z437</f>
        <v/>
      </c>
      <c r="AQ437" s="55">
        <f>RANK(Z437,$Z$4:$Z$503,0)</f>
        <v/>
      </c>
      <c r="AR437" s="39" t="inlineStr">
        <is>
          <t>.</t>
        </is>
      </c>
      <c r="AS437" s="27" t="n"/>
      <c r="AT437" s="27" t="n"/>
      <c r="AU437" s="27" t="n"/>
      <c r="AV437" s="27" t="n"/>
      <c r="AW437" s="27" t="n"/>
      <c r="AX437" s="27" t="n"/>
      <c r="AY437" s="204" t="n"/>
      <c r="AZ437" s="204" t="n"/>
      <c r="BA437" s="38" t="inlineStr">
        <is>
          <t>.</t>
        </is>
      </c>
      <c r="BB437" s="190">
        <f>SUM(BC437:BN437)</f>
        <v/>
      </c>
      <c r="BC437" s="191">
        <f>L437*0.0702730030</f>
        <v/>
      </c>
      <c r="BD437" s="191">
        <f>L437*0.0734327604</f>
        <v/>
      </c>
      <c r="BE437" s="191">
        <f>L437*0.0752022245</f>
        <v/>
      </c>
      <c r="BF437" s="191">
        <f>L437*0.0771612740</f>
        <v/>
      </c>
      <c r="BG437" s="191">
        <f>L437*0.0796890799</f>
        <v/>
      </c>
      <c r="BH437" s="191">
        <f>L437*0.0817745197</f>
        <v/>
      </c>
      <c r="BI437" s="191">
        <f>L437*0.0849342770</f>
        <v/>
      </c>
      <c r="BJ437" s="191">
        <f>L437*0.0870197169</f>
        <v/>
      </c>
      <c r="BK437" s="191">
        <f>L437*0.0889787664</f>
        <v/>
      </c>
      <c r="BL437" s="191">
        <f>L437*0.0911905966</f>
        <v/>
      </c>
      <c r="BM437" s="191">
        <f>L437*0.0935920121</f>
        <v/>
      </c>
      <c r="BN437" s="192">
        <f>L437*0.0967517695</f>
        <v/>
      </c>
      <c r="BO437" s="36" t="inlineStr">
        <is>
          <t>.</t>
        </is>
      </c>
      <c r="BP437" s="193">
        <f>SUM(BQ437:CB437)</f>
        <v/>
      </c>
      <c r="BQ437" s="191">
        <f>MAX(0,BC437-AA437)</f>
        <v/>
      </c>
      <c r="BR437" s="191">
        <f>MAX(0,BD437-AB437)</f>
        <v/>
      </c>
      <c r="BS437" s="191">
        <f>MAX(0,BE437-AC437)</f>
        <v/>
      </c>
      <c r="BT437" s="191">
        <f>MAX(0,BF437-AD437)</f>
        <v/>
      </c>
      <c r="BU437" s="191">
        <f>MAX(0,BG437-AE437)</f>
        <v/>
      </c>
      <c r="BV437" s="191">
        <f>MAX(0,BH437-AF437)</f>
        <v/>
      </c>
      <c r="BW437" s="191">
        <f>MAX(0,BI437-AG437)</f>
        <v/>
      </c>
      <c r="BX437" s="191">
        <f>MAX(0,BJ437-AH437)</f>
        <v/>
      </c>
      <c r="BY437" s="191">
        <f>MAX(0,BK437-AI437)</f>
        <v/>
      </c>
      <c r="BZ437" s="191">
        <f>MAX(0,BL437-AJ437)</f>
        <v/>
      </c>
      <c r="CA437" s="191">
        <f>MAX(0,BM437-AK437)</f>
        <v/>
      </c>
      <c r="CB437" s="192">
        <f>MAX(0,BN437-AL437)</f>
        <v/>
      </c>
    </row>
    <row r="438">
      <c r="A438" s="64" t="inlineStr">
        <is>
          <t>58355920000102</t>
        </is>
      </c>
      <c r="B438" s="57" t="inlineStr">
        <is>
          <t>58.355.920 BEATRIZ HONORIO MACEDO - ME</t>
        </is>
      </c>
      <c r="C438" s="57" t="inlineStr">
        <is>
          <t>SEM GRUPO</t>
        </is>
      </c>
      <c r="D438" s="61" t="inlineStr">
        <is>
          <t>LARISSA PADILHA</t>
        </is>
      </c>
      <c r="E438" s="30" t="inlineStr">
        <is>
          <t>.</t>
        </is>
      </c>
      <c r="F438" s="63" t="inlineStr"/>
      <c r="G438" s="179" t="inlineStr"/>
      <c r="H438" s="57" t="inlineStr"/>
      <c r="I438" s="57" t="inlineStr"/>
      <c r="J438" s="61" t="inlineStr"/>
      <c r="K438" s="30" t="inlineStr">
        <is>
          <t>.</t>
        </is>
      </c>
      <c r="L438" s="180" t="n">
        <v>1633.75</v>
      </c>
      <c r="M438" s="181" t="n">
        <v>114.81</v>
      </c>
      <c r="N438" s="181" t="n">
        <v>119.97</v>
      </c>
      <c r="O438" s="181" t="n">
        <v>122.86</v>
      </c>
      <c r="P438" s="181" t="n">
        <v>126.06</v>
      </c>
      <c r="Q438" s="181" t="n">
        <v>130.19</v>
      </c>
      <c r="R438" s="181" t="n">
        <v>133.6</v>
      </c>
      <c r="S438" s="181" t="n">
        <v>138.76</v>
      </c>
      <c r="T438" s="181" t="n">
        <v>142.17</v>
      </c>
      <c r="U438" s="181" t="n">
        <v>145.37</v>
      </c>
      <c r="V438" s="181" t="n">
        <v>148.98</v>
      </c>
      <c r="W438" s="181" t="n">
        <v>152.91</v>
      </c>
      <c r="X438" s="182" t="n">
        <v>158.07</v>
      </c>
      <c r="Y438" s="183" t="inlineStr">
        <is>
          <t>.</t>
        </is>
      </c>
      <c r="Z438" s="184">
        <f>SUM(AA438:AL438)</f>
        <v/>
      </c>
      <c r="AA438" s="185" t="n">
        <v>0</v>
      </c>
      <c r="AB438" s="185" t="n">
        <v>0</v>
      </c>
      <c r="AC438" s="185" t="n">
        <v>0</v>
      </c>
      <c r="AD438" s="185" t="n">
        <v>0</v>
      </c>
      <c r="AE438" s="185" t="n">
        <v>0</v>
      </c>
      <c r="AF438" s="185" t="n">
        <v>0</v>
      </c>
      <c r="AG438" s="185" t="n">
        <v>0</v>
      </c>
      <c r="AH438" s="185" t="n">
        <v>0</v>
      </c>
      <c r="AI438" s="185" t="n">
        <v>0</v>
      </c>
      <c r="AJ438" s="185" t="n">
        <v>929.38</v>
      </c>
      <c r="AK438" s="185" t="n">
        <v>0</v>
      </c>
      <c r="AL438" s="186" t="n">
        <v>0</v>
      </c>
      <c r="AM438" s="30" t="inlineStr">
        <is>
          <t>.</t>
        </is>
      </c>
      <c r="AN438" s="187">
        <f>IF(L438=0,0,Z438/L438)</f>
        <v/>
      </c>
      <c r="AO438" s="57">
        <f>IF(AN438&gt;=1,"🟢",IF(AN438&gt;=0.7,"🟡",IF(AN438&gt;=0.4,"🟠","🔴")))</f>
        <v/>
      </c>
      <c r="AP438" s="185">
        <f>L438-Z438</f>
        <v/>
      </c>
      <c r="AQ438" s="55">
        <f>RANK(Z438,$Z$4:$Z$503,0)</f>
        <v/>
      </c>
      <c r="AR438" s="39" t="inlineStr">
        <is>
          <t>.</t>
        </is>
      </c>
      <c r="AS438" s="27" t="n"/>
      <c r="AT438" s="27" t="n"/>
      <c r="AU438" s="27" t="n"/>
      <c r="AV438" s="27" t="n"/>
      <c r="AW438" s="27" t="n"/>
      <c r="AX438" s="27" t="n"/>
      <c r="AY438" s="204" t="n"/>
      <c r="AZ438" s="204" t="n"/>
      <c r="BA438" s="38" t="inlineStr">
        <is>
          <t>.</t>
        </is>
      </c>
      <c r="BB438" s="190">
        <f>SUM(BC438:BN438)</f>
        <v/>
      </c>
      <c r="BC438" s="191">
        <f>L438*0.0702730030</f>
        <v/>
      </c>
      <c r="BD438" s="191">
        <f>L438*0.0734327604</f>
        <v/>
      </c>
      <c r="BE438" s="191">
        <f>L438*0.0752022245</f>
        <v/>
      </c>
      <c r="BF438" s="191">
        <f>L438*0.0771612740</f>
        <v/>
      </c>
      <c r="BG438" s="191">
        <f>L438*0.0796890799</f>
        <v/>
      </c>
      <c r="BH438" s="191">
        <f>L438*0.0817745197</f>
        <v/>
      </c>
      <c r="BI438" s="191">
        <f>L438*0.0849342770</f>
        <v/>
      </c>
      <c r="BJ438" s="191">
        <f>L438*0.0870197169</f>
        <v/>
      </c>
      <c r="BK438" s="191">
        <f>L438*0.0889787664</f>
        <v/>
      </c>
      <c r="BL438" s="191">
        <f>L438*0.0911905966</f>
        <v/>
      </c>
      <c r="BM438" s="191">
        <f>L438*0.0935920121</f>
        <v/>
      </c>
      <c r="BN438" s="192">
        <f>L438*0.0967517695</f>
        <v/>
      </c>
      <c r="BO438" s="36" t="inlineStr">
        <is>
          <t>.</t>
        </is>
      </c>
      <c r="BP438" s="193">
        <f>SUM(BQ438:CB438)</f>
        <v/>
      </c>
      <c r="BQ438" s="191">
        <f>MAX(0,BC438-AA438)</f>
        <v/>
      </c>
      <c r="BR438" s="191">
        <f>MAX(0,BD438-AB438)</f>
        <v/>
      </c>
      <c r="BS438" s="191">
        <f>MAX(0,BE438-AC438)</f>
        <v/>
      </c>
      <c r="BT438" s="191">
        <f>MAX(0,BF438-AD438)</f>
        <v/>
      </c>
      <c r="BU438" s="191">
        <f>MAX(0,BG438-AE438)</f>
        <v/>
      </c>
      <c r="BV438" s="191">
        <f>MAX(0,BH438-AF438)</f>
        <v/>
      </c>
      <c r="BW438" s="191">
        <f>MAX(0,BI438-AG438)</f>
        <v/>
      </c>
      <c r="BX438" s="191">
        <f>MAX(0,BJ438-AH438)</f>
        <v/>
      </c>
      <c r="BY438" s="191">
        <f>MAX(0,BK438-AI438)</f>
        <v/>
      </c>
      <c r="BZ438" s="191">
        <f>MAX(0,BL438-AJ438)</f>
        <v/>
      </c>
      <c r="CA438" s="191">
        <f>MAX(0,BM438-AK438)</f>
        <v/>
      </c>
      <c r="CB438" s="192">
        <f>MAX(0,BN438-AL438)</f>
        <v/>
      </c>
    </row>
    <row r="439">
      <c r="A439" s="64" t="inlineStr">
        <is>
          <t>58771384000126</t>
        </is>
      </c>
      <c r="B439" s="57" t="inlineStr">
        <is>
          <t>GRACIELA GRITTI LTDA - ME</t>
        </is>
      </c>
      <c r="C439" s="57" t="inlineStr">
        <is>
          <t>SEM GRUPO</t>
        </is>
      </c>
      <c r="D439" s="61" t="inlineStr">
        <is>
          <t>HEMANUELE DITZEL (MANU)</t>
        </is>
      </c>
      <c r="E439" s="30" t="inlineStr">
        <is>
          <t>.</t>
        </is>
      </c>
      <c r="F439" s="63" t="inlineStr"/>
      <c r="G439" s="179" t="inlineStr"/>
      <c r="H439" s="57" t="inlineStr"/>
      <c r="I439" s="57" t="inlineStr"/>
      <c r="J439" s="61" t="inlineStr"/>
      <c r="K439" s="30" t="inlineStr">
        <is>
          <t>.</t>
        </is>
      </c>
      <c r="L439" s="180" t="n">
        <v>1624.43</v>
      </c>
      <c r="M439" s="181" t="n">
        <v>114.15</v>
      </c>
      <c r="N439" s="181" t="n">
        <v>119.29</v>
      </c>
      <c r="O439" s="181" t="n">
        <v>122.16</v>
      </c>
      <c r="P439" s="181" t="n">
        <v>125.34</v>
      </c>
      <c r="Q439" s="181" t="n">
        <v>129.45</v>
      </c>
      <c r="R439" s="181" t="n">
        <v>132.84</v>
      </c>
      <c r="S439" s="181" t="n">
        <v>137.97</v>
      </c>
      <c r="T439" s="181" t="n">
        <v>141.36</v>
      </c>
      <c r="U439" s="181" t="n">
        <v>144.54</v>
      </c>
      <c r="V439" s="181" t="n">
        <v>148.13</v>
      </c>
      <c r="W439" s="181" t="n">
        <v>152.03</v>
      </c>
      <c r="X439" s="182" t="n">
        <v>157.17</v>
      </c>
      <c r="Y439" s="183" t="inlineStr">
        <is>
          <t>.</t>
        </is>
      </c>
      <c r="Z439" s="184">
        <f>SUM(AA439:AL439)</f>
        <v/>
      </c>
      <c r="AA439" s="185" t="n">
        <v>0</v>
      </c>
      <c r="AB439" s="185" t="n">
        <v>0</v>
      </c>
      <c r="AC439" s="185" t="n">
        <v>0</v>
      </c>
      <c r="AD439" s="185" t="n">
        <v>0</v>
      </c>
      <c r="AE439" s="185" t="n">
        <v>0</v>
      </c>
      <c r="AF439" s="185" t="n">
        <v>0</v>
      </c>
      <c r="AG439" s="185" t="n">
        <v>0</v>
      </c>
      <c r="AH439" s="185" t="n">
        <v>0</v>
      </c>
      <c r="AI439" s="185" t="n">
        <v>0</v>
      </c>
      <c r="AJ439" s="185" t="n">
        <v>0</v>
      </c>
      <c r="AK439" s="185" t="n">
        <v>0</v>
      </c>
      <c r="AL439" s="186" t="n">
        <v>715.9400000000001</v>
      </c>
      <c r="AM439" s="30" t="inlineStr">
        <is>
          <t>.</t>
        </is>
      </c>
      <c r="AN439" s="187">
        <f>IF(L439=0,0,Z439/L439)</f>
        <v/>
      </c>
      <c r="AO439" s="57">
        <f>IF(AN439&gt;=1,"🟢",IF(AN439&gt;=0.7,"🟡",IF(AN439&gt;=0.4,"🟠","🔴")))</f>
        <v/>
      </c>
      <c r="AP439" s="185">
        <f>L439-Z439</f>
        <v/>
      </c>
      <c r="AQ439" s="55">
        <f>RANK(Z439,$Z$4:$Z$503,0)</f>
        <v/>
      </c>
      <c r="AR439" s="39" t="inlineStr">
        <is>
          <t>.</t>
        </is>
      </c>
      <c r="AS439" s="27" t="n"/>
      <c r="AT439" s="27" t="n"/>
      <c r="AU439" s="27" t="n"/>
      <c r="AV439" s="27" t="n"/>
      <c r="AW439" s="27" t="n"/>
      <c r="AX439" s="27" t="n"/>
      <c r="AY439" s="204" t="n"/>
      <c r="AZ439" s="204" t="n"/>
      <c r="BA439" s="38" t="inlineStr">
        <is>
          <t>.</t>
        </is>
      </c>
      <c r="BB439" s="190">
        <f>SUM(BC439:BN439)</f>
        <v/>
      </c>
      <c r="BC439" s="191">
        <f>L439*0.0702730030</f>
        <v/>
      </c>
      <c r="BD439" s="191">
        <f>L439*0.0734327604</f>
        <v/>
      </c>
      <c r="BE439" s="191">
        <f>L439*0.0752022245</f>
        <v/>
      </c>
      <c r="BF439" s="191">
        <f>L439*0.0771612740</f>
        <v/>
      </c>
      <c r="BG439" s="191">
        <f>L439*0.0796890799</f>
        <v/>
      </c>
      <c r="BH439" s="191">
        <f>L439*0.0817745197</f>
        <v/>
      </c>
      <c r="BI439" s="191">
        <f>L439*0.0849342770</f>
        <v/>
      </c>
      <c r="BJ439" s="191">
        <f>L439*0.0870197169</f>
        <v/>
      </c>
      <c r="BK439" s="191">
        <f>L439*0.0889787664</f>
        <v/>
      </c>
      <c r="BL439" s="191">
        <f>L439*0.0911905966</f>
        <v/>
      </c>
      <c r="BM439" s="191">
        <f>L439*0.0935920121</f>
        <v/>
      </c>
      <c r="BN439" s="192">
        <f>L439*0.0967517695</f>
        <v/>
      </c>
      <c r="BO439" s="36" t="inlineStr">
        <is>
          <t>.</t>
        </is>
      </c>
      <c r="BP439" s="193">
        <f>SUM(BQ439:CB439)</f>
        <v/>
      </c>
      <c r="BQ439" s="191">
        <f>MAX(0,BC439-AA439)</f>
        <v/>
      </c>
      <c r="BR439" s="191">
        <f>MAX(0,BD439-AB439)</f>
        <v/>
      </c>
      <c r="BS439" s="191">
        <f>MAX(0,BE439-AC439)</f>
        <v/>
      </c>
      <c r="BT439" s="191">
        <f>MAX(0,BF439-AD439)</f>
        <v/>
      </c>
      <c r="BU439" s="191">
        <f>MAX(0,BG439-AE439)</f>
        <v/>
      </c>
      <c r="BV439" s="191">
        <f>MAX(0,BH439-AF439)</f>
        <v/>
      </c>
      <c r="BW439" s="191">
        <f>MAX(0,BI439-AG439)</f>
        <v/>
      </c>
      <c r="BX439" s="191">
        <f>MAX(0,BJ439-AH439)</f>
        <v/>
      </c>
      <c r="BY439" s="191">
        <f>MAX(0,BK439-AI439)</f>
        <v/>
      </c>
      <c r="BZ439" s="191">
        <f>MAX(0,BL439-AJ439)</f>
        <v/>
      </c>
      <c r="CA439" s="191">
        <f>MAX(0,BM439-AK439)</f>
        <v/>
      </c>
      <c r="CB439" s="192">
        <f>MAX(0,BN439-AL439)</f>
        <v/>
      </c>
    </row>
    <row r="440">
      <c r="A440" s="64" t="inlineStr">
        <is>
          <t>40735838000148</t>
        </is>
      </c>
      <c r="B440" s="57" t="inlineStr">
        <is>
          <t>ROBERTO CARLOS ABBOUD LTDA - ME</t>
        </is>
      </c>
      <c r="C440" s="57" t="inlineStr">
        <is>
          <t>SEM GRUPO</t>
        </is>
      </c>
      <c r="D440" s="61" t="inlineStr">
        <is>
          <t>LARISSA PADILHA</t>
        </is>
      </c>
      <c r="E440" s="30" t="inlineStr">
        <is>
          <t>.</t>
        </is>
      </c>
      <c r="F440" s="63" t="inlineStr"/>
      <c r="G440" s="179" t="inlineStr"/>
      <c r="H440" s="57" t="inlineStr"/>
      <c r="I440" s="57" t="inlineStr"/>
      <c r="J440" s="61" t="inlineStr"/>
      <c r="K440" s="30" t="inlineStr">
        <is>
          <t>.</t>
        </is>
      </c>
      <c r="L440" s="180" t="n">
        <v>1622.06</v>
      </c>
      <c r="M440" s="181" t="n">
        <v>113.99</v>
      </c>
      <c r="N440" s="181" t="n">
        <v>119.11</v>
      </c>
      <c r="O440" s="181" t="n">
        <v>121.98</v>
      </c>
      <c r="P440" s="181" t="n">
        <v>125.16</v>
      </c>
      <c r="Q440" s="181" t="n">
        <v>129.26</v>
      </c>
      <c r="R440" s="181" t="n">
        <v>132.64</v>
      </c>
      <c r="S440" s="181" t="n">
        <v>137.77</v>
      </c>
      <c r="T440" s="181" t="n">
        <v>141.15</v>
      </c>
      <c r="U440" s="181" t="n">
        <v>144.33</v>
      </c>
      <c r="V440" s="181" t="n">
        <v>147.92</v>
      </c>
      <c r="W440" s="181" t="n">
        <v>151.81</v>
      </c>
      <c r="X440" s="182" t="n">
        <v>156.94</v>
      </c>
      <c r="Y440" s="183" t="inlineStr">
        <is>
          <t>.</t>
        </is>
      </c>
      <c r="Z440" s="184">
        <f>SUM(AA440:AL440)</f>
        <v/>
      </c>
      <c r="AA440" s="185" t="n">
        <v>1206.17</v>
      </c>
      <c r="AB440" s="185" t="n">
        <v>0</v>
      </c>
      <c r="AC440" s="185" t="n">
        <v>0</v>
      </c>
      <c r="AD440" s="185" t="n">
        <v>0</v>
      </c>
      <c r="AE440" s="185" t="n">
        <v>0</v>
      </c>
      <c r="AF440" s="185" t="n">
        <v>0</v>
      </c>
      <c r="AG440" s="185" t="n">
        <v>0</v>
      </c>
      <c r="AH440" s="185" t="n">
        <v>0</v>
      </c>
      <c r="AI440" s="185" t="n">
        <v>0</v>
      </c>
      <c r="AJ440" s="185" t="n">
        <v>0</v>
      </c>
      <c r="AK440" s="185" t="n">
        <v>0</v>
      </c>
      <c r="AL440" s="186" t="n">
        <v>0</v>
      </c>
      <c r="AM440" s="30" t="inlineStr">
        <is>
          <t>.</t>
        </is>
      </c>
      <c r="AN440" s="187">
        <f>IF(L440=0,0,Z440/L440)</f>
        <v/>
      </c>
      <c r="AO440" s="57">
        <f>IF(AN440&gt;=1,"🟢",IF(AN440&gt;=0.7,"🟡",IF(AN440&gt;=0.4,"🟠","🔴")))</f>
        <v/>
      </c>
      <c r="AP440" s="185">
        <f>L440-Z440</f>
        <v/>
      </c>
      <c r="AQ440" s="55">
        <f>RANK(Z440,$Z$4:$Z$503,0)</f>
        <v/>
      </c>
      <c r="AR440" s="39" t="inlineStr">
        <is>
          <t>.</t>
        </is>
      </c>
      <c r="AS440" s="27" t="n"/>
      <c r="AT440" s="27" t="n"/>
      <c r="AU440" s="27" t="n"/>
      <c r="AV440" s="27" t="n"/>
      <c r="AW440" s="27" t="n"/>
      <c r="AX440" s="27" t="n"/>
      <c r="AY440" s="204" t="n"/>
      <c r="AZ440" s="204" t="n"/>
      <c r="BA440" s="38" t="inlineStr">
        <is>
          <t>.</t>
        </is>
      </c>
      <c r="BB440" s="190">
        <f>SUM(BC440:BN440)</f>
        <v/>
      </c>
      <c r="BC440" s="191">
        <f>L440*0.0702730030</f>
        <v/>
      </c>
      <c r="BD440" s="191">
        <f>L440*0.0734327604</f>
        <v/>
      </c>
      <c r="BE440" s="191">
        <f>L440*0.0752022245</f>
        <v/>
      </c>
      <c r="BF440" s="191">
        <f>L440*0.0771612740</f>
        <v/>
      </c>
      <c r="BG440" s="191">
        <f>L440*0.0796890799</f>
        <v/>
      </c>
      <c r="BH440" s="191">
        <f>L440*0.0817745197</f>
        <v/>
      </c>
      <c r="BI440" s="191">
        <f>L440*0.0849342770</f>
        <v/>
      </c>
      <c r="BJ440" s="191">
        <f>L440*0.0870197169</f>
        <v/>
      </c>
      <c r="BK440" s="191">
        <f>L440*0.0889787664</f>
        <v/>
      </c>
      <c r="BL440" s="191">
        <f>L440*0.0911905966</f>
        <v/>
      </c>
      <c r="BM440" s="191">
        <f>L440*0.0935920121</f>
        <v/>
      </c>
      <c r="BN440" s="192">
        <f>L440*0.0967517695</f>
        <v/>
      </c>
      <c r="BO440" s="36" t="inlineStr">
        <is>
          <t>.</t>
        </is>
      </c>
      <c r="BP440" s="193">
        <f>SUM(BQ440:CB440)</f>
        <v/>
      </c>
      <c r="BQ440" s="191">
        <f>MAX(0,BC440-AA440)</f>
        <v/>
      </c>
      <c r="BR440" s="191">
        <f>MAX(0,BD440-AB440)</f>
        <v/>
      </c>
      <c r="BS440" s="191">
        <f>MAX(0,BE440-AC440)</f>
        <v/>
      </c>
      <c r="BT440" s="191">
        <f>MAX(0,BF440-AD440)</f>
        <v/>
      </c>
      <c r="BU440" s="191">
        <f>MAX(0,BG440-AE440)</f>
        <v/>
      </c>
      <c r="BV440" s="191">
        <f>MAX(0,BH440-AF440)</f>
        <v/>
      </c>
      <c r="BW440" s="191">
        <f>MAX(0,BI440-AG440)</f>
        <v/>
      </c>
      <c r="BX440" s="191">
        <f>MAX(0,BJ440-AH440)</f>
        <v/>
      </c>
      <c r="BY440" s="191">
        <f>MAX(0,BK440-AI440)</f>
        <v/>
      </c>
      <c r="BZ440" s="191">
        <f>MAX(0,BL440-AJ440)</f>
        <v/>
      </c>
      <c r="CA440" s="191">
        <f>MAX(0,BM440-AK440)</f>
        <v/>
      </c>
      <c r="CB440" s="192">
        <f>MAX(0,BN440-AL440)</f>
        <v/>
      </c>
    </row>
    <row r="441">
      <c r="A441" s="64" t="inlineStr">
        <is>
          <t>63300724000170</t>
        </is>
      </c>
      <c r="B441" s="57" t="inlineStr">
        <is>
          <t>63.300.724 FRANCIELLE APARECIDA DE OLIVE</t>
        </is>
      </c>
      <c r="C441" s="57" t="inlineStr">
        <is>
          <t>SEM GRUPO</t>
        </is>
      </c>
      <c r="D441" s="61" t="inlineStr">
        <is>
          <t>HEMANUELE DITZEL (MANU)</t>
        </is>
      </c>
      <c r="E441" s="30" t="inlineStr">
        <is>
          <t>.</t>
        </is>
      </c>
      <c r="F441" s="63" t="inlineStr"/>
      <c r="G441" s="179" t="inlineStr"/>
      <c r="H441" s="57" t="inlineStr"/>
      <c r="I441" s="57" t="inlineStr"/>
      <c r="J441" s="61" t="inlineStr"/>
      <c r="K441" s="30" t="inlineStr">
        <is>
          <t>.</t>
        </is>
      </c>
      <c r="L441" s="180" t="n">
        <v>1621.68</v>
      </c>
      <c r="M441" s="181" t="n">
        <v>113.96</v>
      </c>
      <c r="N441" s="181" t="n">
        <v>119.08</v>
      </c>
      <c r="O441" s="181" t="n">
        <v>121.95</v>
      </c>
      <c r="P441" s="181" t="n">
        <v>125.13</v>
      </c>
      <c r="Q441" s="181" t="n">
        <v>129.23</v>
      </c>
      <c r="R441" s="181" t="n">
        <v>132.61</v>
      </c>
      <c r="S441" s="181" t="n">
        <v>137.74</v>
      </c>
      <c r="T441" s="181" t="n">
        <v>141.12</v>
      </c>
      <c r="U441" s="181" t="n">
        <v>144.3</v>
      </c>
      <c r="V441" s="181" t="n">
        <v>147.88</v>
      </c>
      <c r="W441" s="181" t="n">
        <v>151.78</v>
      </c>
      <c r="X441" s="182" t="n">
        <v>156.9</v>
      </c>
      <c r="Y441" s="183" t="inlineStr">
        <is>
          <t>.</t>
        </is>
      </c>
      <c r="Z441" s="184">
        <f>SUM(AA441:AL441)</f>
        <v/>
      </c>
      <c r="AA441" s="185" t="n">
        <v>0</v>
      </c>
      <c r="AB441" s="185" t="n">
        <v>0</v>
      </c>
      <c r="AC441" s="185" t="n">
        <v>0</v>
      </c>
      <c r="AD441" s="185" t="n">
        <v>0</v>
      </c>
      <c r="AE441" s="185" t="n">
        <v>0</v>
      </c>
      <c r="AF441" s="185" t="n">
        <v>0</v>
      </c>
      <c r="AG441" s="185" t="n">
        <v>0</v>
      </c>
      <c r="AH441" s="185" t="n">
        <v>0</v>
      </c>
      <c r="AI441" s="185" t="n">
        <v>0</v>
      </c>
      <c r="AJ441" s="185" t="n">
        <v>0</v>
      </c>
      <c r="AK441" s="185" t="n">
        <v>865.04</v>
      </c>
      <c r="AL441" s="186" t="n">
        <v>0</v>
      </c>
      <c r="AM441" s="30" t="inlineStr">
        <is>
          <t>.</t>
        </is>
      </c>
      <c r="AN441" s="187">
        <f>IF(L441=0,0,Z441/L441)</f>
        <v/>
      </c>
      <c r="AO441" s="57">
        <f>IF(AN441&gt;=1,"🟢",IF(AN441&gt;=0.7,"🟡",IF(AN441&gt;=0.4,"🟠","🔴")))</f>
        <v/>
      </c>
      <c r="AP441" s="185">
        <f>L441-Z441</f>
        <v/>
      </c>
      <c r="AQ441" s="55">
        <f>RANK(Z441,$Z$4:$Z$503,0)</f>
        <v/>
      </c>
      <c r="AR441" s="39" t="inlineStr">
        <is>
          <t>.</t>
        </is>
      </c>
      <c r="AS441" s="27" t="n"/>
      <c r="AT441" s="27" t="n"/>
      <c r="AU441" s="27" t="n"/>
      <c r="AV441" s="27" t="n"/>
      <c r="AW441" s="27" t="n"/>
      <c r="AX441" s="27" t="n"/>
      <c r="AY441" s="204" t="n"/>
      <c r="AZ441" s="204" t="n"/>
      <c r="BA441" s="38" t="inlineStr">
        <is>
          <t>.</t>
        </is>
      </c>
      <c r="BB441" s="190">
        <f>SUM(BC441:BN441)</f>
        <v/>
      </c>
      <c r="BC441" s="191">
        <f>L441*0.0702730030</f>
        <v/>
      </c>
      <c r="BD441" s="191">
        <f>L441*0.0734327604</f>
        <v/>
      </c>
      <c r="BE441" s="191">
        <f>L441*0.0752022245</f>
        <v/>
      </c>
      <c r="BF441" s="191">
        <f>L441*0.0771612740</f>
        <v/>
      </c>
      <c r="BG441" s="191">
        <f>L441*0.0796890799</f>
        <v/>
      </c>
      <c r="BH441" s="191">
        <f>L441*0.0817745197</f>
        <v/>
      </c>
      <c r="BI441" s="191">
        <f>L441*0.0849342770</f>
        <v/>
      </c>
      <c r="BJ441" s="191">
        <f>L441*0.0870197169</f>
        <v/>
      </c>
      <c r="BK441" s="191">
        <f>L441*0.0889787664</f>
        <v/>
      </c>
      <c r="BL441" s="191">
        <f>L441*0.0911905966</f>
        <v/>
      </c>
      <c r="BM441" s="191">
        <f>L441*0.0935920121</f>
        <v/>
      </c>
      <c r="BN441" s="192">
        <f>L441*0.0967517695</f>
        <v/>
      </c>
      <c r="BO441" s="36" t="inlineStr">
        <is>
          <t>.</t>
        </is>
      </c>
      <c r="BP441" s="193">
        <f>SUM(BQ441:CB441)</f>
        <v/>
      </c>
      <c r="BQ441" s="191">
        <f>MAX(0,BC441-AA441)</f>
        <v/>
      </c>
      <c r="BR441" s="191">
        <f>MAX(0,BD441-AB441)</f>
        <v/>
      </c>
      <c r="BS441" s="191">
        <f>MAX(0,BE441-AC441)</f>
        <v/>
      </c>
      <c r="BT441" s="191">
        <f>MAX(0,BF441-AD441)</f>
        <v/>
      </c>
      <c r="BU441" s="191">
        <f>MAX(0,BG441-AE441)</f>
        <v/>
      </c>
      <c r="BV441" s="191">
        <f>MAX(0,BH441-AF441)</f>
        <v/>
      </c>
      <c r="BW441" s="191">
        <f>MAX(0,BI441-AG441)</f>
        <v/>
      </c>
      <c r="BX441" s="191">
        <f>MAX(0,BJ441-AH441)</f>
        <v/>
      </c>
      <c r="BY441" s="191">
        <f>MAX(0,BK441-AI441)</f>
        <v/>
      </c>
      <c r="BZ441" s="191">
        <f>MAX(0,BL441-AJ441)</f>
        <v/>
      </c>
      <c r="CA441" s="191">
        <f>MAX(0,BM441-AK441)</f>
        <v/>
      </c>
      <c r="CB441" s="192">
        <f>MAX(0,BN441-AL441)</f>
        <v/>
      </c>
    </row>
    <row r="442">
      <c r="A442" s="64" t="inlineStr">
        <is>
          <t>31877904000123</t>
        </is>
      </c>
      <c r="B442" s="57" t="inlineStr">
        <is>
          <t>MONICA LOLI CAMARGO - ME</t>
        </is>
      </c>
      <c r="C442" s="57" t="inlineStr">
        <is>
          <t>SEM GRUPO</t>
        </is>
      </c>
      <c r="D442" s="61" t="inlineStr">
        <is>
          <t>LARISSA PADILHA</t>
        </is>
      </c>
      <c r="E442" s="30" t="inlineStr">
        <is>
          <t>.</t>
        </is>
      </c>
      <c r="F442" s="63" t="inlineStr"/>
      <c r="G442" s="179" t="inlineStr"/>
      <c r="H442" s="57" t="inlineStr"/>
      <c r="I442" s="57" t="inlineStr"/>
      <c r="J442" s="61" t="inlineStr"/>
      <c r="K442" s="30" t="inlineStr">
        <is>
          <t>.</t>
        </is>
      </c>
      <c r="L442" s="180" t="n">
        <v>1617.53</v>
      </c>
      <c r="M442" s="181" t="n">
        <v>113.67</v>
      </c>
      <c r="N442" s="181" t="n">
        <v>118.78</v>
      </c>
      <c r="O442" s="181" t="n">
        <v>121.64</v>
      </c>
      <c r="P442" s="181" t="n">
        <v>124.81</v>
      </c>
      <c r="Q442" s="181" t="n">
        <v>128.9</v>
      </c>
      <c r="R442" s="181" t="n">
        <v>132.27</v>
      </c>
      <c r="S442" s="181" t="n">
        <v>137.38</v>
      </c>
      <c r="T442" s="181" t="n">
        <v>140.76</v>
      </c>
      <c r="U442" s="181" t="n">
        <v>143.93</v>
      </c>
      <c r="V442" s="181" t="n">
        <v>147.5</v>
      </c>
      <c r="W442" s="181" t="n">
        <v>151.39</v>
      </c>
      <c r="X442" s="182" t="n">
        <v>156.5</v>
      </c>
      <c r="Y442" s="183" t="inlineStr">
        <is>
          <t>.</t>
        </is>
      </c>
      <c r="Z442" s="184">
        <f>SUM(AA442:AL442)</f>
        <v/>
      </c>
      <c r="AA442" s="185" t="n">
        <v>0</v>
      </c>
      <c r="AB442" s="185" t="n">
        <v>0</v>
      </c>
      <c r="AC442" s="185" t="n">
        <v>636.3099999999999</v>
      </c>
      <c r="AD442" s="185" t="n">
        <v>0</v>
      </c>
      <c r="AE442" s="185" t="n">
        <v>0</v>
      </c>
      <c r="AF442" s="185" t="n">
        <v>0</v>
      </c>
      <c r="AG442" s="185" t="n">
        <v>0</v>
      </c>
      <c r="AH442" s="185" t="n">
        <v>0</v>
      </c>
      <c r="AI442" s="185" t="n">
        <v>0</v>
      </c>
      <c r="AJ442" s="185" t="n">
        <v>0</v>
      </c>
      <c r="AK442" s="185" t="n">
        <v>0</v>
      </c>
      <c r="AL442" s="186" t="n">
        <v>0</v>
      </c>
      <c r="AM442" s="30" t="inlineStr">
        <is>
          <t>.</t>
        </is>
      </c>
      <c r="AN442" s="187">
        <f>IF(L442=0,0,Z442/L442)</f>
        <v/>
      </c>
      <c r="AO442" s="57">
        <f>IF(AN442&gt;=1,"🟢",IF(AN442&gt;=0.7,"🟡",IF(AN442&gt;=0.4,"🟠","🔴")))</f>
        <v/>
      </c>
      <c r="AP442" s="185">
        <f>L442-Z442</f>
        <v/>
      </c>
      <c r="AQ442" s="55">
        <f>RANK(Z442,$Z$4:$Z$503,0)</f>
        <v/>
      </c>
      <c r="AR442" s="39" t="inlineStr">
        <is>
          <t>.</t>
        </is>
      </c>
      <c r="AS442" s="27" t="n"/>
      <c r="AT442" s="27" t="n"/>
      <c r="AU442" s="27" t="n"/>
      <c r="AV442" s="27" t="n"/>
      <c r="AW442" s="27" t="n"/>
      <c r="AX442" s="27" t="n"/>
      <c r="AY442" s="204" t="n"/>
      <c r="AZ442" s="204" t="n"/>
      <c r="BA442" s="38" t="inlineStr">
        <is>
          <t>.</t>
        </is>
      </c>
      <c r="BB442" s="190">
        <f>SUM(BC442:BN442)</f>
        <v/>
      </c>
      <c r="BC442" s="191">
        <f>L442*0.0702730030</f>
        <v/>
      </c>
      <c r="BD442" s="191">
        <f>L442*0.0734327604</f>
        <v/>
      </c>
      <c r="BE442" s="191">
        <f>L442*0.0752022245</f>
        <v/>
      </c>
      <c r="BF442" s="191">
        <f>L442*0.0771612740</f>
        <v/>
      </c>
      <c r="BG442" s="191">
        <f>L442*0.0796890799</f>
        <v/>
      </c>
      <c r="BH442" s="191">
        <f>L442*0.0817745197</f>
        <v/>
      </c>
      <c r="BI442" s="191">
        <f>L442*0.0849342770</f>
        <v/>
      </c>
      <c r="BJ442" s="191">
        <f>L442*0.0870197169</f>
        <v/>
      </c>
      <c r="BK442" s="191">
        <f>L442*0.0889787664</f>
        <v/>
      </c>
      <c r="BL442" s="191">
        <f>L442*0.0911905966</f>
        <v/>
      </c>
      <c r="BM442" s="191">
        <f>L442*0.0935920121</f>
        <v/>
      </c>
      <c r="BN442" s="192">
        <f>L442*0.0967517695</f>
        <v/>
      </c>
      <c r="BO442" s="36" t="inlineStr">
        <is>
          <t>.</t>
        </is>
      </c>
      <c r="BP442" s="193">
        <f>SUM(BQ442:CB442)</f>
        <v/>
      </c>
      <c r="BQ442" s="191">
        <f>MAX(0,BC442-AA442)</f>
        <v/>
      </c>
      <c r="BR442" s="191">
        <f>MAX(0,BD442-AB442)</f>
        <v/>
      </c>
      <c r="BS442" s="191">
        <f>MAX(0,BE442-AC442)</f>
        <v/>
      </c>
      <c r="BT442" s="191">
        <f>MAX(0,BF442-AD442)</f>
        <v/>
      </c>
      <c r="BU442" s="191">
        <f>MAX(0,BG442-AE442)</f>
        <v/>
      </c>
      <c r="BV442" s="191">
        <f>MAX(0,BH442-AF442)</f>
        <v/>
      </c>
      <c r="BW442" s="191">
        <f>MAX(0,BI442-AG442)</f>
        <v/>
      </c>
      <c r="BX442" s="191">
        <f>MAX(0,BJ442-AH442)</f>
        <v/>
      </c>
      <c r="BY442" s="191">
        <f>MAX(0,BK442-AI442)</f>
        <v/>
      </c>
      <c r="BZ442" s="191">
        <f>MAX(0,BL442-AJ442)</f>
        <v/>
      </c>
      <c r="CA442" s="191">
        <f>MAX(0,BM442-AK442)</f>
        <v/>
      </c>
      <c r="CB442" s="192">
        <f>MAX(0,BN442-AL442)</f>
        <v/>
      </c>
    </row>
    <row r="443">
      <c r="A443" s="64" t="inlineStr">
        <is>
          <t>13435819000123</t>
        </is>
      </c>
      <c r="B443" s="57" t="inlineStr">
        <is>
          <t>SUPERMERCADO COSER LTDA - EPP</t>
        </is>
      </c>
      <c r="C443" s="57" t="inlineStr">
        <is>
          <t>SEM GRUPO</t>
        </is>
      </c>
      <c r="D443" s="61" t="inlineStr">
        <is>
          <t>HEMANUELE DITZEL (MANU)</t>
        </is>
      </c>
      <c r="E443" s="30" t="inlineStr">
        <is>
          <t>.</t>
        </is>
      </c>
      <c r="F443" s="63" t="inlineStr"/>
      <c r="G443" s="179" t="inlineStr"/>
      <c r="H443" s="57" t="inlineStr"/>
      <c r="I443" s="57" t="inlineStr"/>
      <c r="J443" s="61" t="inlineStr"/>
      <c r="K443" s="30" t="inlineStr">
        <is>
          <t>.</t>
        </is>
      </c>
      <c r="L443" s="180" t="n">
        <v>1615.75</v>
      </c>
      <c r="M443" s="181" t="n">
        <v>113.54</v>
      </c>
      <c r="N443" s="181" t="n">
        <v>118.65</v>
      </c>
      <c r="O443" s="181" t="n">
        <v>121.51</v>
      </c>
      <c r="P443" s="181" t="n">
        <v>124.67</v>
      </c>
      <c r="Q443" s="181" t="n">
        <v>128.76</v>
      </c>
      <c r="R443" s="181" t="n">
        <v>132.13</v>
      </c>
      <c r="S443" s="181" t="n">
        <v>137.23</v>
      </c>
      <c r="T443" s="181" t="n">
        <v>140.6</v>
      </c>
      <c r="U443" s="181" t="n">
        <v>143.77</v>
      </c>
      <c r="V443" s="181" t="n">
        <v>147.34</v>
      </c>
      <c r="W443" s="181" t="n">
        <v>151.22</v>
      </c>
      <c r="X443" s="182" t="n">
        <v>156.33</v>
      </c>
      <c r="Y443" s="183" t="inlineStr">
        <is>
          <t>.</t>
        </is>
      </c>
      <c r="Z443" s="184">
        <f>SUM(AA443:AL443)</f>
        <v/>
      </c>
      <c r="AA443" s="185" t="n">
        <v>0</v>
      </c>
      <c r="AB443" s="185" t="n">
        <v>0</v>
      </c>
      <c r="AC443" s="185" t="n">
        <v>0</v>
      </c>
      <c r="AD443" s="185" t="n">
        <v>0</v>
      </c>
      <c r="AE443" s="185" t="n">
        <v>0</v>
      </c>
      <c r="AF443" s="185" t="n">
        <v>658.84</v>
      </c>
      <c r="AG443" s="185" t="n">
        <v>0</v>
      </c>
      <c r="AH443" s="185" t="n">
        <v>0</v>
      </c>
      <c r="AI443" s="185" t="n">
        <v>0</v>
      </c>
      <c r="AJ443" s="185" t="n">
        <v>0</v>
      </c>
      <c r="AK443" s="185" t="n">
        <v>0</v>
      </c>
      <c r="AL443" s="186" t="n">
        <v>0</v>
      </c>
      <c r="AM443" s="30" t="inlineStr">
        <is>
          <t>.</t>
        </is>
      </c>
      <c r="AN443" s="187">
        <f>IF(L443=0,0,Z443/L443)</f>
        <v/>
      </c>
      <c r="AO443" s="57">
        <f>IF(AN443&gt;=1,"🟢",IF(AN443&gt;=0.7,"🟡",IF(AN443&gt;=0.4,"🟠","🔴")))</f>
        <v/>
      </c>
      <c r="AP443" s="185">
        <f>L443-Z443</f>
        <v/>
      </c>
      <c r="AQ443" s="55">
        <f>RANK(Z443,$Z$4:$Z$503,0)</f>
        <v/>
      </c>
      <c r="AR443" s="39" t="inlineStr">
        <is>
          <t>.</t>
        </is>
      </c>
      <c r="AS443" s="27" t="n"/>
      <c r="AT443" s="27" t="n"/>
      <c r="AU443" s="27" t="n"/>
      <c r="AV443" s="27" t="n"/>
      <c r="AW443" s="27" t="n"/>
      <c r="AX443" s="27" t="n"/>
      <c r="AY443" s="204" t="n"/>
      <c r="AZ443" s="204" t="n"/>
      <c r="BA443" s="38" t="inlineStr">
        <is>
          <t>.</t>
        </is>
      </c>
      <c r="BB443" s="190">
        <f>SUM(BC443:BN443)</f>
        <v/>
      </c>
      <c r="BC443" s="191">
        <f>L443*0.0702730030</f>
        <v/>
      </c>
      <c r="BD443" s="191">
        <f>L443*0.0734327604</f>
        <v/>
      </c>
      <c r="BE443" s="191">
        <f>L443*0.0752022245</f>
        <v/>
      </c>
      <c r="BF443" s="191">
        <f>L443*0.0771612740</f>
        <v/>
      </c>
      <c r="BG443" s="191">
        <f>L443*0.0796890799</f>
        <v/>
      </c>
      <c r="BH443" s="191">
        <f>L443*0.0817745197</f>
        <v/>
      </c>
      <c r="BI443" s="191">
        <f>L443*0.0849342770</f>
        <v/>
      </c>
      <c r="BJ443" s="191">
        <f>L443*0.0870197169</f>
        <v/>
      </c>
      <c r="BK443" s="191">
        <f>L443*0.0889787664</f>
        <v/>
      </c>
      <c r="BL443" s="191">
        <f>L443*0.0911905966</f>
        <v/>
      </c>
      <c r="BM443" s="191">
        <f>L443*0.0935920121</f>
        <v/>
      </c>
      <c r="BN443" s="192">
        <f>L443*0.0967517695</f>
        <v/>
      </c>
      <c r="BO443" s="36" t="inlineStr">
        <is>
          <t>.</t>
        </is>
      </c>
      <c r="BP443" s="193">
        <f>SUM(BQ443:CB443)</f>
        <v/>
      </c>
      <c r="BQ443" s="191">
        <f>MAX(0,BC443-AA443)</f>
        <v/>
      </c>
      <c r="BR443" s="191">
        <f>MAX(0,BD443-AB443)</f>
        <v/>
      </c>
      <c r="BS443" s="191">
        <f>MAX(0,BE443-AC443)</f>
        <v/>
      </c>
      <c r="BT443" s="191">
        <f>MAX(0,BF443-AD443)</f>
        <v/>
      </c>
      <c r="BU443" s="191">
        <f>MAX(0,BG443-AE443)</f>
        <v/>
      </c>
      <c r="BV443" s="191">
        <f>MAX(0,BH443-AF443)</f>
        <v/>
      </c>
      <c r="BW443" s="191">
        <f>MAX(0,BI443-AG443)</f>
        <v/>
      </c>
      <c r="BX443" s="191">
        <f>MAX(0,BJ443-AH443)</f>
        <v/>
      </c>
      <c r="BY443" s="191">
        <f>MAX(0,BK443-AI443)</f>
        <v/>
      </c>
      <c r="BZ443" s="191">
        <f>MAX(0,BL443-AJ443)</f>
        <v/>
      </c>
      <c r="CA443" s="191">
        <f>MAX(0,BM443-AK443)</f>
        <v/>
      </c>
      <c r="CB443" s="192">
        <f>MAX(0,BN443-AL443)</f>
        <v/>
      </c>
    </row>
    <row r="444">
      <c r="A444" s="64" t="inlineStr">
        <is>
          <t>16586235000147</t>
        </is>
      </c>
      <c r="B444" s="57" t="inlineStr">
        <is>
          <t>16.586.235 IARA REGINA MULLER DE OLIVEIR</t>
        </is>
      </c>
      <c r="C444" s="57" t="inlineStr">
        <is>
          <t>SEM GRUPO</t>
        </is>
      </c>
      <c r="D444" s="61" t="inlineStr">
        <is>
          <t>HEMANUELE DITZEL (MANU)</t>
        </is>
      </c>
      <c r="E444" s="30" t="inlineStr">
        <is>
          <t>.</t>
        </is>
      </c>
      <c r="F444" s="63" t="inlineStr"/>
      <c r="G444" s="179" t="inlineStr"/>
      <c r="H444" s="57" t="inlineStr"/>
      <c r="I444" s="57" t="inlineStr"/>
      <c r="J444" s="61" t="inlineStr"/>
      <c r="K444" s="30" t="inlineStr">
        <is>
          <t>.</t>
        </is>
      </c>
      <c r="L444" s="180" t="n">
        <v>1615.59</v>
      </c>
      <c r="M444" s="181" t="n">
        <v>113.53</v>
      </c>
      <c r="N444" s="181" t="n">
        <v>118.64</v>
      </c>
      <c r="O444" s="181" t="n">
        <v>121.5</v>
      </c>
      <c r="P444" s="181" t="n">
        <v>124.66</v>
      </c>
      <c r="Q444" s="181" t="n">
        <v>128.74</v>
      </c>
      <c r="R444" s="181" t="n">
        <v>132.11</v>
      </c>
      <c r="S444" s="181" t="n">
        <v>137.22</v>
      </c>
      <c r="T444" s="181" t="n">
        <v>140.59</v>
      </c>
      <c r="U444" s="181" t="n">
        <v>143.75</v>
      </c>
      <c r="V444" s="181" t="n">
        <v>147.33</v>
      </c>
      <c r="W444" s="181" t="n">
        <v>151.21</v>
      </c>
      <c r="X444" s="182" t="n">
        <v>156.31</v>
      </c>
      <c r="Y444" s="183" t="inlineStr">
        <is>
          <t>.</t>
        </is>
      </c>
      <c r="Z444" s="184">
        <f>SUM(AA444:AL444)</f>
        <v/>
      </c>
      <c r="AA444" s="185" t="n">
        <v>0</v>
      </c>
      <c r="AB444" s="185" t="n">
        <v>0</v>
      </c>
      <c r="AC444" s="185" t="n">
        <v>0</v>
      </c>
      <c r="AD444" s="185" t="n">
        <v>0</v>
      </c>
      <c r="AE444" s="185" t="n">
        <v>0</v>
      </c>
      <c r="AF444" s="185" t="n">
        <v>0</v>
      </c>
      <c r="AG444" s="185" t="n">
        <v>0</v>
      </c>
      <c r="AH444" s="185" t="n">
        <v>0</v>
      </c>
      <c r="AI444" s="185" t="n">
        <v>0</v>
      </c>
      <c r="AJ444" s="185" t="n">
        <v>0</v>
      </c>
      <c r="AK444" s="185" t="n">
        <v>861.79</v>
      </c>
      <c r="AL444" s="186" t="n">
        <v>0</v>
      </c>
      <c r="AM444" s="30" t="inlineStr">
        <is>
          <t>.</t>
        </is>
      </c>
      <c r="AN444" s="187">
        <f>IF(L444=0,0,Z444/L444)</f>
        <v/>
      </c>
      <c r="AO444" s="57">
        <f>IF(AN444&gt;=1,"🟢",IF(AN444&gt;=0.7,"🟡",IF(AN444&gt;=0.4,"🟠","🔴")))</f>
        <v/>
      </c>
      <c r="AP444" s="185">
        <f>L444-Z444</f>
        <v/>
      </c>
      <c r="AQ444" s="55">
        <f>RANK(Z444,$Z$4:$Z$503,0)</f>
        <v/>
      </c>
      <c r="AR444" s="39" t="inlineStr">
        <is>
          <t>.</t>
        </is>
      </c>
      <c r="AS444" s="27" t="n"/>
      <c r="AT444" s="27" t="n"/>
      <c r="AU444" s="27" t="n"/>
      <c r="AV444" s="27" t="n"/>
      <c r="AW444" s="27" t="n"/>
      <c r="AX444" s="27" t="n"/>
      <c r="AY444" s="204" t="n"/>
      <c r="AZ444" s="204" t="n"/>
      <c r="BA444" s="38" t="inlineStr">
        <is>
          <t>.</t>
        </is>
      </c>
      <c r="BB444" s="190">
        <f>SUM(BC444:BN444)</f>
        <v/>
      </c>
      <c r="BC444" s="191">
        <f>L444*0.0702730030</f>
        <v/>
      </c>
      <c r="BD444" s="191">
        <f>L444*0.0734327604</f>
        <v/>
      </c>
      <c r="BE444" s="191">
        <f>L444*0.0752022245</f>
        <v/>
      </c>
      <c r="BF444" s="191">
        <f>L444*0.0771612740</f>
        <v/>
      </c>
      <c r="BG444" s="191">
        <f>L444*0.0796890799</f>
        <v/>
      </c>
      <c r="BH444" s="191">
        <f>L444*0.0817745197</f>
        <v/>
      </c>
      <c r="BI444" s="191">
        <f>L444*0.0849342770</f>
        <v/>
      </c>
      <c r="BJ444" s="191">
        <f>L444*0.0870197169</f>
        <v/>
      </c>
      <c r="BK444" s="191">
        <f>L444*0.0889787664</f>
        <v/>
      </c>
      <c r="BL444" s="191">
        <f>L444*0.0911905966</f>
        <v/>
      </c>
      <c r="BM444" s="191">
        <f>L444*0.0935920121</f>
        <v/>
      </c>
      <c r="BN444" s="192">
        <f>L444*0.0967517695</f>
        <v/>
      </c>
      <c r="BO444" s="36" t="inlineStr">
        <is>
          <t>.</t>
        </is>
      </c>
      <c r="BP444" s="193">
        <f>SUM(BQ444:CB444)</f>
        <v/>
      </c>
      <c r="BQ444" s="191">
        <f>MAX(0,BC444-AA444)</f>
        <v/>
      </c>
      <c r="BR444" s="191">
        <f>MAX(0,BD444-AB444)</f>
        <v/>
      </c>
      <c r="BS444" s="191">
        <f>MAX(0,BE444-AC444)</f>
        <v/>
      </c>
      <c r="BT444" s="191">
        <f>MAX(0,BF444-AD444)</f>
        <v/>
      </c>
      <c r="BU444" s="191">
        <f>MAX(0,BG444-AE444)</f>
        <v/>
      </c>
      <c r="BV444" s="191">
        <f>MAX(0,BH444-AF444)</f>
        <v/>
      </c>
      <c r="BW444" s="191">
        <f>MAX(0,BI444-AG444)</f>
        <v/>
      </c>
      <c r="BX444" s="191">
        <f>MAX(0,BJ444-AH444)</f>
        <v/>
      </c>
      <c r="BY444" s="191">
        <f>MAX(0,BK444-AI444)</f>
        <v/>
      </c>
      <c r="BZ444" s="191">
        <f>MAX(0,BL444-AJ444)</f>
        <v/>
      </c>
      <c r="CA444" s="191">
        <f>MAX(0,BM444-AK444)</f>
        <v/>
      </c>
      <c r="CB444" s="192">
        <f>MAX(0,BN444-AL444)</f>
        <v/>
      </c>
    </row>
    <row r="445">
      <c r="A445" s="64" t="inlineStr">
        <is>
          <t>05926581000100</t>
        </is>
      </c>
      <c r="B445" s="57" t="inlineStr">
        <is>
          <t>FRANCIELLI FRANCALACCI DE OLIVEIRA EIREL</t>
        </is>
      </c>
      <c r="C445" s="57" t="inlineStr">
        <is>
          <t>SEM GRUPO</t>
        </is>
      </c>
      <c r="D445" s="61" t="inlineStr">
        <is>
          <t>HEMANUELE DITZEL (MANU)</t>
        </is>
      </c>
      <c r="E445" s="30" t="inlineStr">
        <is>
          <t>.</t>
        </is>
      </c>
      <c r="F445" s="63" t="inlineStr"/>
      <c r="G445" s="179" t="inlineStr"/>
      <c r="H445" s="57" t="inlineStr"/>
      <c r="I445" s="57" t="inlineStr"/>
      <c r="J445" s="61" t="inlineStr"/>
      <c r="K445" s="30" t="inlineStr">
        <is>
          <t>.</t>
        </is>
      </c>
      <c r="L445" s="180" t="n">
        <v>1600.75</v>
      </c>
      <c r="M445" s="181" t="n">
        <v>112.49</v>
      </c>
      <c r="N445" s="181" t="n">
        <v>117.55</v>
      </c>
      <c r="O445" s="181" t="n">
        <v>120.38</v>
      </c>
      <c r="P445" s="181" t="n">
        <v>123.52</v>
      </c>
      <c r="Q445" s="181" t="n">
        <v>127.56</v>
      </c>
      <c r="R445" s="181" t="n">
        <v>130.9</v>
      </c>
      <c r="S445" s="181" t="n">
        <v>135.96</v>
      </c>
      <c r="T445" s="181" t="n">
        <v>139.3</v>
      </c>
      <c r="U445" s="181" t="n">
        <v>142.43</v>
      </c>
      <c r="V445" s="181" t="n">
        <v>145.97</v>
      </c>
      <c r="W445" s="181" t="n">
        <v>149.82</v>
      </c>
      <c r="X445" s="182" t="n">
        <v>154.87</v>
      </c>
      <c r="Y445" s="183" t="inlineStr">
        <is>
          <t>.</t>
        </is>
      </c>
      <c r="Z445" s="184">
        <f>SUM(AA445:AL445)</f>
        <v/>
      </c>
      <c r="AA445" s="185" t="n">
        <v>0</v>
      </c>
      <c r="AB445" s="185" t="n">
        <v>0</v>
      </c>
      <c r="AC445" s="185" t="n">
        <v>0</v>
      </c>
      <c r="AD445" s="185" t="n">
        <v>0</v>
      </c>
      <c r="AE445" s="185" t="n">
        <v>0</v>
      </c>
      <c r="AF445" s="185" t="n">
        <v>642.8200000000001</v>
      </c>
      <c r="AG445" s="185" t="n">
        <v>0</v>
      </c>
      <c r="AH445" s="185" t="n">
        <v>0</v>
      </c>
      <c r="AI445" s="185" t="n">
        <v>0</v>
      </c>
      <c r="AJ445" s="185" t="n">
        <v>0</v>
      </c>
      <c r="AK445" s="185" t="n">
        <v>0</v>
      </c>
      <c r="AL445" s="186" t="n">
        <v>0</v>
      </c>
      <c r="AM445" s="30" t="inlineStr">
        <is>
          <t>.</t>
        </is>
      </c>
      <c r="AN445" s="187">
        <f>IF(L445=0,0,Z445/L445)</f>
        <v/>
      </c>
      <c r="AO445" s="57">
        <f>IF(AN445&gt;=1,"🟢",IF(AN445&gt;=0.7,"🟡",IF(AN445&gt;=0.4,"🟠","🔴")))</f>
        <v/>
      </c>
      <c r="AP445" s="185">
        <f>L445-Z445</f>
        <v/>
      </c>
      <c r="AQ445" s="55">
        <f>RANK(Z445,$Z$4:$Z$503,0)</f>
        <v/>
      </c>
      <c r="AR445" s="39" t="inlineStr">
        <is>
          <t>.</t>
        </is>
      </c>
      <c r="AS445" s="27" t="n"/>
      <c r="AT445" s="27" t="n"/>
      <c r="AU445" s="27" t="n"/>
      <c r="AV445" s="27" t="n"/>
      <c r="AW445" s="27" t="n"/>
      <c r="AX445" s="27" t="n"/>
      <c r="AY445" s="204" t="n"/>
      <c r="AZ445" s="204" t="n"/>
      <c r="BA445" s="38" t="inlineStr">
        <is>
          <t>.</t>
        </is>
      </c>
      <c r="BB445" s="190">
        <f>SUM(BC445:BN445)</f>
        <v/>
      </c>
      <c r="BC445" s="191">
        <f>L445*0.0702730030</f>
        <v/>
      </c>
      <c r="BD445" s="191">
        <f>L445*0.0734327604</f>
        <v/>
      </c>
      <c r="BE445" s="191">
        <f>L445*0.0752022245</f>
        <v/>
      </c>
      <c r="BF445" s="191">
        <f>L445*0.0771612740</f>
        <v/>
      </c>
      <c r="BG445" s="191">
        <f>L445*0.0796890799</f>
        <v/>
      </c>
      <c r="BH445" s="191">
        <f>L445*0.0817745197</f>
        <v/>
      </c>
      <c r="BI445" s="191">
        <f>L445*0.0849342770</f>
        <v/>
      </c>
      <c r="BJ445" s="191">
        <f>L445*0.0870197169</f>
        <v/>
      </c>
      <c r="BK445" s="191">
        <f>L445*0.0889787664</f>
        <v/>
      </c>
      <c r="BL445" s="191">
        <f>L445*0.0911905966</f>
        <v/>
      </c>
      <c r="BM445" s="191">
        <f>L445*0.0935920121</f>
        <v/>
      </c>
      <c r="BN445" s="192">
        <f>L445*0.0967517695</f>
        <v/>
      </c>
      <c r="BO445" s="36" t="inlineStr">
        <is>
          <t>.</t>
        </is>
      </c>
      <c r="BP445" s="193">
        <f>SUM(BQ445:CB445)</f>
        <v/>
      </c>
      <c r="BQ445" s="191">
        <f>MAX(0,BC445-AA445)</f>
        <v/>
      </c>
      <c r="BR445" s="191">
        <f>MAX(0,BD445-AB445)</f>
        <v/>
      </c>
      <c r="BS445" s="191">
        <f>MAX(0,BE445-AC445)</f>
        <v/>
      </c>
      <c r="BT445" s="191">
        <f>MAX(0,BF445-AD445)</f>
        <v/>
      </c>
      <c r="BU445" s="191">
        <f>MAX(0,BG445-AE445)</f>
        <v/>
      </c>
      <c r="BV445" s="191">
        <f>MAX(0,BH445-AF445)</f>
        <v/>
      </c>
      <c r="BW445" s="191">
        <f>MAX(0,BI445-AG445)</f>
        <v/>
      </c>
      <c r="BX445" s="191">
        <f>MAX(0,BJ445-AH445)</f>
        <v/>
      </c>
      <c r="BY445" s="191">
        <f>MAX(0,BK445-AI445)</f>
        <v/>
      </c>
      <c r="BZ445" s="191">
        <f>MAX(0,BL445-AJ445)</f>
        <v/>
      </c>
      <c r="CA445" s="191">
        <f>MAX(0,BM445-AK445)</f>
        <v/>
      </c>
      <c r="CB445" s="192">
        <f>MAX(0,BN445-AL445)</f>
        <v/>
      </c>
    </row>
    <row r="446">
      <c r="A446" s="64" t="inlineStr">
        <is>
          <t>60057831000121</t>
        </is>
      </c>
      <c r="B446" s="57" t="inlineStr">
        <is>
          <t>AMME NATURA FIT LTDA - ME</t>
        </is>
      </c>
      <c r="C446" s="57" t="inlineStr">
        <is>
          <t>SEM GRUPO</t>
        </is>
      </c>
      <c r="D446" s="61" t="inlineStr">
        <is>
          <t>HEMANUELE DITZEL (MANU)</t>
        </is>
      </c>
      <c r="E446" s="30" t="inlineStr">
        <is>
          <t>.</t>
        </is>
      </c>
      <c r="F446" s="63" t="inlineStr"/>
      <c r="G446" s="179" t="inlineStr"/>
      <c r="H446" s="57" t="inlineStr"/>
      <c r="I446" s="57" t="inlineStr"/>
      <c r="J446" s="61" t="inlineStr"/>
      <c r="K446" s="30" t="inlineStr">
        <is>
          <t>.</t>
        </is>
      </c>
      <c r="L446" s="180" t="n">
        <v>1593.75</v>
      </c>
      <c r="M446" s="181" t="n">
        <v>112</v>
      </c>
      <c r="N446" s="181" t="n">
        <v>117.03</v>
      </c>
      <c r="O446" s="181" t="n">
        <v>119.85</v>
      </c>
      <c r="P446" s="181" t="n">
        <v>122.98</v>
      </c>
      <c r="Q446" s="181" t="n">
        <v>127</v>
      </c>
      <c r="R446" s="181" t="n">
        <v>130.33</v>
      </c>
      <c r="S446" s="181" t="n">
        <v>135.36</v>
      </c>
      <c r="T446" s="181" t="n">
        <v>138.69</v>
      </c>
      <c r="U446" s="181" t="n">
        <v>141.81</v>
      </c>
      <c r="V446" s="181" t="n">
        <v>145.34</v>
      </c>
      <c r="W446" s="181" t="n">
        <v>149.16</v>
      </c>
      <c r="X446" s="182" t="n">
        <v>154.2</v>
      </c>
      <c r="Y446" s="183" t="inlineStr">
        <is>
          <t>.</t>
        </is>
      </c>
      <c r="Z446" s="184">
        <f>SUM(AA446:AL446)</f>
        <v/>
      </c>
      <c r="AA446" s="185" t="n">
        <v>0</v>
      </c>
      <c r="AB446" s="185" t="n">
        <v>0</v>
      </c>
      <c r="AC446" s="185" t="n">
        <v>0</v>
      </c>
      <c r="AD446" s="185" t="n">
        <v>565.1</v>
      </c>
      <c r="AE446" s="185" t="n">
        <v>0</v>
      </c>
      <c r="AF446" s="185" t="n">
        <v>0</v>
      </c>
      <c r="AG446" s="185" t="n">
        <v>0</v>
      </c>
      <c r="AH446" s="185" t="n">
        <v>0</v>
      </c>
      <c r="AI446" s="185" t="n">
        <v>0</v>
      </c>
      <c r="AJ446" s="185" t="n">
        <v>0</v>
      </c>
      <c r="AK446" s="185" t="n">
        <v>0</v>
      </c>
      <c r="AL446" s="186" t="n">
        <v>0</v>
      </c>
      <c r="AM446" s="30" t="inlineStr">
        <is>
          <t>.</t>
        </is>
      </c>
      <c r="AN446" s="187">
        <f>IF(L446=0,0,Z446/L446)</f>
        <v/>
      </c>
      <c r="AO446" s="57">
        <f>IF(AN446&gt;=1,"🟢",IF(AN446&gt;=0.7,"🟡",IF(AN446&gt;=0.4,"🟠","🔴")))</f>
        <v/>
      </c>
      <c r="AP446" s="185">
        <f>L446-Z446</f>
        <v/>
      </c>
      <c r="AQ446" s="55">
        <f>RANK(Z446,$Z$4:$Z$503,0)</f>
        <v/>
      </c>
      <c r="AR446" s="39" t="inlineStr">
        <is>
          <t>.</t>
        </is>
      </c>
      <c r="AS446" s="27" t="n"/>
      <c r="AT446" s="27" t="n"/>
      <c r="AU446" s="27" t="n"/>
      <c r="AV446" s="27" t="n"/>
      <c r="AW446" s="27" t="n"/>
      <c r="AX446" s="27" t="n"/>
      <c r="AY446" s="204" t="n"/>
      <c r="AZ446" s="204" t="n"/>
      <c r="BA446" s="38" t="inlineStr">
        <is>
          <t>.</t>
        </is>
      </c>
      <c r="BB446" s="190">
        <f>SUM(BC446:BN446)</f>
        <v/>
      </c>
      <c r="BC446" s="191">
        <f>L446*0.0702730030</f>
        <v/>
      </c>
      <c r="BD446" s="191">
        <f>L446*0.0734327604</f>
        <v/>
      </c>
      <c r="BE446" s="191">
        <f>L446*0.0752022245</f>
        <v/>
      </c>
      <c r="BF446" s="191">
        <f>L446*0.0771612740</f>
        <v/>
      </c>
      <c r="BG446" s="191">
        <f>L446*0.0796890799</f>
        <v/>
      </c>
      <c r="BH446" s="191">
        <f>L446*0.0817745197</f>
        <v/>
      </c>
      <c r="BI446" s="191">
        <f>L446*0.0849342770</f>
        <v/>
      </c>
      <c r="BJ446" s="191">
        <f>L446*0.0870197169</f>
        <v/>
      </c>
      <c r="BK446" s="191">
        <f>L446*0.0889787664</f>
        <v/>
      </c>
      <c r="BL446" s="191">
        <f>L446*0.0911905966</f>
        <v/>
      </c>
      <c r="BM446" s="191">
        <f>L446*0.0935920121</f>
        <v/>
      </c>
      <c r="BN446" s="192">
        <f>L446*0.0967517695</f>
        <v/>
      </c>
      <c r="BO446" s="36" t="inlineStr">
        <is>
          <t>.</t>
        </is>
      </c>
      <c r="BP446" s="193">
        <f>SUM(BQ446:CB446)</f>
        <v/>
      </c>
      <c r="BQ446" s="191">
        <f>MAX(0,BC446-AA446)</f>
        <v/>
      </c>
      <c r="BR446" s="191">
        <f>MAX(0,BD446-AB446)</f>
        <v/>
      </c>
      <c r="BS446" s="191">
        <f>MAX(0,BE446-AC446)</f>
        <v/>
      </c>
      <c r="BT446" s="191">
        <f>MAX(0,BF446-AD446)</f>
        <v/>
      </c>
      <c r="BU446" s="191">
        <f>MAX(0,BG446-AE446)</f>
        <v/>
      </c>
      <c r="BV446" s="191">
        <f>MAX(0,BH446-AF446)</f>
        <v/>
      </c>
      <c r="BW446" s="191">
        <f>MAX(0,BI446-AG446)</f>
        <v/>
      </c>
      <c r="BX446" s="191">
        <f>MAX(0,BJ446-AH446)</f>
        <v/>
      </c>
      <c r="BY446" s="191">
        <f>MAX(0,BK446-AI446)</f>
        <v/>
      </c>
      <c r="BZ446" s="191">
        <f>MAX(0,BL446-AJ446)</f>
        <v/>
      </c>
      <c r="CA446" s="191">
        <f>MAX(0,BM446-AK446)</f>
        <v/>
      </c>
      <c r="CB446" s="192">
        <f>MAX(0,BN446-AL446)</f>
        <v/>
      </c>
    </row>
    <row r="447">
      <c r="A447" s="64" t="inlineStr">
        <is>
          <t>43691842000140</t>
        </is>
      </c>
      <c r="B447" s="57" t="inlineStr">
        <is>
          <t>AUTO POSTO AFONSO PENA LTDA</t>
        </is>
      </c>
      <c r="C447" s="57" t="inlineStr">
        <is>
          <t>SEM GRUPO</t>
        </is>
      </c>
      <c r="D447" s="61" t="inlineStr">
        <is>
          <t>HEMANUELE DITZEL (MANU)</t>
        </is>
      </c>
      <c r="E447" s="30" t="inlineStr">
        <is>
          <t>.</t>
        </is>
      </c>
      <c r="F447" s="63" t="inlineStr"/>
      <c r="G447" s="179" t="inlineStr"/>
      <c r="H447" s="57" t="inlineStr"/>
      <c r="I447" s="57" t="inlineStr"/>
      <c r="J447" s="61" t="inlineStr"/>
      <c r="K447" s="30" t="inlineStr">
        <is>
          <t>.</t>
        </is>
      </c>
      <c r="L447" s="180" t="n">
        <v>1593.35</v>
      </c>
      <c r="M447" s="181" t="n">
        <v>111.97</v>
      </c>
      <c r="N447" s="181" t="n">
        <v>117</v>
      </c>
      <c r="O447" s="181" t="n">
        <v>119.82</v>
      </c>
      <c r="P447" s="181" t="n">
        <v>122.95</v>
      </c>
      <c r="Q447" s="181" t="n">
        <v>126.97</v>
      </c>
      <c r="R447" s="181" t="n">
        <v>130.3</v>
      </c>
      <c r="S447" s="181" t="n">
        <v>135.33</v>
      </c>
      <c r="T447" s="181" t="n">
        <v>138.65</v>
      </c>
      <c r="U447" s="181" t="n">
        <v>141.77</v>
      </c>
      <c r="V447" s="181" t="n">
        <v>145.3</v>
      </c>
      <c r="W447" s="181" t="n">
        <v>149.13</v>
      </c>
      <c r="X447" s="182" t="n">
        <v>154.16</v>
      </c>
      <c r="Y447" s="183" t="inlineStr">
        <is>
          <t>.</t>
        </is>
      </c>
      <c r="Z447" s="184">
        <f>SUM(AA447:AL447)</f>
        <v/>
      </c>
      <c r="AA447" s="185" t="n">
        <v>0</v>
      </c>
      <c r="AB447" s="185" t="n">
        <v>0</v>
      </c>
      <c r="AC447" s="185" t="n">
        <v>0</v>
      </c>
      <c r="AD447" s="185" t="n">
        <v>0</v>
      </c>
      <c r="AE447" s="185" t="n">
        <v>669.49</v>
      </c>
      <c r="AF447" s="185" t="n">
        <v>0</v>
      </c>
      <c r="AG447" s="185" t="n">
        <v>0</v>
      </c>
      <c r="AH447" s="185" t="n">
        <v>0</v>
      </c>
      <c r="AI447" s="185" t="n">
        <v>0</v>
      </c>
      <c r="AJ447" s="185" t="n">
        <v>0</v>
      </c>
      <c r="AK447" s="185" t="n">
        <v>0</v>
      </c>
      <c r="AL447" s="186" t="n">
        <v>0</v>
      </c>
      <c r="AM447" s="30" t="inlineStr">
        <is>
          <t>.</t>
        </is>
      </c>
      <c r="AN447" s="187">
        <f>IF(L447=0,0,Z447/L447)</f>
        <v/>
      </c>
      <c r="AO447" s="57">
        <f>IF(AN447&gt;=1,"🟢",IF(AN447&gt;=0.7,"🟡",IF(AN447&gt;=0.4,"🟠","🔴")))</f>
        <v/>
      </c>
      <c r="AP447" s="185">
        <f>L447-Z447</f>
        <v/>
      </c>
      <c r="AQ447" s="55">
        <f>RANK(Z447,$Z$4:$Z$503,0)</f>
        <v/>
      </c>
      <c r="AR447" s="39" t="inlineStr">
        <is>
          <t>.</t>
        </is>
      </c>
      <c r="AS447" s="27" t="n"/>
      <c r="AT447" s="27" t="n"/>
      <c r="AU447" s="27" t="n"/>
      <c r="AV447" s="27" t="n"/>
      <c r="AW447" s="27" t="n"/>
      <c r="AX447" s="27" t="n"/>
      <c r="AY447" s="204" t="n"/>
      <c r="AZ447" s="204" t="n"/>
      <c r="BA447" s="38" t="inlineStr">
        <is>
          <t>.</t>
        </is>
      </c>
      <c r="BB447" s="190">
        <f>SUM(BC447:BN447)</f>
        <v/>
      </c>
      <c r="BC447" s="191">
        <f>L447*0.0702730030</f>
        <v/>
      </c>
      <c r="BD447" s="191">
        <f>L447*0.0734327604</f>
        <v/>
      </c>
      <c r="BE447" s="191">
        <f>L447*0.0752022245</f>
        <v/>
      </c>
      <c r="BF447" s="191">
        <f>L447*0.0771612740</f>
        <v/>
      </c>
      <c r="BG447" s="191">
        <f>L447*0.0796890799</f>
        <v/>
      </c>
      <c r="BH447" s="191">
        <f>L447*0.0817745197</f>
        <v/>
      </c>
      <c r="BI447" s="191">
        <f>L447*0.0849342770</f>
        <v/>
      </c>
      <c r="BJ447" s="191">
        <f>L447*0.0870197169</f>
        <v/>
      </c>
      <c r="BK447" s="191">
        <f>L447*0.0889787664</f>
        <v/>
      </c>
      <c r="BL447" s="191">
        <f>L447*0.0911905966</f>
        <v/>
      </c>
      <c r="BM447" s="191">
        <f>L447*0.0935920121</f>
        <v/>
      </c>
      <c r="BN447" s="192">
        <f>L447*0.0967517695</f>
        <v/>
      </c>
      <c r="BO447" s="36" t="inlineStr">
        <is>
          <t>.</t>
        </is>
      </c>
      <c r="BP447" s="193">
        <f>SUM(BQ447:CB447)</f>
        <v/>
      </c>
      <c r="BQ447" s="191">
        <f>MAX(0,BC447-AA447)</f>
        <v/>
      </c>
      <c r="BR447" s="191">
        <f>MAX(0,BD447-AB447)</f>
        <v/>
      </c>
      <c r="BS447" s="191">
        <f>MAX(0,BE447-AC447)</f>
        <v/>
      </c>
      <c r="BT447" s="191">
        <f>MAX(0,BF447-AD447)</f>
        <v/>
      </c>
      <c r="BU447" s="191">
        <f>MAX(0,BG447-AE447)</f>
        <v/>
      </c>
      <c r="BV447" s="191">
        <f>MAX(0,BH447-AF447)</f>
        <v/>
      </c>
      <c r="BW447" s="191">
        <f>MAX(0,BI447-AG447)</f>
        <v/>
      </c>
      <c r="BX447" s="191">
        <f>MAX(0,BJ447-AH447)</f>
        <v/>
      </c>
      <c r="BY447" s="191">
        <f>MAX(0,BK447-AI447)</f>
        <v/>
      </c>
      <c r="BZ447" s="191">
        <f>MAX(0,BL447-AJ447)</f>
        <v/>
      </c>
      <c r="CA447" s="191">
        <f>MAX(0,BM447-AK447)</f>
        <v/>
      </c>
      <c r="CB447" s="192">
        <f>MAX(0,BN447-AL447)</f>
        <v/>
      </c>
    </row>
    <row r="448">
      <c r="A448" s="64" t="inlineStr">
        <is>
          <t>26423581000168</t>
        </is>
      </c>
      <c r="B448" s="57" t="inlineStr">
        <is>
          <t>NA COZINHA DO BEM EMPORIO NATURAL LTDA -</t>
        </is>
      </c>
      <c r="C448" s="57" t="inlineStr">
        <is>
          <t>SEM GRUPO</t>
        </is>
      </c>
      <c r="D448" s="61" t="inlineStr">
        <is>
          <t>LARISSA PADILHA</t>
        </is>
      </c>
      <c r="E448" s="30" t="inlineStr">
        <is>
          <t>.</t>
        </is>
      </c>
      <c r="F448" s="63" t="inlineStr"/>
      <c r="G448" s="179" t="inlineStr"/>
      <c r="H448" s="57" t="inlineStr"/>
      <c r="I448" s="57" t="inlineStr"/>
      <c r="J448" s="61" t="inlineStr"/>
      <c r="K448" s="30" t="inlineStr">
        <is>
          <t>.</t>
        </is>
      </c>
      <c r="L448" s="180" t="n">
        <v>1589.09</v>
      </c>
      <c r="M448" s="181" t="n">
        <v>111.67</v>
      </c>
      <c r="N448" s="181" t="n">
        <v>116.69</v>
      </c>
      <c r="O448" s="181" t="n">
        <v>119.5</v>
      </c>
      <c r="P448" s="181" t="n">
        <v>122.62</v>
      </c>
      <c r="Q448" s="181" t="n">
        <v>126.63</v>
      </c>
      <c r="R448" s="181" t="n">
        <v>129.95</v>
      </c>
      <c r="S448" s="181" t="n">
        <v>134.97</v>
      </c>
      <c r="T448" s="181" t="n">
        <v>138.28</v>
      </c>
      <c r="U448" s="181" t="n">
        <v>141.39</v>
      </c>
      <c r="V448" s="181" t="n">
        <v>144.91</v>
      </c>
      <c r="W448" s="181" t="n">
        <v>148.73</v>
      </c>
      <c r="X448" s="182" t="n">
        <v>153.75</v>
      </c>
      <c r="Y448" s="183" t="inlineStr">
        <is>
          <t>.</t>
        </is>
      </c>
      <c r="Z448" s="184">
        <f>SUM(AA448:AL448)</f>
        <v/>
      </c>
      <c r="AA448" s="185" t="n">
        <v>0</v>
      </c>
      <c r="AB448" s="185" t="n">
        <v>0</v>
      </c>
      <c r="AC448" s="185" t="n">
        <v>625.11</v>
      </c>
      <c r="AD448" s="185" t="n">
        <v>0</v>
      </c>
      <c r="AE448" s="185" t="n">
        <v>0</v>
      </c>
      <c r="AF448" s="185" t="n">
        <v>0</v>
      </c>
      <c r="AG448" s="185" t="n">
        <v>0</v>
      </c>
      <c r="AH448" s="185" t="n">
        <v>0</v>
      </c>
      <c r="AI448" s="185" t="n">
        <v>0</v>
      </c>
      <c r="AJ448" s="185" t="n">
        <v>0</v>
      </c>
      <c r="AK448" s="185" t="n">
        <v>0</v>
      </c>
      <c r="AL448" s="186" t="n">
        <v>0</v>
      </c>
      <c r="AM448" s="30" t="inlineStr">
        <is>
          <t>.</t>
        </is>
      </c>
      <c r="AN448" s="187">
        <f>IF(L448=0,0,Z448/L448)</f>
        <v/>
      </c>
      <c r="AO448" s="57">
        <f>IF(AN448&gt;=1,"🟢",IF(AN448&gt;=0.7,"🟡",IF(AN448&gt;=0.4,"🟠","🔴")))</f>
        <v/>
      </c>
      <c r="AP448" s="185">
        <f>L448-Z448</f>
        <v/>
      </c>
      <c r="AQ448" s="55">
        <f>RANK(Z448,$Z$4:$Z$503,0)</f>
        <v/>
      </c>
      <c r="AR448" s="39" t="inlineStr">
        <is>
          <t>.</t>
        </is>
      </c>
      <c r="AS448" s="27" t="n"/>
      <c r="AT448" s="27" t="n"/>
      <c r="AU448" s="27" t="n"/>
      <c r="AV448" s="27" t="n"/>
      <c r="AW448" s="27" t="n"/>
      <c r="AX448" s="27" t="n"/>
      <c r="AY448" s="204" t="n"/>
      <c r="AZ448" s="204" t="n"/>
      <c r="BA448" s="38" t="inlineStr">
        <is>
          <t>.</t>
        </is>
      </c>
      <c r="BB448" s="190">
        <f>SUM(BC448:BN448)</f>
        <v/>
      </c>
      <c r="BC448" s="191">
        <f>L448*0.0702730030</f>
        <v/>
      </c>
      <c r="BD448" s="191">
        <f>L448*0.0734327604</f>
        <v/>
      </c>
      <c r="BE448" s="191">
        <f>L448*0.0752022245</f>
        <v/>
      </c>
      <c r="BF448" s="191">
        <f>L448*0.0771612740</f>
        <v/>
      </c>
      <c r="BG448" s="191">
        <f>L448*0.0796890799</f>
        <v/>
      </c>
      <c r="BH448" s="191">
        <f>L448*0.0817745197</f>
        <v/>
      </c>
      <c r="BI448" s="191">
        <f>L448*0.0849342770</f>
        <v/>
      </c>
      <c r="BJ448" s="191">
        <f>L448*0.0870197169</f>
        <v/>
      </c>
      <c r="BK448" s="191">
        <f>L448*0.0889787664</f>
        <v/>
      </c>
      <c r="BL448" s="191">
        <f>L448*0.0911905966</f>
        <v/>
      </c>
      <c r="BM448" s="191">
        <f>L448*0.0935920121</f>
        <v/>
      </c>
      <c r="BN448" s="192">
        <f>L448*0.0967517695</f>
        <v/>
      </c>
      <c r="BO448" s="36" t="inlineStr">
        <is>
          <t>.</t>
        </is>
      </c>
      <c r="BP448" s="193">
        <f>SUM(BQ448:CB448)</f>
        <v/>
      </c>
      <c r="BQ448" s="191">
        <f>MAX(0,BC448-AA448)</f>
        <v/>
      </c>
      <c r="BR448" s="191">
        <f>MAX(0,BD448-AB448)</f>
        <v/>
      </c>
      <c r="BS448" s="191">
        <f>MAX(0,BE448-AC448)</f>
        <v/>
      </c>
      <c r="BT448" s="191">
        <f>MAX(0,BF448-AD448)</f>
        <v/>
      </c>
      <c r="BU448" s="191">
        <f>MAX(0,BG448-AE448)</f>
        <v/>
      </c>
      <c r="BV448" s="191">
        <f>MAX(0,BH448-AF448)</f>
        <v/>
      </c>
      <c r="BW448" s="191">
        <f>MAX(0,BI448-AG448)</f>
        <v/>
      </c>
      <c r="BX448" s="191">
        <f>MAX(0,BJ448-AH448)</f>
        <v/>
      </c>
      <c r="BY448" s="191">
        <f>MAX(0,BK448-AI448)</f>
        <v/>
      </c>
      <c r="BZ448" s="191">
        <f>MAX(0,BL448-AJ448)</f>
        <v/>
      </c>
      <c r="CA448" s="191">
        <f>MAX(0,BM448-AK448)</f>
        <v/>
      </c>
      <c r="CB448" s="192">
        <f>MAX(0,BN448-AL448)</f>
        <v/>
      </c>
    </row>
    <row r="449">
      <c r="A449" s="64" t="inlineStr">
        <is>
          <t>38272246000195</t>
        </is>
      </c>
      <c r="B449" s="57" t="inlineStr">
        <is>
          <t>CE.NHORINHA COZINHA FUNCIONAL LTDA - ME</t>
        </is>
      </c>
      <c r="C449" s="57" t="inlineStr">
        <is>
          <t>SEM GRUPO</t>
        </is>
      </c>
      <c r="D449" s="61" t="inlineStr">
        <is>
          <t>HEMANUELE DITZEL (MANU)</t>
        </is>
      </c>
      <c r="E449" s="30" t="inlineStr">
        <is>
          <t>.</t>
        </is>
      </c>
      <c r="F449" s="63" t="inlineStr"/>
      <c r="G449" s="179" t="inlineStr"/>
      <c r="H449" s="57" t="inlineStr"/>
      <c r="I449" s="57" t="inlineStr"/>
      <c r="J449" s="61" t="inlineStr"/>
      <c r="K449" s="30" t="inlineStr">
        <is>
          <t>.</t>
        </is>
      </c>
      <c r="L449" s="180" t="n">
        <v>1588.95</v>
      </c>
      <c r="M449" s="181" t="n">
        <v>111.66</v>
      </c>
      <c r="N449" s="181" t="n">
        <v>116.68</v>
      </c>
      <c r="O449" s="181" t="n">
        <v>119.49</v>
      </c>
      <c r="P449" s="181" t="n">
        <v>122.61</v>
      </c>
      <c r="Q449" s="181" t="n">
        <v>126.62</v>
      </c>
      <c r="R449" s="181" t="n">
        <v>129.94</v>
      </c>
      <c r="S449" s="181" t="n">
        <v>134.96</v>
      </c>
      <c r="T449" s="181" t="n">
        <v>138.27</v>
      </c>
      <c r="U449" s="181" t="n">
        <v>141.38</v>
      </c>
      <c r="V449" s="181" t="n">
        <v>144.9</v>
      </c>
      <c r="W449" s="181" t="n">
        <v>148.71</v>
      </c>
      <c r="X449" s="182" t="n">
        <v>153.73</v>
      </c>
      <c r="Y449" s="183" t="inlineStr">
        <is>
          <t>.</t>
        </is>
      </c>
      <c r="Z449" s="184">
        <f>SUM(AA449:AL449)</f>
        <v/>
      </c>
      <c r="AA449" s="185" t="n">
        <v>0</v>
      </c>
      <c r="AB449" s="185" t="n">
        <v>0</v>
      </c>
      <c r="AC449" s="185" t="n">
        <v>0</v>
      </c>
      <c r="AD449" s="185" t="n">
        <v>0</v>
      </c>
      <c r="AE449" s="185" t="n">
        <v>644.7</v>
      </c>
      <c r="AF449" s="185" t="n">
        <v>0</v>
      </c>
      <c r="AG449" s="185" t="n">
        <v>0</v>
      </c>
      <c r="AH449" s="185" t="n">
        <v>0</v>
      </c>
      <c r="AI449" s="185" t="n">
        <v>0</v>
      </c>
      <c r="AJ449" s="185" t="n">
        <v>0</v>
      </c>
      <c r="AK449" s="185" t="n">
        <v>0</v>
      </c>
      <c r="AL449" s="186" t="n">
        <v>0</v>
      </c>
      <c r="AM449" s="30" t="inlineStr">
        <is>
          <t>.</t>
        </is>
      </c>
      <c r="AN449" s="187">
        <f>IF(L449=0,0,Z449/L449)</f>
        <v/>
      </c>
      <c r="AO449" s="57">
        <f>IF(AN449&gt;=1,"🟢",IF(AN449&gt;=0.7,"🟡",IF(AN449&gt;=0.4,"🟠","🔴")))</f>
        <v/>
      </c>
      <c r="AP449" s="185">
        <f>L449-Z449</f>
        <v/>
      </c>
      <c r="AQ449" s="55">
        <f>RANK(Z449,$Z$4:$Z$503,0)</f>
        <v/>
      </c>
      <c r="AR449" s="39" t="inlineStr">
        <is>
          <t>.</t>
        </is>
      </c>
      <c r="AS449" s="27" t="n"/>
      <c r="AT449" s="27" t="n"/>
      <c r="AU449" s="27" t="n"/>
      <c r="AV449" s="27" t="n"/>
      <c r="AW449" s="27" t="n"/>
      <c r="AX449" s="27" t="n"/>
      <c r="AY449" s="204" t="n"/>
      <c r="AZ449" s="204" t="n"/>
      <c r="BA449" s="38" t="inlineStr">
        <is>
          <t>.</t>
        </is>
      </c>
      <c r="BB449" s="190">
        <f>SUM(BC449:BN449)</f>
        <v/>
      </c>
      <c r="BC449" s="191">
        <f>L449*0.0702730030</f>
        <v/>
      </c>
      <c r="BD449" s="191">
        <f>L449*0.0734327604</f>
        <v/>
      </c>
      <c r="BE449" s="191">
        <f>L449*0.0752022245</f>
        <v/>
      </c>
      <c r="BF449" s="191">
        <f>L449*0.0771612740</f>
        <v/>
      </c>
      <c r="BG449" s="191">
        <f>L449*0.0796890799</f>
        <v/>
      </c>
      <c r="BH449" s="191">
        <f>L449*0.0817745197</f>
        <v/>
      </c>
      <c r="BI449" s="191">
        <f>L449*0.0849342770</f>
        <v/>
      </c>
      <c r="BJ449" s="191">
        <f>L449*0.0870197169</f>
        <v/>
      </c>
      <c r="BK449" s="191">
        <f>L449*0.0889787664</f>
        <v/>
      </c>
      <c r="BL449" s="191">
        <f>L449*0.0911905966</f>
        <v/>
      </c>
      <c r="BM449" s="191">
        <f>L449*0.0935920121</f>
        <v/>
      </c>
      <c r="BN449" s="192">
        <f>L449*0.0967517695</f>
        <v/>
      </c>
      <c r="BO449" s="36" t="inlineStr">
        <is>
          <t>.</t>
        </is>
      </c>
      <c r="BP449" s="193">
        <f>SUM(BQ449:CB449)</f>
        <v/>
      </c>
      <c r="BQ449" s="191">
        <f>MAX(0,BC449-AA449)</f>
        <v/>
      </c>
      <c r="BR449" s="191">
        <f>MAX(0,BD449-AB449)</f>
        <v/>
      </c>
      <c r="BS449" s="191">
        <f>MAX(0,BE449-AC449)</f>
        <v/>
      </c>
      <c r="BT449" s="191">
        <f>MAX(0,BF449-AD449)</f>
        <v/>
      </c>
      <c r="BU449" s="191">
        <f>MAX(0,BG449-AE449)</f>
        <v/>
      </c>
      <c r="BV449" s="191">
        <f>MAX(0,BH449-AF449)</f>
        <v/>
      </c>
      <c r="BW449" s="191">
        <f>MAX(0,BI449-AG449)</f>
        <v/>
      </c>
      <c r="BX449" s="191">
        <f>MAX(0,BJ449-AH449)</f>
        <v/>
      </c>
      <c r="BY449" s="191">
        <f>MAX(0,BK449-AI449)</f>
        <v/>
      </c>
      <c r="BZ449" s="191">
        <f>MAX(0,BL449-AJ449)</f>
        <v/>
      </c>
      <c r="CA449" s="191">
        <f>MAX(0,BM449-AK449)</f>
        <v/>
      </c>
      <c r="CB449" s="192">
        <f>MAX(0,BN449-AL449)</f>
        <v/>
      </c>
    </row>
    <row r="450">
      <c r="A450" s="64" t="inlineStr">
        <is>
          <t>22570775000135</t>
        </is>
      </c>
      <c r="B450" s="57" t="inlineStr">
        <is>
          <t>AC PRODUTOS NATURAIS LTDA - ME</t>
        </is>
      </c>
      <c r="C450" s="57" t="inlineStr">
        <is>
          <t>CIA DA SAUDE</t>
        </is>
      </c>
      <c r="D450" s="61" t="inlineStr">
        <is>
          <t>JULIO GADRET</t>
        </is>
      </c>
      <c r="E450" s="30" t="inlineStr">
        <is>
          <t>.</t>
        </is>
      </c>
      <c r="F450" s="63" t="n">
        <v>163</v>
      </c>
      <c r="G450" s="179" t="n">
        <v>0.026</v>
      </c>
      <c r="H450" s="57" t="inlineStr">
        <is>
          <t>🔴 VERMELHO</t>
        </is>
      </c>
      <c r="I450" s="57" t="inlineStr">
        <is>
          <t>ATIVAÇÃO</t>
        </is>
      </c>
      <c r="J450" s="61" t="inlineStr">
        <is>
          <t>Reativar inativos + Prospectar</t>
        </is>
      </c>
      <c r="K450" s="30" t="inlineStr">
        <is>
          <t>.</t>
        </is>
      </c>
      <c r="L450" s="180" t="n">
        <v>1573.2</v>
      </c>
      <c r="M450" s="181" t="n">
        <v>110.55</v>
      </c>
      <c r="N450" s="181" t="n">
        <v>115.52</v>
      </c>
      <c r="O450" s="181" t="n">
        <v>118.31</v>
      </c>
      <c r="P450" s="181" t="n">
        <v>121.39</v>
      </c>
      <c r="Q450" s="181" t="n">
        <v>125.37</v>
      </c>
      <c r="R450" s="181" t="n">
        <v>128.65</v>
      </c>
      <c r="S450" s="181" t="n">
        <v>133.62</v>
      </c>
      <c r="T450" s="181" t="n">
        <v>136.9</v>
      </c>
      <c r="U450" s="181" t="n">
        <v>139.98</v>
      </c>
      <c r="V450" s="181" t="n">
        <v>143.46</v>
      </c>
      <c r="W450" s="181" t="n">
        <v>147.24</v>
      </c>
      <c r="X450" s="182" t="n">
        <v>152.21</v>
      </c>
      <c r="Y450" s="183" t="inlineStr">
        <is>
          <t>.</t>
        </is>
      </c>
      <c r="Z450" s="184">
        <f>SUM(AA450:AL450)</f>
        <v/>
      </c>
      <c r="AA450" s="185" t="n">
        <v>0</v>
      </c>
      <c r="AB450" s="185" t="n">
        <v>0</v>
      </c>
      <c r="AC450" s="185" t="n">
        <v>0</v>
      </c>
      <c r="AD450" s="185" t="n">
        <v>0</v>
      </c>
      <c r="AE450" s="185" t="n">
        <v>638.33</v>
      </c>
      <c r="AF450" s="185" t="n">
        <v>0</v>
      </c>
      <c r="AG450" s="185" t="n">
        <v>0</v>
      </c>
      <c r="AH450" s="185" t="n">
        <v>0</v>
      </c>
      <c r="AI450" s="185" t="n">
        <v>0</v>
      </c>
      <c r="AJ450" s="185" t="n">
        <v>0</v>
      </c>
      <c r="AK450" s="185" t="n">
        <v>0</v>
      </c>
      <c r="AL450" s="186" t="n">
        <v>0</v>
      </c>
      <c r="AM450" s="30" t="inlineStr">
        <is>
          <t>.</t>
        </is>
      </c>
      <c r="AN450" s="187">
        <f>IF(L450=0,0,Z450/L450)</f>
        <v/>
      </c>
      <c r="AO450" s="57">
        <f>IF(AN450&gt;=1,"🟢",IF(AN450&gt;=0.7,"🟡",IF(AN450&gt;=0.4,"🟠","🔴")))</f>
        <v/>
      </c>
      <c r="AP450" s="185">
        <f>L450-Z450</f>
        <v/>
      </c>
      <c r="AQ450" s="55">
        <f>RANK(Z450,$Z$4:$Z$503,0)</f>
        <v/>
      </c>
      <c r="AR450" s="39" t="inlineStr">
        <is>
          <t>.</t>
        </is>
      </c>
      <c r="AS450" s="27" t="n"/>
      <c r="AT450" s="27" t="n"/>
      <c r="AU450" s="27" t="n"/>
      <c r="AV450" s="27" t="n"/>
      <c r="AW450" s="27" t="n"/>
      <c r="AX450" s="27" t="n"/>
      <c r="AY450" s="204" t="n"/>
      <c r="AZ450" s="204" t="n"/>
      <c r="BA450" s="38" t="inlineStr">
        <is>
          <t>.</t>
        </is>
      </c>
      <c r="BB450" s="190">
        <f>SUM(BC450:BN450)</f>
        <v/>
      </c>
      <c r="BC450" s="191">
        <f>L450*0.0702730030</f>
        <v/>
      </c>
      <c r="BD450" s="191">
        <f>L450*0.0734327604</f>
        <v/>
      </c>
      <c r="BE450" s="191">
        <f>L450*0.0752022245</f>
        <v/>
      </c>
      <c r="BF450" s="191">
        <f>L450*0.0771612740</f>
        <v/>
      </c>
      <c r="BG450" s="191">
        <f>L450*0.0796890799</f>
        <v/>
      </c>
      <c r="BH450" s="191">
        <f>L450*0.0817745197</f>
        <v/>
      </c>
      <c r="BI450" s="191">
        <f>L450*0.0849342770</f>
        <v/>
      </c>
      <c r="BJ450" s="191">
        <f>L450*0.0870197169</f>
        <v/>
      </c>
      <c r="BK450" s="191">
        <f>L450*0.0889787664</f>
        <v/>
      </c>
      <c r="BL450" s="191">
        <f>L450*0.0911905966</f>
        <v/>
      </c>
      <c r="BM450" s="191">
        <f>L450*0.0935920121</f>
        <v/>
      </c>
      <c r="BN450" s="192">
        <f>L450*0.0967517695</f>
        <v/>
      </c>
      <c r="BO450" s="36" t="inlineStr">
        <is>
          <t>.</t>
        </is>
      </c>
      <c r="BP450" s="193">
        <f>SUM(BQ450:CB450)</f>
        <v/>
      </c>
      <c r="BQ450" s="191">
        <f>MAX(0,BC450-AA450)</f>
        <v/>
      </c>
      <c r="BR450" s="191">
        <f>MAX(0,BD450-AB450)</f>
        <v/>
      </c>
      <c r="BS450" s="191">
        <f>MAX(0,BE450-AC450)</f>
        <v/>
      </c>
      <c r="BT450" s="191">
        <f>MAX(0,BF450-AD450)</f>
        <v/>
      </c>
      <c r="BU450" s="191">
        <f>MAX(0,BG450-AE450)</f>
        <v/>
      </c>
      <c r="BV450" s="191">
        <f>MAX(0,BH450-AF450)</f>
        <v/>
      </c>
      <c r="BW450" s="191">
        <f>MAX(0,BI450-AG450)</f>
        <v/>
      </c>
      <c r="BX450" s="191">
        <f>MAX(0,BJ450-AH450)</f>
        <v/>
      </c>
      <c r="BY450" s="191">
        <f>MAX(0,BK450-AI450)</f>
        <v/>
      </c>
      <c r="BZ450" s="191">
        <f>MAX(0,BL450-AJ450)</f>
        <v/>
      </c>
      <c r="CA450" s="191">
        <f>MAX(0,BM450-AK450)</f>
        <v/>
      </c>
      <c r="CB450" s="192">
        <f>MAX(0,BN450-AL450)</f>
        <v/>
      </c>
    </row>
    <row r="451">
      <c r="A451" s="64" t="inlineStr">
        <is>
          <t>48681846000160</t>
        </is>
      </c>
      <c r="B451" s="57" t="inlineStr">
        <is>
          <t>SABOR DA ROCA EMPORIO LTDA - ME</t>
        </is>
      </c>
      <c r="C451" s="57" t="inlineStr">
        <is>
          <t>SEM GRUPO</t>
        </is>
      </c>
      <c r="D451" s="61" t="inlineStr">
        <is>
          <t>LARISSA PADILHA</t>
        </is>
      </c>
      <c r="E451" s="30" t="inlineStr">
        <is>
          <t>.</t>
        </is>
      </c>
      <c r="F451" s="63" t="inlineStr"/>
      <c r="G451" s="179" t="inlineStr"/>
      <c r="H451" s="57" t="inlineStr"/>
      <c r="I451" s="57" t="inlineStr"/>
      <c r="J451" s="61" t="inlineStr"/>
      <c r="K451" s="30" t="inlineStr">
        <is>
          <t>.</t>
        </is>
      </c>
      <c r="L451" s="180" t="n">
        <v>1567.89</v>
      </c>
      <c r="M451" s="181" t="n">
        <v>110.18</v>
      </c>
      <c r="N451" s="181" t="n">
        <v>115.13</v>
      </c>
      <c r="O451" s="181" t="n">
        <v>117.91</v>
      </c>
      <c r="P451" s="181" t="n">
        <v>120.98</v>
      </c>
      <c r="Q451" s="181" t="n">
        <v>124.94</v>
      </c>
      <c r="R451" s="181" t="n">
        <v>128.21</v>
      </c>
      <c r="S451" s="181" t="n">
        <v>133.17</v>
      </c>
      <c r="T451" s="181" t="n">
        <v>136.44</v>
      </c>
      <c r="U451" s="181" t="n">
        <v>139.51</v>
      </c>
      <c r="V451" s="181" t="n">
        <v>142.98</v>
      </c>
      <c r="W451" s="181" t="n">
        <v>146.74</v>
      </c>
      <c r="X451" s="182" t="n">
        <v>151.7</v>
      </c>
      <c r="Y451" s="183" t="inlineStr">
        <is>
          <t>.</t>
        </is>
      </c>
      <c r="Z451" s="184">
        <f>SUM(AA451:AL451)</f>
        <v/>
      </c>
      <c r="AA451" s="185" t="n">
        <v>0</v>
      </c>
      <c r="AB451" s="185" t="n">
        <v>0</v>
      </c>
      <c r="AC451" s="185" t="n">
        <v>0</v>
      </c>
      <c r="AD451" s="185" t="n">
        <v>0</v>
      </c>
      <c r="AE451" s="185" t="n">
        <v>0</v>
      </c>
      <c r="AF451" s="185" t="n">
        <v>0</v>
      </c>
      <c r="AG451" s="185" t="n">
        <v>795.26</v>
      </c>
      <c r="AH451" s="185" t="n">
        <v>0</v>
      </c>
      <c r="AI451" s="185" t="n">
        <v>0</v>
      </c>
      <c r="AJ451" s="185" t="n">
        <v>0</v>
      </c>
      <c r="AK451" s="185" t="n">
        <v>0</v>
      </c>
      <c r="AL451" s="186" t="n">
        <v>0</v>
      </c>
      <c r="AM451" s="30" t="inlineStr">
        <is>
          <t>.</t>
        </is>
      </c>
      <c r="AN451" s="187">
        <f>IF(L451=0,0,Z451/L451)</f>
        <v/>
      </c>
      <c r="AO451" s="57">
        <f>IF(AN451&gt;=1,"🟢",IF(AN451&gt;=0.7,"🟡",IF(AN451&gt;=0.4,"🟠","🔴")))</f>
        <v/>
      </c>
      <c r="AP451" s="185">
        <f>L451-Z451</f>
        <v/>
      </c>
      <c r="AQ451" s="55">
        <f>RANK(Z451,$Z$4:$Z$503,0)</f>
        <v/>
      </c>
      <c r="AR451" s="39" t="inlineStr">
        <is>
          <t>.</t>
        </is>
      </c>
      <c r="AS451" s="27" t="n"/>
      <c r="AT451" s="27" t="n"/>
      <c r="AU451" s="27" t="n"/>
      <c r="AV451" s="27" t="n"/>
      <c r="AW451" s="27" t="n"/>
      <c r="AX451" s="27" t="n"/>
      <c r="AY451" s="204" t="n"/>
      <c r="AZ451" s="204" t="n"/>
      <c r="BA451" s="38" t="inlineStr">
        <is>
          <t>.</t>
        </is>
      </c>
      <c r="BB451" s="190">
        <f>SUM(BC451:BN451)</f>
        <v/>
      </c>
      <c r="BC451" s="191">
        <f>L451*0.0702730030</f>
        <v/>
      </c>
      <c r="BD451" s="191">
        <f>L451*0.0734327604</f>
        <v/>
      </c>
      <c r="BE451" s="191">
        <f>L451*0.0752022245</f>
        <v/>
      </c>
      <c r="BF451" s="191">
        <f>L451*0.0771612740</f>
        <v/>
      </c>
      <c r="BG451" s="191">
        <f>L451*0.0796890799</f>
        <v/>
      </c>
      <c r="BH451" s="191">
        <f>L451*0.0817745197</f>
        <v/>
      </c>
      <c r="BI451" s="191">
        <f>L451*0.0849342770</f>
        <v/>
      </c>
      <c r="BJ451" s="191">
        <f>L451*0.0870197169</f>
        <v/>
      </c>
      <c r="BK451" s="191">
        <f>L451*0.0889787664</f>
        <v/>
      </c>
      <c r="BL451" s="191">
        <f>L451*0.0911905966</f>
        <v/>
      </c>
      <c r="BM451" s="191">
        <f>L451*0.0935920121</f>
        <v/>
      </c>
      <c r="BN451" s="192">
        <f>L451*0.0967517695</f>
        <v/>
      </c>
      <c r="BO451" s="36" t="inlineStr">
        <is>
          <t>.</t>
        </is>
      </c>
      <c r="BP451" s="193">
        <f>SUM(BQ451:CB451)</f>
        <v/>
      </c>
      <c r="BQ451" s="191">
        <f>MAX(0,BC451-AA451)</f>
        <v/>
      </c>
      <c r="BR451" s="191">
        <f>MAX(0,BD451-AB451)</f>
        <v/>
      </c>
      <c r="BS451" s="191">
        <f>MAX(0,BE451-AC451)</f>
        <v/>
      </c>
      <c r="BT451" s="191">
        <f>MAX(0,BF451-AD451)</f>
        <v/>
      </c>
      <c r="BU451" s="191">
        <f>MAX(0,BG451-AE451)</f>
        <v/>
      </c>
      <c r="BV451" s="191">
        <f>MAX(0,BH451-AF451)</f>
        <v/>
      </c>
      <c r="BW451" s="191">
        <f>MAX(0,BI451-AG451)</f>
        <v/>
      </c>
      <c r="BX451" s="191">
        <f>MAX(0,BJ451-AH451)</f>
        <v/>
      </c>
      <c r="BY451" s="191">
        <f>MAX(0,BK451-AI451)</f>
        <v/>
      </c>
      <c r="BZ451" s="191">
        <f>MAX(0,BL451-AJ451)</f>
        <v/>
      </c>
      <c r="CA451" s="191">
        <f>MAX(0,BM451-AK451)</f>
        <v/>
      </c>
      <c r="CB451" s="192">
        <f>MAX(0,BN451-AL451)</f>
        <v/>
      </c>
    </row>
    <row r="452">
      <c r="A452" s="64" t="inlineStr">
        <is>
          <t>59244884000172</t>
        </is>
      </c>
      <c r="B452" s="57" t="inlineStr">
        <is>
          <t>NATHALIA DE JESUS SILVA COSTA LTDA - ME</t>
        </is>
      </c>
      <c r="C452" s="57" t="inlineStr">
        <is>
          <t>SEM GRUPO</t>
        </is>
      </c>
      <c r="D452" s="61" t="inlineStr">
        <is>
          <t>LARISSA PADILHA</t>
        </is>
      </c>
      <c r="E452" s="30" t="inlineStr">
        <is>
          <t>.</t>
        </is>
      </c>
      <c r="F452" s="63" t="inlineStr"/>
      <c r="G452" s="179" t="inlineStr"/>
      <c r="H452" s="57" t="inlineStr"/>
      <c r="I452" s="57" t="inlineStr"/>
      <c r="J452" s="61" t="inlineStr"/>
      <c r="K452" s="30" t="inlineStr">
        <is>
          <t>.</t>
        </is>
      </c>
      <c r="L452" s="180" t="n">
        <v>1565.88</v>
      </c>
      <c r="M452" s="181" t="n">
        <v>110.04</v>
      </c>
      <c r="N452" s="181" t="n">
        <v>114.99</v>
      </c>
      <c r="O452" s="181" t="n">
        <v>117.76</v>
      </c>
      <c r="P452" s="181" t="n">
        <v>120.83</v>
      </c>
      <c r="Q452" s="181" t="n">
        <v>124.78</v>
      </c>
      <c r="R452" s="181" t="n">
        <v>128.05</v>
      </c>
      <c r="S452" s="181" t="n">
        <v>133</v>
      </c>
      <c r="T452" s="181" t="n">
        <v>136.26</v>
      </c>
      <c r="U452" s="181" t="n">
        <v>139.33</v>
      </c>
      <c r="V452" s="181" t="n">
        <v>142.79</v>
      </c>
      <c r="W452" s="181" t="n">
        <v>146.55</v>
      </c>
      <c r="X452" s="182" t="n">
        <v>151.5</v>
      </c>
      <c r="Y452" s="183" t="inlineStr">
        <is>
          <t>.</t>
        </is>
      </c>
      <c r="Z452" s="184">
        <f>SUM(AA452:AL452)</f>
        <v/>
      </c>
      <c r="AA452" s="185" t="n">
        <v>0</v>
      </c>
      <c r="AB452" s="185" t="n">
        <v>0</v>
      </c>
      <c r="AC452" s="185" t="n">
        <v>0</v>
      </c>
      <c r="AD452" s="185" t="n">
        <v>0</v>
      </c>
      <c r="AE452" s="185" t="n">
        <v>0</v>
      </c>
      <c r="AF452" s="185" t="n">
        <v>0</v>
      </c>
      <c r="AG452" s="185" t="n">
        <v>0</v>
      </c>
      <c r="AH452" s="185" t="n">
        <v>659.8200000000001</v>
      </c>
      <c r="AI452" s="185" t="n">
        <v>0</v>
      </c>
      <c r="AJ452" s="185" t="n">
        <v>0</v>
      </c>
      <c r="AK452" s="185" t="n">
        <v>0</v>
      </c>
      <c r="AL452" s="186" t="n">
        <v>0</v>
      </c>
      <c r="AM452" s="30" t="inlineStr">
        <is>
          <t>.</t>
        </is>
      </c>
      <c r="AN452" s="187">
        <f>IF(L452=0,0,Z452/L452)</f>
        <v/>
      </c>
      <c r="AO452" s="57">
        <f>IF(AN452&gt;=1,"🟢",IF(AN452&gt;=0.7,"🟡",IF(AN452&gt;=0.4,"🟠","🔴")))</f>
        <v/>
      </c>
      <c r="AP452" s="185">
        <f>L452-Z452</f>
        <v/>
      </c>
      <c r="AQ452" s="55">
        <f>RANK(Z452,$Z$4:$Z$503,0)</f>
        <v/>
      </c>
      <c r="AR452" s="39" t="inlineStr">
        <is>
          <t>.</t>
        </is>
      </c>
      <c r="AS452" s="27" t="n"/>
      <c r="AT452" s="27" t="n"/>
      <c r="AU452" s="27" t="n"/>
      <c r="AV452" s="27" t="n"/>
      <c r="AW452" s="27" t="n"/>
      <c r="AX452" s="27" t="n"/>
      <c r="AY452" s="204" t="n"/>
      <c r="AZ452" s="204" t="n"/>
      <c r="BA452" s="38" t="inlineStr">
        <is>
          <t>.</t>
        </is>
      </c>
      <c r="BB452" s="190">
        <f>SUM(BC452:BN452)</f>
        <v/>
      </c>
      <c r="BC452" s="191">
        <f>L452*0.0702730030</f>
        <v/>
      </c>
      <c r="BD452" s="191">
        <f>L452*0.0734327604</f>
        <v/>
      </c>
      <c r="BE452" s="191">
        <f>L452*0.0752022245</f>
        <v/>
      </c>
      <c r="BF452" s="191">
        <f>L452*0.0771612740</f>
        <v/>
      </c>
      <c r="BG452" s="191">
        <f>L452*0.0796890799</f>
        <v/>
      </c>
      <c r="BH452" s="191">
        <f>L452*0.0817745197</f>
        <v/>
      </c>
      <c r="BI452" s="191">
        <f>L452*0.0849342770</f>
        <v/>
      </c>
      <c r="BJ452" s="191">
        <f>L452*0.0870197169</f>
        <v/>
      </c>
      <c r="BK452" s="191">
        <f>L452*0.0889787664</f>
        <v/>
      </c>
      <c r="BL452" s="191">
        <f>L452*0.0911905966</f>
        <v/>
      </c>
      <c r="BM452" s="191">
        <f>L452*0.0935920121</f>
        <v/>
      </c>
      <c r="BN452" s="192">
        <f>L452*0.0967517695</f>
        <v/>
      </c>
      <c r="BO452" s="36" t="inlineStr">
        <is>
          <t>.</t>
        </is>
      </c>
      <c r="BP452" s="193">
        <f>SUM(BQ452:CB452)</f>
        <v/>
      </c>
      <c r="BQ452" s="191">
        <f>MAX(0,BC452-AA452)</f>
        <v/>
      </c>
      <c r="BR452" s="191">
        <f>MAX(0,BD452-AB452)</f>
        <v/>
      </c>
      <c r="BS452" s="191">
        <f>MAX(0,BE452-AC452)</f>
        <v/>
      </c>
      <c r="BT452" s="191">
        <f>MAX(0,BF452-AD452)</f>
        <v/>
      </c>
      <c r="BU452" s="191">
        <f>MAX(0,BG452-AE452)</f>
        <v/>
      </c>
      <c r="BV452" s="191">
        <f>MAX(0,BH452-AF452)</f>
        <v/>
      </c>
      <c r="BW452" s="191">
        <f>MAX(0,BI452-AG452)</f>
        <v/>
      </c>
      <c r="BX452" s="191">
        <f>MAX(0,BJ452-AH452)</f>
        <v/>
      </c>
      <c r="BY452" s="191">
        <f>MAX(0,BK452-AI452)</f>
        <v/>
      </c>
      <c r="BZ452" s="191">
        <f>MAX(0,BL452-AJ452)</f>
        <v/>
      </c>
      <c r="CA452" s="191">
        <f>MAX(0,BM452-AK452)</f>
        <v/>
      </c>
      <c r="CB452" s="192">
        <f>MAX(0,BN452-AL452)</f>
        <v/>
      </c>
    </row>
    <row r="453">
      <c r="A453" s="64" t="inlineStr">
        <is>
          <t>17304540000161</t>
        </is>
      </c>
      <c r="B453" s="57" t="inlineStr">
        <is>
          <t>NUTRICAO E SAUDE LTDA - ME</t>
        </is>
      </c>
      <c r="C453" s="57" t="inlineStr">
        <is>
          <t>SEM GRUPO</t>
        </is>
      </c>
      <c r="D453" s="61" t="inlineStr">
        <is>
          <t>HEMANUELE DITZEL (MANU)</t>
        </is>
      </c>
      <c r="E453" s="30" t="inlineStr">
        <is>
          <t>.</t>
        </is>
      </c>
      <c r="F453" s="63" t="inlineStr"/>
      <c r="G453" s="179" t="inlineStr"/>
      <c r="H453" s="57" t="inlineStr"/>
      <c r="I453" s="57" t="inlineStr"/>
      <c r="J453" s="61" t="inlineStr"/>
      <c r="K453" s="30" t="inlineStr">
        <is>
          <t>.</t>
        </is>
      </c>
      <c r="L453" s="180" t="n">
        <v>1533.31</v>
      </c>
      <c r="M453" s="181" t="n">
        <v>107.75</v>
      </c>
      <c r="N453" s="181" t="n">
        <v>112.59</v>
      </c>
      <c r="O453" s="181" t="n">
        <v>115.31</v>
      </c>
      <c r="P453" s="181" t="n">
        <v>118.31</v>
      </c>
      <c r="Q453" s="181" t="n">
        <v>122.19</v>
      </c>
      <c r="R453" s="181" t="n">
        <v>125.39</v>
      </c>
      <c r="S453" s="181" t="n">
        <v>130.23</v>
      </c>
      <c r="T453" s="181" t="n">
        <v>133.43</v>
      </c>
      <c r="U453" s="181" t="n">
        <v>136.43</v>
      </c>
      <c r="V453" s="181" t="n">
        <v>139.82</v>
      </c>
      <c r="W453" s="181" t="n">
        <v>143.51</v>
      </c>
      <c r="X453" s="182" t="n">
        <v>148.35</v>
      </c>
      <c r="Y453" s="183" t="inlineStr">
        <is>
          <t>.</t>
        </is>
      </c>
      <c r="Z453" s="184">
        <f>SUM(AA453:AL453)</f>
        <v/>
      </c>
      <c r="AA453" s="185" t="n">
        <v>0</v>
      </c>
      <c r="AB453" s="185" t="n">
        <v>0</v>
      </c>
      <c r="AC453" s="185" t="n">
        <v>603.17</v>
      </c>
      <c r="AD453" s="185" t="n">
        <v>0</v>
      </c>
      <c r="AE453" s="185" t="n">
        <v>0</v>
      </c>
      <c r="AF453" s="185" t="n">
        <v>0</v>
      </c>
      <c r="AG453" s="185" t="n">
        <v>0</v>
      </c>
      <c r="AH453" s="185" t="n">
        <v>0</v>
      </c>
      <c r="AI453" s="185" t="n">
        <v>0</v>
      </c>
      <c r="AJ453" s="185" t="n">
        <v>0</v>
      </c>
      <c r="AK453" s="185" t="n">
        <v>0</v>
      </c>
      <c r="AL453" s="186" t="n">
        <v>0</v>
      </c>
      <c r="AM453" s="30" t="inlineStr">
        <is>
          <t>.</t>
        </is>
      </c>
      <c r="AN453" s="187">
        <f>IF(L453=0,0,Z453/L453)</f>
        <v/>
      </c>
      <c r="AO453" s="57">
        <f>IF(AN453&gt;=1,"🟢",IF(AN453&gt;=0.7,"🟡",IF(AN453&gt;=0.4,"🟠","🔴")))</f>
        <v/>
      </c>
      <c r="AP453" s="185">
        <f>L453-Z453</f>
        <v/>
      </c>
      <c r="AQ453" s="55">
        <f>RANK(Z453,$Z$4:$Z$503,0)</f>
        <v/>
      </c>
      <c r="AR453" s="39" t="inlineStr">
        <is>
          <t>.</t>
        </is>
      </c>
      <c r="AS453" s="27" t="n"/>
      <c r="AT453" s="27" t="n"/>
      <c r="AU453" s="27" t="n"/>
      <c r="AV453" s="27" t="n"/>
      <c r="AW453" s="27" t="n"/>
      <c r="AX453" s="27" t="n"/>
      <c r="AY453" s="204" t="n"/>
      <c r="AZ453" s="204" t="n"/>
      <c r="BA453" s="38" t="inlineStr">
        <is>
          <t>.</t>
        </is>
      </c>
      <c r="BB453" s="190">
        <f>SUM(BC453:BN453)</f>
        <v/>
      </c>
      <c r="BC453" s="191">
        <f>L453*0.0702730030</f>
        <v/>
      </c>
      <c r="BD453" s="191">
        <f>L453*0.0734327604</f>
        <v/>
      </c>
      <c r="BE453" s="191">
        <f>L453*0.0752022245</f>
        <v/>
      </c>
      <c r="BF453" s="191">
        <f>L453*0.0771612740</f>
        <v/>
      </c>
      <c r="BG453" s="191">
        <f>L453*0.0796890799</f>
        <v/>
      </c>
      <c r="BH453" s="191">
        <f>L453*0.0817745197</f>
        <v/>
      </c>
      <c r="BI453" s="191">
        <f>L453*0.0849342770</f>
        <v/>
      </c>
      <c r="BJ453" s="191">
        <f>L453*0.0870197169</f>
        <v/>
      </c>
      <c r="BK453" s="191">
        <f>L453*0.0889787664</f>
        <v/>
      </c>
      <c r="BL453" s="191">
        <f>L453*0.0911905966</f>
        <v/>
      </c>
      <c r="BM453" s="191">
        <f>L453*0.0935920121</f>
        <v/>
      </c>
      <c r="BN453" s="192">
        <f>L453*0.0967517695</f>
        <v/>
      </c>
      <c r="BO453" s="36" t="inlineStr">
        <is>
          <t>.</t>
        </is>
      </c>
      <c r="BP453" s="193">
        <f>SUM(BQ453:CB453)</f>
        <v/>
      </c>
      <c r="BQ453" s="191">
        <f>MAX(0,BC453-AA453)</f>
        <v/>
      </c>
      <c r="BR453" s="191">
        <f>MAX(0,BD453-AB453)</f>
        <v/>
      </c>
      <c r="BS453" s="191">
        <f>MAX(0,BE453-AC453)</f>
        <v/>
      </c>
      <c r="BT453" s="191">
        <f>MAX(0,BF453-AD453)</f>
        <v/>
      </c>
      <c r="BU453" s="191">
        <f>MAX(0,BG453-AE453)</f>
        <v/>
      </c>
      <c r="BV453" s="191">
        <f>MAX(0,BH453-AF453)</f>
        <v/>
      </c>
      <c r="BW453" s="191">
        <f>MAX(0,BI453-AG453)</f>
        <v/>
      </c>
      <c r="BX453" s="191">
        <f>MAX(0,BJ453-AH453)</f>
        <v/>
      </c>
      <c r="BY453" s="191">
        <f>MAX(0,BK453-AI453)</f>
        <v/>
      </c>
      <c r="BZ453" s="191">
        <f>MAX(0,BL453-AJ453)</f>
        <v/>
      </c>
      <c r="CA453" s="191">
        <f>MAX(0,BM453-AK453)</f>
        <v/>
      </c>
      <c r="CB453" s="192">
        <f>MAX(0,BN453-AL453)</f>
        <v/>
      </c>
    </row>
    <row r="454">
      <c r="A454" s="64" t="inlineStr">
        <is>
          <t>39324235000174</t>
        </is>
      </c>
      <c r="B454" s="57" t="inlineStr">
        <is>
          <t>TOMAS COMERCIO DE ALIMENTOS LTDA - ME</t>
        </is>
      </c>
      <c r="C454" s="57" t="inlineStr">
        <is>
          <t>SEM GRUPO</t>
        </is>
      </c>
      <c r="D454" s="61" t="inlineStr">
        <is>
          <t>LARISSA PADILHA</t>
        </is>
      </c>
      <c r="E454" s="30" t="inlineStr">
        <is>
          <t>.</t>
        </is>
      </c>
      <c r="F454" s="63" t="inlineStr"/>
      <c r="G454" s="179" t="inlineStr"/>
      <c r="H454" s="57" t="inlineStr"/>
      <c r="I454" s="57" t="inlineStr"/>
      <c r="J454" s="61" t="inlineStr"/>
      <c r="K454" s="30" t="inlineStr">
        <is>
          <t>.</t>
        </is>
      </c>
      <c r="L454" s="180" t="n">
        <v>1525.82</v>
      </c>
      <c r="M454" s="181" t="n">
        <v>107.22</v>
      </c>
      <c r="N454" s="181" t="n">
        <v>112.05</v>
      </c>
      <c r="O454" s="181" t="n">
        <v>114.75</v>
      </c>
      <c r="P454" s="181" t="n">
        <v>117.73</v>
      </c>
      <c r="Q454" s="181" t="n">
        <v>121.59</v>
      </c>
      <c r="R454" s="181" t="n">
        <v>124.77</v>
      </c>
      <c r="S454" s="181" t="n">
        <v>129.59</v>
      </c>
      <c r="T454" s="181" t="n">
        <v>132.78</v>
      </c>
      <c r="U454" s="181" t="n">
        <v>135.77</v>
      </c>
      <c r="V454" s="181" t="n">
        <v>139.14</v>
      </c>
      <c r="W454" s="181" t="n">
        <v>142.8</v>
      </c>
      <c r="X454" s="182" t="n">
        <v>147.63</v>
      </c>
      <c r="Y454" s="183" t="inlineStr">
        <is>
          <t>.</t>
        </is>
      </c>
      <c r="Z454" s="184">
        <f>SUM(AA454:AL454)</f>
        <v/>
      </c>
      <c r="AA454" s="185" t="n">
        <v>0</v>
      </c>
      <c r="AB454" s="185" t="n">
        <v>0</v>
      </c>
      <c r="AC454" s="185" t="n">
        <v>0</v>
      </c>
      <c r="AD454" s="185" t="n">
        <v>541.01</v>
      </c>
      <c r="AE454" s="185" t="n">
        <v>0</v>
      </c>
      <c r="AF454" s="185" t="n">
        <v>0</v>
      </c>
      <c r="AG454" s="185" t="n">
        <v>0</v>
      </c>
      <c r="AH454" s="185" t="n">
        <v>0</v>
      </c>
      <c r="AI454" s="185" t="n">
        <v>0</v>
      </c>
      <c r="AJ454" s="185" t="n">
        <v>0</v>
      </c>
      <c r="AK454" s="185" t="n">
        <v>0</v>
      </c>
      <c r="AL454" s="186" t="n">
        <v>0</v>
      </c>
      <c r="AM454" s="30" t="inlineStr">
        <is>
          <t>.</t>
        </is>
      </c>
      <c r="AN454" s="187">
        <f>IF(L454=0,0,Z454/L454)</f>
        <v/>
      </c>
      <c r="AO454" s="57">
        <f>IF(AN454&gt;=1,"🟢",IF(AN454&gt;=0.7,"🟡",IF(AN454&gt;=0.4,"🟠","🔴")))</f>
        <v/>
      </c>
      <c r="AP454" s="185">
        <f>L454-Z454</f>
        <v/>
      </c>
      <c r="AQ454" s="55">
        <f>RANK(Z454,$Z$4:$Z$503,0)</f>
        <v/>
      </c>
      <c r="AR454" s="39" t="inlineStr">
        <is>
          <t>.</t>
        </is>
      </c>
      <c r="AS454" s="27" t="n"/>
      <c r="AT454" s="27" t="n"/>
      <c r="AU454" s="27" t="n"/>
      <c r="AV454" s="27" t="n"/>
      <c r="AW454" s="27" t="n"/>
      <c r="AX454" s="27" t="n"/>
      <c r="AY454" s="204" t="n"/>
      <c r="AZ454" s="204" t="n"/>
      <c r="BA454" s="38" t="inlineStr">
        <is>
          <t>.</t>
        </is>
      </c>
      <c r="BB454" s="190">
        <f>SUM(BC454:BN454)</f>
        <v/>
      </c>
      <c r="BC454" s="191">
        <f>L454*0.0702730030</f>
        <v/>
      </c>
      <c r="BD454" s="191">
        <f>L454*0.0734327604</f>
        <v/>
      </c>
      <c r="BE454" s="191">
        <f>L454*0.0752022245</f>
        <v/>
      </c>
      <c r="BF454" s="191">
        <f>L454*0.0771612740</f>
        <v/>
      </c>
      <c r="BG454" s="191">
        <f>L454*0.0796890799</f>
        <v/>
      </c>
      <c r="BH454" s="191">
        <f>L454*0.0817745197</f>
        <v/>
      </c>
      <c r="BI454" s="191">
        <f>L454*0.0849342770</f>
        <v/>
      </c>
      <c r="BJ454" s="191">
        <f>L454*0.0870197169</f>
        <v/>
      </c>
      <c r="BK454" s="191">
        <f>L454*0.0889787664</f>
        <v/>
      </c>
      <c r="BL454" s="191">
        <f>L454*0.0911905966</f>
        <v/>
      </c>
      <c r="BM454" s="191">
        <f>L454*0.0935920121</f>
        <v/>
      </c>
      <c r="BN454" s="192">
        <f>L454*0.0967517695</f>
        <v/>
      </c>
      <c r="BO454" s="36" t="inlineStr">
        <is>
          <t>.</t>
        </is>
      </c>
      <c r="BP454" s="193">
        <f>SUM(BQ454:CB454)</f>
        <v/>
      </c>
      <c r="BQ454" s="191">
        <f>MAX(0,BC454-AA454)</f>
        <v/>
      </c>
      <c r="BR454" s="191">
        <f>MAX(0,BD454-AB454)</f>
        <v/>
      </c>
      <c r="BS454" s="191">
        <f>MAX(0,BE454-AC454)</f>
        <v/>
      </c>
      <c r="BT454" s="191">
        <f>MAX(0,BF454-AD454)</f>
        <v/>
      </c>
      <c r="BU454" s="191">
        <f>MAX(0,BG454-AE454)</f>
        <v/>
      </c>
      <c r="BV454" s="191">
        <f>MAX(0,BH454-AF454)</f>
        <v/>
      </c>
      <c r="BW454" s="191">
        <f>MAX(0,BI454-AG454)</f>
        <v/>
      </c>
      <c r="BX454" s="191">
        <f>MAX(0,BJ454-AH454)</f>
        <v/>
      </c>
      <c r="BY454" s="191">
        <f>MAX(0,BK454-AI454)</f>
        <v/>
      </c>
      <c r="BZ454" s="191">
        <f>MAX(0,BL454-AJ454)</f>
        <v/>
      </c>
      <c r="CA454" s="191">
        <f>MAX(0,BM454-AK454)</f>
        <v/>
      </c>
      <c r="CB454" s="192">
        <f>MAX(0,BN454-AL454)</f>
        <v/>
      </c>
    </row>
    <row r="455">
      <c r="A455" s="64" t="inlineStr">
        <is>
          <t>51156959000151</t>
        </is>
      </c>
      <c r="B455" s="57" t="inlineStr">
        <is>
          <t>51.156.959 ELAINE CRISTINA KOERICH - ME</t>
        </is>
      </c>
      <c r="C455" s="57" t="inlineStr">
        <is>
          <t>SEM GRUPO</t>
        </is>
      </c>
      <c r="D455" s="61" t="inlineStr">
        <is>
          <t>HEMANUELE DITZEL (MANU)</t>
        </is>
      </c>
      <c r="E455" s="30" t="inlineStr">
        <is>
          <t>.</t>
        </is>
      </c>
      <c r="F455" s="63" t="inlineStr"/>
      <c r="G455" s="179" t="inlineStr"/>
      <c r="H455" s="57" t="inlineStr"/>
      <c r="I455" s="57" t="inlineStr"/>
      <c r="J455" s="61" t="inlineStr"/>
      <c r="K455" s="30" t="inlineStr">
        <is>
          <t>.</t>
        </is>
      </c>
      <c r="L455" s="180" t="n">
        <v>1496.95</v>
      </c>
      <c r="M455" s="181" t="n">
        <v>105.2</v>
      </c>
      <c r="N455" s="181" t="n">
        <v>109.93</v>
      </c>
      <c r="O455" s="181" t="n">
        <v>112.57</v>
      </c>
      <c r="P455" s="181" t="n">
        <v>115.51</v>
      </c>
      <c r="Q455" s="181" t="n">
        <v>119.29</v>
      </c>
      <c r="R455" s="181" t="n">
        <v>122.41</v>
      </c>
      <c r="S455" s="181" t="n">
        <v>127.14</v>
      </c>
      <c r="T455" s="181" t="n">
        <v>130.26</v>
      </c>
      <c r="U455" s="181" t="n">
        <v>133.2</v>
      </c>
      <c r="V455" s="181" t="n">
        <v>136.51</v>
      </c>
      <c r="W455" s="181" t="n">
        <v>140.1</v>
      </c>
      <c r="X455" s="182" t="n">
        <v>144.83</v>
      </c>
      <c r="Y455" s="183" t="inlineStr">
        <is>
          <t>.</t>
        </is>
      </c>
      <c r="Z455" s="184">
        <f>SUM(AA455:AL455)</f>
        <v/>
      </c>
      <c r="AA455" s="185" t="n">
        <v>0</v>
      </c>
      <c r="AB455" s="185" t="n">
        <v>0</v>
      </c>
      <c r="AC455" s="185" t="n">
        <v>0</v>
      </c>
      <c r="AD455" s="185" t="n">
        <v>0</v>
      </c>
      <c r="AE455" s="185" t="n">
        <v>0</v>
      </c>
      <c r="AF455" s="185" t="n">
        <v>0</v>
      </c>
      <c r="AG455" s="185" t="n">
        <v>0</v>
      </c>
      <c r="AH455" s="185" t="n">
        <v>0</v>
      </c>
      <c r="AI455" s="185" t="n">
        <v>0</v>
      </c>
      <c r="AJ455" s="185" t="n">
        <v>0</v>
      </c>
      <c r="AK455" s="185" t="n">
        <v>811.77</v>
      </c>
      <c r="AL455" s="186" t="n">
        <v>0</v>
      </c>
      <c r="AM455" s="30" t="inlineStr">
        <is>
          <t>.</t>
        </is>
      </c>
      <c r="AN455" s="187">
        <f>IF(L455=0,0,Z455/L455)</f>
        <v/>
      </c>
      <c r="AO455" s="57">
        <f>IF(AN455&gt;=1,"🟢",IF(AN455&gt;=0.7,"🟡",IF(AN455&gt;=0.4,"🟠","🔴")))</f>
        <v/>
      </c>
      <c r="AP455" s="185">
        <f>L455-Z455</f>
        <v/>
      </c>
      <c r="AQ455" s="55">
        <f>RANK(Z455,$Z$4:$Z$503,0)</f>
        <v/>
      </c>
      <c r="AR455" s="39" t="inlineStr">
        <is>
          <t>.</t>
        </is>
      </c>
      <c r="AS455" s="27" t="n"/>
      <c r="AT455" s="27" t="n"/>
      <c r="AU455" s="27" t="n"/>
      <c r="AV455" s="27" t="n"/>
      <c r="AW455" s="27" t="n"/>
      <c r="AX455" s="27" t="n"/>
      <c r="AY455" s="204" t="n"/>
      <c r="AZ455" s="204" t="n"/>
      <c r="BA455" s="38" t="inlineStr">
        <is>
          <t>.</t>
        </is>
      </c>
      <c r="BB455" s="190">
        <f>SUM(BC455:BN455)</f>
        <v/>
      </c>
      <c r="BC455" s="191">
        <f>L455*0.0702730030</f>
        <v/>
      </c>
      <c r="BD455" s="191">
        <f>L455*0.0734327604</f>
        <v/>
      </c>
      <c r="BE455" s="191">
        <f>L455*0.0752022245</f>
        <v/>
      </c>
      <c r="BF455" s="191">
        <f>L455*0.0771612740</f>
        <v/>
      </c>
      <c r="BG455" s="191">
        <f>L455*0.0796890799</f>
        <v/>
      </c>
      <c r="BH455" s="191">
        <f>L455*0.0817745197</f>
        <v/>
      </c>
      <c r="BI455" s="191">
        <f>L455*0.0849342770</f>
        <v/>
      </c>
      <c r="BJ455" s="191">
        <f>L455*0.0870197169</f>
        <v/>
      </c>
      <c r="BK455" s="191">
        <f>L455*0.0889787664</f>
        <v/>
      </c>
      <c r="BL455" s="191">
        <f>L455*0.0911905966</f>
        <v/>
      </c>
      <c r="BM455" s="191">
        <f>L455*0.0935920121</f>
        <v/>
      </c>
      <c r="BN455" s="192">
        <f>L455*0.0967517695</f>
        <v/>
      </c>
      <c r="BO455" s="36" t="inlineStr">
        <is>
          <t>.</t>
        </is>
      </c>
      <c r="BP455" s="193">
        <f>SUM(BQ455:CB455)</f>
        <v/>
      </c>
      <c r="BQ455" s="191">
        <f>MAX(0,BC455-AA455)</f>
        <v/>
      </c>
      <c r="BR455" s="191">
        <f>MAX(0,BD455-AB455)</f>
        <v/>
      </c>
      <c r="BS455" s="191">
        <f>MAX(0,BE455-AC455)</f>
        <v/>
      </c>
      <c r="BT455" s="191">
        <f>MAX(0,BF455-AD455)</f>
        <v/>
      </c>
      <c r="BU455" s="191">
        <f>MAX(0,BG455-AE455)</f>
        <v/>
      </c>
      <c r="BV455" s="191">
        <f>MAX(0,BH455-AF455)</f>
        <v/>
      </c>
      <c r="BW455" s="191">
        <f>MAX(0,BI455-AG455)</f>
        <v/>
      </c>
      <c r="BX455" s="191">
        <f>MAX(0,BJ455-AH455)</f>
        <v/>
      </c>
      <c r="BY455" s="191">
        <f>MAX(0,BK455-AI455)</f>
        <v/>
      </c>
      <c r="BZ455" s="191">
        <f>MAX(0,BL455-AJ455)</f>
        <v/>
      </c>
      <c r="CA455" s="191">
        <f>MAX(0,BM455-AK455)</f>
        <v/>
      </c>
      <c r="CB455" s="192">
        <f>MAX(0,BN455-AL455)</f>
        <v/>
      </c>
    </row>
    <row r="456">
      <c r="A456" s="64" t="inlineStr">
        <is>
          <t>47725529000136</t>
        </is>
      </c>
      <c r="B456" s="57" t="inlineStr">
        <is>
          <t>CATIMBAU PRODUTOS ALIMENTICIOS LTDA - EP</t>
        </is>
      </c>
      <c r="C456" s="57" t="inlineStr">
        <is>
          <t>SEM GRUPO</t>
        </is>
      </c>
      <c r="D456" s="61" t="inlineStr">
        <is>
          <t>LARISSA PADILHA</t>
        </is>
      </c>
      <c r="E456" s="30" t="inlineStr">
        <is>
          <t>.</t>
        </is>
      </c>
      <c r="F456" s="63" t="inlineStr"/>
      <c r="G456" s="179" t="inlineStr"/>
      <c r="H456" s="57" t="inlineStr"/>
      <c r="I456" s="57" t="inlineStr"/>
      <c r="J456" s="61" t="inlineStr"/>
      <c r="K456" s="30" t="inlineStr">
        <is>
          <t>.</t>
        </is>
      </c>
      <c r="L456" s="180" t="n">
        <v>1477.06</v>
      </c>
      <c r="M456" s="181" t="n">
        <v>103.8</v>
      </c>
      <c r="N456" s="181" t="n">
        <v>108.46</v>
      </c>
      <c r="O456" s="181" t="n">
        <v>111.08</v>
      </c>
      <c r="P456" s="181" t="n">
        <v>113.97</v>
      </c>
      <c r="Q456" s="181" t="n">
        <v>117.71</v>
      </c>
      <c r="R456" s="181" t="n">
        <v>120.79</v>
      </c>
      <c r="S456" s="181" t="n">
        <v>125.45</v>
      </c>
      <c r="T456" s="181" t="n">
        <v>128.53</v>
      </c>
      <c r="U456" s="181" t="n">
        <v>131.43</v>
      </c>
      <c r="V456" s="181" t="n">
        <v>134.69</v>
      </c>
      <c r="W456" s="181" t="n">
        <v>138.24</v>
      </c>
      <c r="X456" s="182" t="n">
        <v>142.91</v>
      </c>
      <c r="Y456" s="183" t="inlineStr">
        <is>
          <t>.</t>
        </is>
      </c>
      <c r="Z456" s="184">
        <f>SUM(AA456:AL456)</f>
        <v/>
      </c>
      <c r="AA456" s="185" t="n">
        <v>0</v>
      </c>
      <c r="AB456" s="185" t="n">
        <v>0</v>
      </c>
      <c r="AC456" s="185" t="n">
        <v>0</v>
      </c>
      <c r="AD456" s="185" t="n">
        <v>0</v>
      </c>
      <c r="AE456" s="185" t="n">
        <v>0</v>
      </c>
      <c r="AF456" s="185" t="n">
        <v>0</v>
      </c>
      <c r="AG456" s="185" t="n">
        <v>0</v>
      </c>
      <c r="AH456" s="185" t="n">
        <v>0</v>
      </c>
      <c r="AI456" s="185" t="n">
        <v>669.0599999999999</v>
      </c>
      <c r="AJ456" s="185" t="n">
        <v>0</v>
      </c>
      <c r="AK456" s="185" t="n">
        <v>0</v>
      </c>
      <c r="AL456" s="186" t="n">
        <v>0</v>
      </c>
      <c r="AM456" s="30" t="inlineStr">
        <is>
          <t>.</t>
        </is>
      </c>
      <c r="AN456" s="187">
        <f>IF(L456=0,0,Z456/L456)</f>
        <v/>
      </c>
      <c r="AO456" s="57">
        <f>IF(AN456&gt;=1,"🟢",IF(AN456&gt;=0.7,"🟡",IF(AN456&gt;=0.4,"🟠","🔴")))</f>
        <v/>
      </c>
      <c r="AP456" s="185">
        <f>L456-Z456</f>
        <v/>
      </c>
      <c r="AQ456" s="55">
        <f>RANK(Z456,$Z$4:$Z$503,0)</f>
        <v/>
      </c>
      <c r="AR456" s="39" t="inlineStr">
        <is>
          <t>.</t>
        </is>
      </c>
      <c r="AS456" s="27" t="n"/>
      <c r="AT456" s="27" t="n"/>
      <c r="AU456" s="27" t="n"/>
      <c r="AV456" s="27" t="n"/>
      <c r="AW456" s="27" t="n"/>
      <c r="AX456" s="27" t="n"/>
      <c r="AY456" s="204" t="n"/>
      <c r="AZ456" s="204" t="n"/>
      <c r="BA456" s="38" t="inlineStr">
        <is>
          <t>.</t>
        </is>
      </c>
      <c r="BB456" s="190">
        <f>SUM(BC456:BN456)</f>
        <v/>
      </c>
      <c r="BC456" s="191">
        <f>L456*0.0702730030</f>
        <v/>
      </c>
      <c r="BD456" s="191">
        <f>L456*0.0734327604</f>
        <v/>
      </c>
      <c r="BE456" s="191">
        <f>L456*0.0752022245</f>
        <v/>
      </c>
      <c r="BF456" s="191">
        <f>L456*0.0771612740</f>
        <v/>
      </c>
      <c r="BG456" s="191">
        <f>L456*0.0796890799</f>
        <v/>
      </c>
      <c r="BH456" s="191">
        <f>L456*0.0817745197</f>
        <v/>
      </c>
      <c r="BI456" s="191">
        <f>L456*0.0849342770</f>
        <v/>
      </c>
      <c r="BJ456" s="191">
        <f>L456*0.0870197169</f>
        <v/>
      </c>
      <c r="BK456" s="191">
        <f>L456*0.0889787664</f>
        <v/>
      </c>
      <c r="BL456" s="191">
        <f>L456*0.0911905966</f>
        <v/>
      </c>
      <c r="BM456" s="191">
        <f>L456*0.0935920121</f>
        <v/>
      </c>
      <c r="BN456" s="192">
        <f>L456*0.0967517695</f>
        <v/>
      </c>
      <c r="BO456" s="36" t="inlineStr">
        <is>
          <t>.</t>
        </is>
      </c>
      <c r="BP456" s="193">
        <f>SUM(BQ456:CB456)</f>
        <v/>
      </c>
      <c r="BQ456" s="191">
        <f>MAX(0,BC456-AA456)</f>
        <v/>
      </c>
      <c r="BR456" s="191">
        <f>MAX(0,BD456-AB456)</f>
        <v/>
      </c>
      <c r="BS456" s="191">
        <f>MAX(0,BE456-AC456)</f>
        <v/>
      </c>
      <c r="BT456" s="191">
        <f>MAX(0,BF456-AD456)</f>
        <v/>
      </c>
      <c r="BU456" s="191">
        <f>MAX(0,BG456-AE456)</f>
        <v/>
      </c>
      <c r="BV456" s="191">
        <f>MAX(0,BH456-AF456)</f>
        <v/>
      </c>
      <c r="BW456" s="191">
        <f>MAX(0,BI456-AG456)</f>
        <v/>
      </c>
      <c r="BX456" s="191">
        <f>MAX(0,BJ456-AH456)</f>
        <v/>
      </c>
      <c r="BY456" s="191">
        <f>MAX(0,BK456-AI456)</f>
        <v/>
      </c>
      <c r="BZ456" s="191">
        <f>MAX(0,BL456-AJ456)</f>
        <v/>
      </c>
      <c r="CA456" s="191">
        <f>MAX(0,BM456-AK456)</f>
        <v/>
      </c>
      <c r="CB456" s="192">
        <f>MAX(0,BN456-AL456)</f>
        <v/>
      </c>
    </row>
    <row r="457">
      <c r="A457" s="64" t="inlineStr">
        <is>
          <t>52575072000160</t>
        </is>
      </c>
      <c r="B457" s="57" t="inlineStr">
        <is>
          <t>52.575.072 ANA LETICIA PIRES PISTORI</t>
        </is>
      </c>
      <c r="C457" s="57" t="inlineStr">
        <is>
          <t>SEM GRUPO</t>
        </is>
      </c>
      <c r="D457" s="61" t="inlineStr">
        <is>
          <t>LARISSA PADILHA</t>
        </is>
      </c>
      <c r="E457" s="30" t="inlineStr">
        <is>
          <t>.</t>
        </is>
      </c>
      <c r="F457" s="63" t="inlineStr"/>
      <c r="G457" s="179" t="inlineStr"/>
      <c r="H457" s="57" t="inlineStr"/>
      <c r="I457" s="57" t="inlineStr"/>
      <c r="J457" s="61" t="inlineStr"/>
      <c r="K457" s="30" t="inlineStr">
        <is>
          <t>.</t>
        </is>
      </c>
      <c r="L457" s="180" t="n">
        <v>1472.48</v>
      </c>
      <c r="M457" s="181" t="n">
        <v>103.48</v>
      </c>
      <c r="N457" s="181" t="n">
        <v>108.13</v>
      </c>
      <c r="O457" s="181" t="n">
        <v>110.73</v>
      </c>
      <c r="P457" s="181" t="n">
        <v>113.62</v>
      </c>
      <c r="Q457" s="181" t="n">
        <v>117.34</v>
      </c>
      <c r="R457" s="181" t="n">
        <v>120.41</v>
      </c>
      <c r="S457" s="181" t="n">
        <v>125.06</v>
      </c>
      <c r="T457" s="181" t="n">
        <v>128.13</v>
      </c>
      <c r="U457" s="181" t="n">
        <v>131.02</v>
      </c>
      <c r="V457" s="181" t="n">
        <v>134.28</v>
      </c>
      <c r="W457" s="181" t="n">
        <v>137.81</v>
      </c>
      <c r="X457" s="182" t="n">
        <v>142.47</v>
      </c>
      <c r="Y457" s="183" t="inlineStr">
        <is>
          <t>.</t>
        </is>
      </c>
      <c r="Z457" s="184">
        <f>SUM(AA457:AL457)</f>
        <v/>
      </c>
      <c r="AA457" s="185" t="n">
        <v>0</v>
      </c>
      <c r="AB457" s="185" t="n">
        <v>0</v>
      </c>
      <c r="AC457" s="185" t="n">
        <v>0</v>
      </c>
      <c r="AD457" s="185" t="n">
        <v>0</v>
      </c>
      <c r="AE457" s="185" t="n">
        <v>0</v>
      </c>
      <c r="AF457" s="185" t="n">
        <v>0</v>
      </c>
      <c r="AG457" s="185" t="n">
        <v>0</v>
      </c>
      <c r="AH457" s="185" t="n">
        <v>620.46</v>
      </c>
      <c r="AI457" s="185" t="n">
        <v>0</v>
      </c>
      <c r="AJ457" s="185" t="n">
        <v>0</v>
      </c>
      <c r="AK457" s="185" t="n">
        <v>0</v>
      </c>
      <c r="AL457" s="186" t="n">
        <v>0</v>
      </c>
      <c r="AM457" s="30" t="inlineStr">
        <is>
          <t>.</t>
        </is>
      </c>
      <c r="AN457" s="187">
        <f>IF(L457=0,0,Z457/L457)</f>
        <v/>
      </c>
      <c r="AO457" s="57">
        <f>IF(AN457&gt;=1,"🟢",IF(AN457&gt;=0.7,"🟡",IF(AN457&gt;=0.4,"🟠","🔴")))</f>
        <v/>
      </c>
      <c r="AP457" s="185">
        <f>L457-Z457</f>
        <v/>
      </c>
      <c r="AQ457" s="55">
        <f>RANK(Z457,$Z$4:$Z$503,0)</f>
        <v/>
      </c>
      <c r="AR457" s="39" t="inlineStr">
        <is>
          <t>.</t>
        </is>
      </c>
      <c r="AS457" s="27" t="n"/>
      <c r="AT457" s="27" t="n"/>
      <c r="AU457" s="27" t="n"/>
      <c r="AV457" s="27" t="n"/>
      <c r="AW457" s="27" t="n"/>
      <c r="AX457" s="27" t="n"/>
      <c r="AY457" s="204" t="n"/>
      <c r="AZ457" s="204" t="n"/>
      <c r="BA457" s="38" t="inlineStr">
        <is>
          <t>.</t>
        </is>
      </c>
      <c r="BB457" s="190">
        <f>SUM(BC457:BN457)</f>
        <v/>
      </c>
      <c r="BC457" s="191">
        <f>L457*0.0702730030</f>
        <v/>
      </c>
      <c r="BD457" s="191">
        <f>L457*0.0734327604</f>
        <v/>
      </c>
      <c r="BE457" s="191">
        <f>L457*0.0752022245</f>
        <v/>
      </c>
      <c r="BF457" s="191">
        <f>L457*0.0771612740</f>
        <v/>
      </c>
      <c r="BG457" s="191">
        <f>L457*0.0796890799</f>
        <v/>
      </c>
      <c r="BH457" s="191">
        <f>L457*0.0817745197</f>
        <v/>
      </c>
      <c r="BI457" s="191">
        <f>L457*0.0849342770</f>
        <v/>
      </c>
      <c r="BJ457" s="191">
        <f>L457*0.0870197169</f>
        <v/>
      </c>
      <c r="BK457" s="191">
        <f>L457*0.0889787664</f>
        <v/>
      </c>
      <c r="BL457" s="191">
        <f>L457*0.0911905966</f>
        <v/>
      </c>
      <c r="BM457" s="191">
        <f>L457*0.0935920121</f>
        <v/>
      </c>
      <c r="BN457" s="192">
        <f>L457*0.0967517695</f>
        <v/>
      </c>
      <c r="BO457" s="36" t="inlineStr">
        <is>
          <t>.</t>
        </is>
      </c>
      <c r="BP457" s="193">
        <f>SUM(BQ457:CB457)</f>
        <v/>
      </c>
      <c r="BQ457" s="191">
        <f>MAX(0,BC457-AA457)</f>
        <v/>
      </c>
      <c r="BR457" s="191">
        <f>MAX(0,BD457-AB457)</f>
        <v/>
      </c>
      <c r="BS457" s="191">
        <f>MAX(0,BE457-AC457)</f>
        <v/>
      </c>
      <c r="BT457" s="191">
        <f>MAX(0,BF457-AD457)</f>
        <v/>
      </c>
      <c r="BU457" s="191">
        <f>MAX(0,BG457-AE457)</f>
        <v/>
      </c>
      <c r="BV457" s="191">
        <f>MAX(0,BH457-AF457)</f>
        <v/>
      </c>
      <c r="BW457" s="191">
        <f>MAX(0,BI457-AG457)</f>
        <v/>
      </c>
      <c r="BX457" s="191">
        <f>MAX(0,BJ457-AH457)</f>
        <v/>
      </c>
      <c r="BY457" s="191">
        <f>MAX(0,BK457-AI457)</f>
        <v/>
      </c>
      <c r="BZ457" s="191">
        <f>MAX(0,BL457-AJ457)</f>
        <v/>
      </c>
      <c r="CA457" s="191">
        <f>MAX(0,BM457-AK457)</f>
        <v/>
      </c>
      <c r="CB457" s="192">
        <f>MAX(0,BN457-AL457)</f>
        <v/>
      </c>
    </row>
    <row r="458">
      <c r="A458" s="64" t="inlineStr">
        <is>
          <t>59686644000128</t>
        </is>
      </c>
      <c r="B458" s="57" t="inlineStr">
        <is>
          <t>59.686.644 CARLA CAROLINE DE LIMA - ME</t>
        </is>
      </c>
      <c r="C458" s="57" t="inlineStr">
        <is>
          <t>SEM GRUPO</t>
        </is>
      </c>
      <c r="D458" s="61" t="inlineStr">
        <is>
          <t>LARISSA PADILHA</t>
        </is>
      </c>
      <c r="E458" s="30" t="inlineStr">
        <is>
          <t>.</t>
        </is>
      </c>
      <c r="F458" s="63" t="inlineStr"/>
      <c r="G458" s="179" t="inlineStr"/>
      <c r="H458" s="57" t="inlineStr"/>
      <c r="I458" s="57" t="inlineStr"/>
      <c r="J458" s="61" t="inlineStr"/>
      <c r="K458" s="30" t="inlineStr">
        <is>
          <t>.</t>
        </is>
      </c>
      <c r="L458" s="180" t="n">
        <v>1471.28</v>
      </c>
      <c r="M458" s="181" t="n">
        <v>103.39</v>
      </c>
      <c r="N458" s="181" t="n">
        <v>108.04</v>
      </c>
      <c r="O458" s="181" t="n">
        <v>110.64</v>
      </c>
      <c r="P458" s="181" t="n">
        <v>113.53</v>
      </c>
      <c r="Q458" s="181" t="n">
        <v>117.25</v>
      </c>
      <c r="R458" s="181" t="n">
        <v>120.31</v>
      </c>
      <c r="S458" s="181" t="n">
        <v>124.96</v>
      </c>
      <c r="T458" s="181" t="n">
        <v>128.03</v>
      </c>
      <c r="U458" s="181" t="n">
        <v>130.91</v>
      </c>
      <c r="V458" s="181" t="n">
        <v>134.17</v>
      </c>
      <c r="W458" s="181" t="n">
        <v>137.7</v>
      </c>
      <c r="X458" s="182" t="n">
        <v>142.35</v>
      </c>
      <c r="Y458" s="183" t="inlineStr">
        <is>
          <t>.</t>
        </is>
      </c>
      <c r="Z458" s="184">
        <f>SUM(AA458:AL458)</f>
        <v/>
      </c>
      <c r="AA458" s="185" t="n">
        <v>0</v>
      </c>
      <c r="AB458" s="185" t="n">
        <v>0</v>
      </c>
      <c r="AC458" s="185" t="n">
        <v>0</v>
      </c>
      <c r="AD458" s="185" t="n">
        <v>0</v>
      </c>
      <c r="AE458" s="185" t="n">
        <v>0</v>
      </c>
      <c r="AF458" s="185" t="n">
        <v>0</v>
      </c>
      <c r="AG458" s="185" t="n">
        <v>0</v>
      </c>
      <c r="AH458" s="185" t="n">
        <v>0</v>
      </c>
      <c r="AI458" s="185" t="n">
        <v>0</v>
      </c>
      <c r="AJ458" s="185" t="n">
        <v>0</v>
      </c>
      <c r="AK458" s="185" t="n">
        <v>0</v>
      </c>
      <c r="AL458" s="186" t="n">
        <v>648.4400000000001</v>
      </c>
      <c r="AM458" s="30" t="inlineStr">
        <is>
          <t>.</t>
        </is>
      </c>
      <c r="AN458" s="187">
        <f>IF(L458=0,0,Z458/L458)</f>
        <v/>
      </c>
      <c r="AO458" s="57">
        <f>IF(AN458&gt;=1,"🟢",IF(AN458&gt;=0.7,"🟡",IF(AN458&gt;=0.4,"🟠","🔴")))</f>
        <v/>
      </c>
      <c r="AP458" s="185">
        <f>L458-Z458</f>
        <v/>
      </c>
      <c r="AQ458" s="55">
        <f>RANK(Z458,$Z$4:$Z$503,0)</f>
        <v/>
      </c>
      <c r="AR458" s="39" t="inlineStr">
        <is>
          <t>.</t>
        </is>
      </c>
      <c r="AS458" s="27" t="n"/>
      <c r="AT458" s="27" t="n"/>
      <c r="AU458" s="27" t="n"/>
      <c r="AV458" s="27" t="n"/>
      <c r="AW458" s="27" t="n"/>
      <c r="AX458" s="27" t="n"/>
      <c r="AY458" s="204" t="n"/>
      <c r="AZ458" s="204" t="n"/>
      <c r="BA458" s="38" t="inlineStr">
        <is>
          <t>.</t>
        </is>
      </c>
      <c r="BB458" s="190">
        <f>SUM(BC458:BN458)</f>
        <v/>
      </c>
      <c r="BC458" s="191">
        <f>L458*0.0702730030</f>
        <v/>
      </c>
      <c r="BD458" s="191">
        <f>L458*0.0734327604</f>
        <v/>
      </c>
      <c r="BE458" s="191">
        <f>L458*0.0752022245</f>
        <v/>
      </c>
      <c r="BF458" s="191">
        <f>L458*0.0771612740</f>
        <v/>
      </c>
      <c r="BG458" s="191">
        <f>L458*0.0796890799</f>
        <v/>
      </c>
      <c r="BH458" s="191">
        <f>L458*0.0817745197</f>
        <v/>
      </c>
      <c r="BI458" s="191">
        <f>L458*0.0849342770</f>
        <v/>
      </c>
      <c r="BJ458" s="191">
        <f>L458*0.0870197169</f>
        <v/>
      </c>
      <c r="BK458" s="191">
        <f>L458*0.0889787664</f>
        <v/>
      </c>
      <c r="BL458" s="191">
        <f>L458*0.0911905966</f>
        <v/>
      </c>
      <c r="BM458" s="191">
        <f>L458*0.0935920121</f>
        <v/>
      </c>
      <c r="BN458" s="192">
        <f>L458*0.0967517695</f>
        <v/>
      </c>
      <c r="BO458" s="36" t="inlineStr">
        <is>
          <t>.</t>
        </is>
      </c>
      <c r="BP458" s="193">
        <f>SUM(BQ458:CB458)</f>
        <v/>
      </c>
      <c r="BQ458" s="191">
        <f>MAX(0,BC458-AA458)</f>
        <v/>
      </c>
      <c r="BR458" s="191">
        <f>MAX(0,BD458-AB458)</f>
        <v/>
      </c>
      <c r="BS458" s="191">
        <f>MAX(0,BE458-AC458)</f>
        <v/>
      </c>
      <c r="BT458" s="191">
        <f>MAX(0,BF458-AD458)</f>
        <v/>
      </c>
      <c r="BU458" s="191">
        <f>MAX(0,BG458-AE458)</f>
        <v/>
      </c>
      <c r="BV458" s="191">
        <f>MAX(0,BH458-AF458)</f>
        <v/>
      </c>
      <c r="BW458" s="191">
        <f>MAX(0,BI458-AG458)</f>
        <v/>
      </c>
      <c r="BX458" s="191">
        <f>MAX(0,BJ458-AH458)</f>
        <v/>
      </c>
      <c r="BY458" s="191">
        <f>MAX(0,BK458-AI458)</f>
        <v/>
      </c>
      <c r="BZ458" s="191">
        <f>MAX(0,BL458-AJ458)</f>
        <v/>
      </c>
      <c r="CA458" s="191">
        <f>MAX(0,BM458-AK458)</f>
        <v/>
      </c>
      <c r="CB458" s="192">
        <f>MAX(0,BN458-AL458)</f>
        <v/>
      </c>
    </row>
    <row r="459">
      <c r="A459" s="64" t="inlineStr">
        <is>
          <t>39290070000167</t>
        </is>
      </c>
      <c r="B459" s="57" t="inlineStr">
        <is>
          <t>MIL FOLHAS PREMIUM LTDA - ME</t>
        </is>
      </c>
      <c r="C459" s="57" t="inlineStr">
        <is>
          <t>SEM GRUPO</t>
        </is>
      </c>
      <c r="D459" s="61" t="inlineStr">
        <is>
          <t>LARISSA PADILHA</t>
        </is>
      </c>
      <c r="E459" s="30" t="inlineStr">
        <is>
          <t>.</t>
        </is>
      </c>
      <c r="F459" s="63" t="inlineStr"/>
      <c r="G459" s="179" t="inlineStr"/>
      <c r="H459" s="57" t="inlineStr"/>
      <c r="I459" s="57" t="inlineStr"/>
      <c r="J459" s="61" t="inlineStr"/>
      <c r="K459" s="30" t="inlineStr">
        <is>
          <t>.</t>
        </is>
      </c>
      <c r="L459" s="180" t="n">
        <v>1455.03</v>
      </c>
      <c r="M459" s="181" t="n">
        <v>102.25</v>
      </c>
      <c r="N459" s="181" t="n">
        <v>106.85</v>
      </c>
      <c r="O459" s="181" t="n">
        <v>109.42</v>
      </c>
      <c r="P459" s="181" t="n">
        <v>112.27</v>
      </c>
      <c r="Q459" s="181" t="n">
        <v>115.95</v>
      </c>
      <c r="R459" s="181" t="n">
        <v>118.98</v>
      </c>
      <c r="S459" s="181" t="n">
        <v>123.58</v>
      </c>
      <c r="T459" s="181" t="n">
        <v>126.62</v>
      </c>
      <c r="U459" s="181" t="n">
        <v>129.47</v>
      </c>
      <c r="V459" s="181" t="n">
        <v>132.68</v>
      </c>
      <c r="W459" s="181" t="n">
        <v>136.18</v>
      </c>
      <c r="X459" s="182" t="n">
        <v>140.78</v>
      </c>
      <c r="Y459" s="183" t="inlineStr">
        <is>
          <t>.</t>
        </is>
      </c>
      <c r="Z459" s="184">
        <f>SUM(AA459:AL459)</f>
        <v/>
      </c>
      <c r="AA459" s="185" t="n">
        <v>0</v>
      </c>
      <c r="AB459" s="185" t="n">
        <v>0</v>
      </c>
      <c r="AC459" s="185" t="n">
        <v>0</v>
      </c>
      <c r="AD459" s="185" t="n">
        <v>0</v>
      </c>
      <c r="AE459" s="185" t="n">
        <v>0</v>
      </c>
      <c r="AF459" s="185" t="n">
        <v>584.3099999999999</v>
      </c>
      <c r="AG459" s="185" t="n">
        <v>0</v>
      </c>
      <c r="AH459" s="185" t="n">
        <v>0</v>
      </c>
      <c r="AI459" s="185" t="n">
        <v>0</v>
      </c>
      <c r="AJ459" s="185" t="n">
        <v>0</v>
      </c>
      <c r="AK459" s="185" t="n">
        <v>0</v>
      </c>
      <c r="AL459" s="186" t="n">
        <v>0</v>
      </c>
      <c r="AM459" s="30" t="inlineStr">
        <is>
          <t>.</t>
        </is>
      </c>
      <c r="AN459" s="187">
        <f>IF(L459=0,0,Z459/L459)</f>
        <v/>
      </c>
      <c r="AO459" s="57">
        <f>IF(AN459&gt;=1,"🟢",IF(AN459&gt;=0.7,"🟡",IF(AN459&gt;=0.4,"🟠","🔴")))</f>
        <v/>
      </c>
      <c r="AP459" s="185">
        <f>L459-Z459</f>
        <v/>
      </c>
      <c r="AQ459" s="55">
        <f>RANK(Z459,$Z$4:$Z$503,0)</f>
        <v/>
      </c>
      <c r="AR459" s="39" t="inlineStr">
        <is>
          <t>.</t>
        </is>
      </c>
      <c r="AS459" s="27" t="n"/>
      <c r="AT459" s="27" t="n"/>
      <c r="AU459" s="27" t="n"/>
      <c r="AV459" s="27" t="n"/>
      <c r="AW459" s="27" t="n"/>
      <c r="AX459" s="27" t="n"/>
      <c r="AY459" s="204" t="n"/>
      <c r="AZ459" s="204" t="n"/>
      <c r="BA459" s="38" t="inlineStr">
        <is>
          <t>.</t>
        </is>
      </c>
      <c r="BB459" s="190">
        <f>SUM(BC459:BN459)</f>
        <v/>
      </c>
      <c r="BC459" s="191">
        <f>L459*0.0702730030</f>
        <v/>
      </c>
      <c r="BD459" s="191">
        <f>L459*0.0734327604</f>
        <v/>
      </c>
      <c r="BE459" s="191">
        <f>L459*0.0752022245</f>
        <v/>
      </c>
      <c r="BF459" s="191">
        <f>L459*0.0771612740</f>
        <v/>
      </c>
      <c r="BG459" s="191">
        <f>L459*0.0796890799</f>
        <v/>
      </c>
      <c r="BH459" s="191">
        <f>L459*0.0817745197</f>
        <v/>
      </c>
      <c r="BI459" s="191">
        <f>L459*0.0849342770</f>
        <v/>
      </c>
      <c r="BJ459" s="191">
        <f>L459*0.0870197169</f>
        <v/>
      </c>
      <c r="BK459" s="191">
        <f>L459*0.0889787664</f>
        <v/>
      </c>
      <c r="BL459" s="191">
        <f>L459*0.0911905966</f>
        <v/>
      </c>
      <c r="BM459" s="191">
        <f>L459*0.0935920121</f>
        <v/>
      </c>
      <c r="BN459" s="192">
        <f>L459*0.0967517695</f>
        <v/>
      </c>
      <c r="BO459" s="36" t="inlineStr">
        <is>
          <t>.</t>
        </is>
      </c>
      <c r="BP459" s="193">
        <f>SUM(BQ459:CB459)</f>
        <v/>
      </c>
      <c r="BQ459" s="191">
        <f>MAX(0,BC459-AA459)</f>
        <v/>
      </c>
      <c r="BR459" s="191">
        <f>MAX(0,BD459-AB459)</f>
        <v/>
      </c>
      <c r="BS459" s="191">
        <f>MAX(0,BE459-AC459)</f>
        <v/>
      </c>
      <c r="BT459" s="191">
        <f>MAX(0,BF459-AD459)</f>
        <v/>
      </c>
      <c r="BU459" s="191">
        <f>MAX(0,BG459-AE459)</f>
        <v/>
      </c>
      <c r="BV459" s="191">
        <f>MAX(0,BH459-AF459)</f>
        <v/>
      </c>
      <c r="BW459" s="191">
        <f>MAX(0,BI459-AG459)</f>
        <v/>
      </c>
      <c r="BX459" s="191">
        <f>MAX(0,BJ459-AH459)</f>
        <v/>
      </c>
      <c r="BY459" s="191">
        <f>MAX(0,BK459-AI459)</f>
        <v/>
      </c>
      <c r="BZ459" s="191">
        <f>MAX(0,BL459-AJ459)</f>
        <v/>
      </c>
      <c r="CA459" s="191">
        <f>MAX(0,BM459-AK459)</f>
        <v/>
      </c>
      <c r="CB459" s="192">
        <f>MAX(0,BN459-AL459)</f>
        <v/>
      </c>
    </row>
    <row r="460">
      <c r="A460" s="64" t="inlineStr">
        <is>
          <t>61835839000134</t>
        </is>
      </c>
      <c r="B460" s="57" t="inlineStr">
        <is>
          <t>THE HOUSE BR PRODUTOS E SERVICOS DE BEM-</t>
        </is>
      </c>
      <c r="C460" s="57" t="inlineStr">
        <is>
          <t>SEM GRUPO</t>
        </is>
      </c>
      <c r="D460" s="61" t="inlineStr">
        <is>
          <t>HEMANUELE DITZEL (MANU)</t>
        </is>
      </c>
      <c r="E460" s="30" t="inlineStr">
        <is>
          <t>.</t>
        </is>
      </c>
      <c r="F460" s="63" t="inlineStr"/>
      <c r="G460" s="179" t="inlineStr"/>
      <c r="H460" s="57" t="inlineStr"/>
      <c r="I460" s="57" t="inlineStr"/>
      <c r="J460" s="61" t="inlineStr"/>
      <c r="K460" s="30" t="inlineStr">
        <is>
          <t>.</t>
        </is>
      </c>
      <c r="L460" s="180" t="n">
        <v>1453.8</v>
      </c>
      <c r="M460" s="181" t="n">
        <v>102.16</v>
      </c>
      <c r="N460" s="181" t="n">
        <v>106.76</v>
      </c>
      <c r="O460" s="181" t="n">
        <v>109.33</v>
      </c>
      <c r="P460" s="181" t="n">
        <v>112.18</v>
      </c>
      <c r="Q460" s="181" t="n">
        <v>115.85</v>
      </c>
      <c r="R460" s="181" t="n">
        <v>118.88</v>
      </c>
      <c r="S460" s="181" t="n">
        <v>123.48</v>
      </c>
      <c r="T460" s="181" t="n">
        <v>126.51</v>
      </c>
      <c r="U460" s="181" t="n">
        <v>129.36</v>
      </c>
      <c r="V460" s="181" t="n">
        <v>132.57</v>
      </c>
      <c r="W460" s="181" t="n">
        <v>136.06</v>
      </c>
      <c r="X460" s="182" t="n">
        <v>140.66</v>
      </c>
      <c r="Y460" s="183" t="inlineStr">
        <is>
          <t>.</t>
        </is>
      </c>
      <c r="Z460" s="184">
        <f>SUM(AA460:AL460)</f>
        <v/>
      </c>
      <c r="AA460" s="185" t="n">
        <v>0</v>
      </c>
      <c r="AB460" s="185" t="n">
        <v>0</v>
      </c>
      <c r="AC460" s="185" t="n">
        <v>0</v>
      </c>
      <c r="AD460" s="185" t="n">
        <v>0</v>
      </c>
      <c r="AE460" s="185" t="n">
        <v>0</v>
      </c>
      <c r="AF460" s="185" t="n">
        <v>0</v>
      </c>
      <c r="AG460" s="185" t="n">
        <v>0</v>
      </c>
      <c r="AH460" s="185" t="n">
        <v>0</v>
      </c>
      <c r="AI460" s="185" t="n">
        <v>0</v>
      </c>
      <c r="AJ460" s="185" t="n">
        <v>169.75</v>
      </c>
      <c r="AK460" s="185" t="n">
        <v>616.3099999999999</v>
      </c>
      <c r="AL460" s="186" t="n">
        <v>0</v>
      </c>
      <c r="AM460" s="30" t="inlineStr">
        <is>
          <t>.</t>
        </is>
      </c>
      <c r="AN460" s="187">
        <f>IF(L460=0,0,Z460/L460)</f>
        <v/>
      </c>
      <c r="AO460" s="57">
        <f>IF(AN460&gt;=1,"🟢",IF(AN460&gt;=0.7,"🟡",IF(AN460&gt;=0.4,"🟠","🔴")))</f>
        <v/>
      </c>
      <c r="AP460" s="185">
        <f>L460-Z460</f>
        <v/>
      </c>
      <c r="AQ460" s="55">
        <f>RANK(Z460,$Z$4:$Z$503,0)</f>
        <v/>
      </c>
      <c r="AR460" s="39" t="inlineStr">
        <is>
          <t>.</t>
        </is>
      </c>
      <c r="AS460" s="27" t="n"/>
      <c r="AT460" s="27" t="n"/>
      <c r="AU460" s="27" t="n"/>
      <c r="AV460" s="27" t="n"/>
      <c r="AW460" s="27" t="n"/>
      <c r="AX460" s="27" t="n"/>
      <c r="AY460" s="204" t="n"/>
      <c r="AZ460" s="204" t="n"/>
      <c r="BA460" s="38" t="inlineStr">
        <is>
          <t>.</t>
        </is>
      </c>
      <c r="BB460" s="190">
        <f>SUM(BC460:BN460)</f>
        <v/>
      </c>
      <c r="BC460" s="191">
        <f>L460*0.0702730030</f>
        <v/>
      </c>
      <c r="BD460" s="191">
        <f>L460*0.0734327604</f>
        <v/>
      </c>
      <c r="BE460" s="191">
        <f>L460*0.0752022245</f>
        <v/>
      </c>
      <c r="BF460" s="191">
        <f>L460*0.0771612740</f>
        <v/>
      </c>
      <c r="BG460" s="191">
        <f>L460*0.0796890799</f>
        <v/>
      </c>
      <c r="BH460" s="191">
        <f>L460*0.0817745197</f>
        <v/>
      </c>
      <c r="BI460" s="191">
        <f>L460*0.0849342770</f>
        <v/>
      </c>
      <c r="BJ460" s="191">
        <f>L460*0.0870197169</f>
        <v/>
      </c>
      <c r="BK460" s="191">
        <f>L460*0.0889787664</f>
        <v/>
      </c>
      <c r="BL460" s="191">
        <f>L460*0.0911905966</f>
        <v/>
      </c>
      <c r="BM460" s="191">
        <f>L460*0.0935920121</f>
        <v/>
      </c>
      <c r="BN460" s="192">
        <f>L460*0.0967517695</f>
        <v/>
      </c>
      <c r="BO460" s="36" t="inlineStr">
        <is>
          <t>.</t>
        </is>
      </c>
      <c r="BP460" s="193">
        <f>SUM(BQ460:CB460)</f>
        <v/>
      </c>
      <c r="BQ460" s="191">
        <f>MAX(0,BC460-AA460)</f>
        <v/>
      </c>
      <c r="BR460" s="191">
        <f>MAX(0,BD460-AB460)</f>
        <v/>
      </c>
      <c r="BS460" s="191">
        <f>MAX(0,BE460-AC460)</f>
        <v/>
      </c>
      <c r="BT460" s="191">
        <f>MAX(0,BF460-AD460)</f>
        <v/>
      </c>
      <c r="BU460" s="191">
        <f>MAX(0,BG460-AE460)</f>
        <v/>
      </c>
      <c r="BV460" s="191">
        <f>MAX(0,BH460-AF460)</f>
        <v/>
      </c>
      <c r="BW460" s="191">
        <f>MAX(0,BI460-AG460)</f>
        <v/>
      </c>
      <c r="BX460" s="191">
        <f>MAX(0,BJ460-AH460)</f>
        <v/>
      </c>
      <c r="BY460" s="191">
        <f>MAX(0,BK460-AI460)</f>
        <v/>
      </c>
      <c r="BZ460" s="191">
        <f>MAX(0,BL460-AJ460)</f>
        <v/>
      </c>
      <c r="CA460" s="191">
        <f>MAX(0,BM460-AK460)</f>
        <v/>
      </c>
      <c r="CB460" s="192">
        <f>MAX(0,BN460-AL460)</f>
        <v/>
      </c>
    </row>
    <row r="461">
      <c r="A461" s="64" t="inlineStr">
        <is>
          <t>34316966000154</t>
        </is>
      </c>
      <c r="B461" s="57" t="inlineStr">
        <is>
          <t>COMPLEX COMERCIO DE SUPLEMENTOS ALIMENTI</t>
        </is>
      </c>
      <c r="C461" s="57" t="inlineStr">
        <is>
          <t>SEM GRUPO</t>
        </is>
      </c>
      <c r="D461" s="61" t="inlineStr">
        <is>
          <t>HEMANUELE DITZEL (MANU)</t>
        </is>
      </c>
      <c r="E461" s="30" t="inlineStr">
        <is>
          <t>.</t>
        </is>
      </c>
      <c r="F461" s="63" t="inlineStr"/>
      <c r="G461" s="179" t="inlineStr"/>
      <c r="H461" s="57" t="inlineStr"/>
      <c r="I461" s="57" t="inlineStr"/>
      <c r="J461" s="61" t="inlineStr"/>
      <c r="K461" s="30" t="inlineStr">
        <is>
          <t>.</t>
        </is>
      </c>
      <c r="L461" s="180" t="n">
        <v>1453.53</v>
      </c>
      <c r="M461" s="181" t="n">
        <v>102.14</v>
      </c>
      <c r="N461" s="181" t="n">
        <v>106.74</v>
      </c>
      <c r="O461" s="181" t="n">
        <v>109.31</v>
      </c>
      <c r="P461" s="181" t="n">
        <v>112.16</v>
      </c>
      <c r="Q461" s="181" t="n">
        <v>115.83</v>
      </c>
      <c r="R461" s="181" t="n">
        <v>118.86</v>
      </c>
      <c r="S461" s="181" t="n">
        <v>123.45</v>
      </c>
      <c r="T461" s="181" t="n">
        <v>126.49</v>
      </c>
      <c r="U461" s="181" t="n">
        <v>129.33</v>
      </c>
      <c r="V461" s="181" t="n">
        <v>132.55</v>
      </c>
      <c r="W461" s="181" t="n">
        <v>136.04</v>
      </c>
      <c r="X461" s="182" t="n">
        <v>140.63</v>
      </c>
      <c r="Y461" s="183" t="inlineStr">
        <is>
          <t>.</t>
        </is>
      </c>
      <c r="Z461" s="184">
        <f>SUM(AA461:AL461)</f>
        <v/>
      </c>
      <c r="AA461" s="185" t="n">
        <v>0</v>
      </c>
      <c r="AB461" s="185" t="n">
        <v>0</v>
      </c>
      <c r="AC461" s="185" t="n">
        <v>0</v>
      </c>
      <c r="AD461" s="185" t="n">
        <v>0</v>
      </c>
      <c r="AE461" s="185" t="n">
        <v>0</v>
      </c>
      <c r="AF461" s="185" t="n">
        <v>0</v>
      </c>
      <c r="AG461" s="185" t="n">
        <v>0</v>
      </c>
      <c r="AH461" s="185" t="n">
        <v>828.37</v>
      </c>
      <c r="AI461" s="185" t="n">
        <v>0</v>
      </c>
      <c r="AJ461" s="185" t="n">
        <v>0</v>
      </c>
      <c r="AK461" s="185" t="n">
        <v>0</v>
      </c>
      <c r="AL461" s="186" t="n">
        <v>0</v>
      </c>
      <c r="AM461" s="30" t="inlineStr">
        <is>
          <t>.</t>
        </is>
      </c>
      <c r="AN461" s="187">
        <f>IF(L461=0,0,Z461/L461)</f>
        <v/>
      </c>
      <c r="AO461" s="57">
        <f>IF(AN461&gt;=1,"🟢",IF(AN461&gt;=0.7,"🟡",IF(AN461&gt;=0.4,"🟠","🔴")))</f>
        <v/>
      </c>
      <c r="AP461" s="185">
        <f>L461-Z461</f>
        <v/>
      </c>
      <c r="AQ461" s="55">
        <f>RANK(Z461,$Z$4:$Z$503,0)</f>
        <v/>
      </c>
      <c r="AR461" s="39" t="inlineStr">
        <is>
          <t>.</t>
        </is>
      </c>
      <c r="AS461" s="27" t="n"/>
      <c r="AT461" s="27" t="n"/>
      <c r="AU461" s="27" t="n"/>
      <c r="AV461" s="27" t="n"/>
      <c r="AW461" s="27" t="n"/>
      <c r="AX461" s="27" t="n"/>
      <c r="AY461" s="204" t="n"/>
      <c r="AZ461" s="204" t="n"/>
      <c r="BA461" s="38" t="inlineStr">
        <is>
          <t>.</t>
        </is>
      </c>
      <c r="BB461" s="190">
        <f>SUM(BC461:BN461)</f>
        <v/>
      </c>
      <c r="BC461" s="191">
        <f>L461*0.0702730030</f>
        <v/>
      </c>
      <c r="BD461" s="191">
        <f>L461*0.0734327604</f>
        <v/>
      </c>
      <c r="BE461" s="191">
        <f>L461*0.0752022245</f>
        <v/>
      </c>
      <c r="BF461" s="191">
        <f>L461*0.0771612740</f>
        <v/>
      </c>
      <c r="BG461" s="191">
        <f>L461*0.0796890799</f>
        <v/>
      </c>
      <c r="BH461" s="191">
        <f>L461*0.0817745197</f>
        <v/>
      </c>
      <c r="BI461" s="191">
        <f>L461*0.0849342770</f>
        <v/>
      </c>
      <c r="BJ461" s="191">
        <f>L461*0.0870197169</f>
        <v/>
      </c>
      <c r="BK461" s="191">
        <f>L461*0.0889787664</f>
        <v/>
      </c>
      <c r="BL461" s="191">
        <f>L461*0.0911905966</f>
        <v/>
      </c>
      <c r="BM461" s="191">
        <f>L461*0.0935920121</f>
        <v/>
      </c>
      <c r="BN461" s="192">
        <f>L461*0.0967517695</f>
        <v/>
      </c>
      <c r="BO461" s="36" t="inlineStr">
        <is>
          <t>.</t>
        </is>
      </c>
      <c r="BP461" s="193">
        <f>SUM(BQ461:CB461)</f>
        <v/>
      </c>
      <c r="BQ461" s="191">
        <f>MAX(0,BC461-AA461)</f>
        <v/>
      </c>
      <c r="BR461" s="191">
        <f>MAX(0,BD461-AB461)</f>
        <v/>
      </c>
      <c r="BS461" s="191">
        <f>MAX(0,BE461-AC461)</f>
        <v/>
      </c>
      <c r="BT461" s="191">
        <f>MAX(0,BF461-AD461)</f>
        <v/>
      </c>
      <c r="BU461" s="191">
        <f>MAX(0,BG461-AE461)</f>
        <v/>
      </c>
      <c r="BV461" s="191">
        <f>MAX(0,BH461-AF461)</f>
        <v/>
      </c>
      <c r="BW461" s="191">
        <f>MAX(0,BI461-AG461)</f>
        <v/>
      </c>
      <c r="BX461" s="191">
        <f>MAX(0,BJ461-AH461)</f>
        <v/>
      </c>
      <c r="BY461" s="191">
        <f>MAX(0,BK461-AI461)</f>
        <v/>
      </c>
      <c r="BZ461" s="191">
        <f>MAX(0,BL461-AJ461)</f>
        <v/>
      </c>
      <c r="CA461" s="191">
        <f>MAX(0,BM461-AK461)</f>
        <v/>
      </c>
      <c r="CB461" s="192">
        <f>MAX(0,BN461-AL461)</f>
        <v/>
      </c>
    </row>
    <row r="462">
      <c r="A462" s="64" t="inlineStr">
        <is>
          <t>55726945000187</t>
        </is>
      </c>
      <c r="B462" s="57" t="inlineStr">
        <is>
          <t>TERRITORIO SAUDE XV LTDA - ME</t>
        </is>
      </c>
      <c r="C462" s="57" t="inlineStr">
        <is>
          <t>FITLAND</t>
        </is>
      </c>
      <c r="D462" s="61" t="inlineStr">
        <is>
          <t>JULIO GADRET</t>
        </is>
      </c>
      <c r="E462" s="30" t="inlineStr">
        <is>
          <t>.</t>
        </is>
      </c>
      <c r="F462" s="63" t="n">
        <v>89</v>
      </c>
      <c r="G462" s="179" t="n">
        <v>0.298</v>
      </c>
      <c r="H462" s="57" t="inlineStr">
        <is>
          <t>🔴 VERMELHO</t>
        </is>
      </c>
      <c r="I462" s="57" t="inlineStr">
        <is>
          <t>POSITIVAÇÃO</t>
        </is>
      </c>
      <c r="J462" s="61" t="inlineStr">
        <is>
          <t>Aumentar frequência + Expandir base</t>
        </is>
      </c>
      <c r="K462" s="30" t="inlineStr">
        <is>
          <t>.</t>
        </is>
      </c>
      <c r="L462" s="180" t="n">
        <v>1452.14</v>
      </c>
      <c r="M462" s="181" t="n">
        <v>102.05</v>
      </c>
      <c r="N462" s="181" t="n">
        <v>106.63</v>
      </c>
      <c r="O462" s="181" t="n">
        <v>109.2</v>
      </c>
      <c r="P462" s="181" t="n">
        <v>112.05</v>
      </c>
      <c r="Q462" s="181" t="n">
        <v>115.72</v>
      </c>
      <c r="R462" s="181" t="n">
        <v>118.75</v>
      </c>
      <c r="S462" s="181" t="n">
        <v>123.34</v>
      </c>
      <c r="T462" s="181" t="n">
        <v>126.36</v>
      </c>
      <c r="U462" s="181" t="n">
        <v>129.21</v>
      </c>
      <c r="V462" s="181" t="n">
        <v>132.42</v>
      </c>
      <c r="W462" s="181" t="n">
        <v>135.91</v>
      </c>
      <c r="X462" s="182" t="n">
        <v>140.5</v>
      </c>
      <c r="Y462" s="183" t="inlineStr">
        <is>
          <t>.</t>
        </is>
      </c>
      <c r="Z462" s="184">
        <f>SUM(AA462:AL462)</f>
        <v/>
      </c>
      <c r="AA462" s="185" t="n">
        <v>0</v>
      </c>
      <c r="AB462" s="185" t="n">
        <v>0</v>
      </c>
      <c r="AC462" s="185" t="n">
        <v>0</v>
      </c>
      <c r="AD462" s="185" t="n">
        <v>0</v>
      </c>
      <c r="AE462" s="185" t="n">
        <v>589.1900000000001</v>
      </c>
      <c r="AF462" s="185" t="n">
        <v>0</v>
      </c>
      <c r="AG462" s="185" t="n">
        <v>0</v>
      </c>
      <c r="AH462" s="185" t="n">
        <v>0</v>
      </c>
      <c r="AI462" s="185" t="n">
        <v>0</v>
      </c>
      <c r="AJ462" s="185" t="n">
        <v>0</v>
      </c>
      <c r="AK462" s="185" t="n">
        <v>0</v>
      </c>
      <c r="AL462" s="186" t="n">
        <v>0</v>
      </c>
      <c r="AM462" s="30" t="inlineStr">
        <is>
          <t>.</t>
        </is>
      </c>
      <c r="AN462" s="187">
        <f>IF(L462=0,0,Z462/L462)</f>
        <v/>
      </c>
      <c r="AO462" s="57">
        <f>IF(AN462&gt;=1,"🟢",IF(AN462&gt;=0.7,"🟡",IF(AN462&gt;=0.4,"🟠","🔴")))</f>
        <v/>
      </c>
      <c r="AP462" s="185">
        <f>L462-Z462</f>
        <v/>
      </c>
      <c r="AQ462" s="55">
        <f>RANK(Z462,$Z$4:$Z$503,0)</f>
        <v/>
      </c>
      <c r="AR462" s="39" t="inlineStr">
        <is>
          <t>.</t>
        </is>
      </c>
      <c r="AS462" s="27" t="n"/>
      <c r="AT462" s="27" t="n"/>
      <c r="AU462" s="27" t="n"/>
      <c r="AV462" s="27" t="n"/>
      <c r="AW462" s="27" t="n"/>
      <c r="AX462" s="27" t="n"/>
      <c r="AY462" s="204" t="n"/>
      <c r="AZ462" s="204" t="n"/>
      <c r="BA462" s="38" t="inlineStr">
        <is>
          <t>.</t>
        </is>
      </c>
      <c r="BB462" s="190">
        <f>SUM(BC462:BN462)</f>
        <v/>
      </c>
      <c r="BC462" s="191">
        <f>L462*0.0702730030</f>
        <v/>
      </c>
      <c r="BD462" s="191">
        <f>L462*0.0734327604</f>
        <v/>
      </c>
      <c r="BE462" s="191">
        <f>L462*0.0752022245</f>
        <v/>
      </c>
      <c r="BF462" s="191">
        <f>L462*0.0771612740</f>
        <v/>
      </c>
      <c r="BG462" s="191">
        <f>L462*0.0796890799</f>
        <v/>
      </c>
      <c r="BH462" s="191">
        <f>L462*0.0817745197</f>
        <v/>
      </c>
      <c r="BI462" s="191">
        <f>L462*0.0849342770</f>
        <v/>
      </c>
      <c r="BJ462" s="191">
        <f>L462*0.0870197169</f>
        <v/>
      </c>
      <c r="BK462" s="191">
        <f>L462*0.0889787664</f>
        <v/>
      </c>
      <c r="BL462" s="191">
        <f>L462*0.0911905966</f>
        <v/>
      </c>
      <c r="BM462" s="191">
        <f>L462*0.0935920121</f>
        <v/>
      </c>
      <c r="BN462" s="192">
        <f>L462*0.0967517695</f>
        <v/>
      </c>
      <c r="BO462" s="36" t="inlineStr">
        <is>
          <t>.</t>
        </is>
      </c>
      <c r="BP462" s="193">
        <f>SUM(BQ462:CB462)</f>
        <v/>
      </c>
      <c r="BQ462" s="191">
        <f>MAX(0,BC462-AA462)</f>
        <v/>
      </c>
      <c r="BR462" s="191">
        <f>MAX(0,BD462-AB462)</f>
        <v/>
      </c>
      <c r="BS462" s="191">
        <f>MAX(0,BE462-AC462)</f>
        <v/>
      </c>
      <c r="BT462" s="191">
        <f>MAX(0,BF462-AD462)</f>
        <v/>
      </c>
      <c r="BU462" s="191">
        <f>MAX(0,BG462-AE462)</f>
        <v/>
      </c>
      <c r="BV462" s="191">
        <f>MAX(0,BH462-AF462)</f>
        <v/>
      </c>
      <c r="BW462" s="191">
        <f>MAX(0,BI462-AG462)</f>
        <v/>
      </c>
      <c r="BX462" s="191">
        <f>MAX(0,BJ462-AH462)</f>
        <v/>
      </c>
      <c r="BY462" s="191">
        <f>MAX(0,BK462-AI462)</f>
        <v/>
      </c>
      <c r="BZ462" s="191">
        <f>MAX(0,BL462-AJ462)</f>
        <v/>
      </c>
      <c r="CA462" s="191">
        <f>MAX(0,BM462-AK462)</f>
        <v/>
      </c>
      <c r="CB462" s="192">
        <f>MAX(0,BN462-AL462)</f>
        <v/>
      </c>
    </row>
    <row r="463">
      <c r="A463" s="64" t="inlineStr">
        <is>
          <t>23777036000181</t>
        </is>
      </c>
      <c r="B463" s="57" t="inlineStr">
        <is>
          <t>23.777.036 WILLIAN YUKIO ITO MARQUES - M</t>
        </is>
      </c>
      <c r="C463" s="57" t="inlineStr">
        <is>
          <t>SEM GRUPO</t>
        </is>
      </c>
      <c r="D463" s="61" t="inlineStr">
        <is>
          <t>LARISSA PADILHA</t>
        </is>
      </c>
      <c r="E463" s="30" t="inlineStr">
        <is>
          <t>.</t>
        </is>
      </c>
      <c r="F463" s="63" t="inlineStr"/>
      <c r="G463" s="179" t="inlineStr"/>
      <c r="H463" s="57" t="inlineStr"/>
      <c r="I463" s="57" t="inlineStr"/>
      <c r="J463" s="61" t="inlineStr"/>
      <c r="K463" s="30" t="inlineStr">
        <is>
          <t>.</t>
        </is>
      </c>
      <c r="L463" s="180" t="n">
        <v>1432.24</v>
      </c>
      <c r="M463" s="181" t="n">
        <v>100.65</v>
      </c>
      <c r="N463" s="181" t="n">
        <v>105.17</v>
      </c>
      <c r="O463" s="181" t="n">
        <v>107.71</v>
      </c>
      <c r="P463" s="181" t="n">
        <v>110.51</v>
      </c>
      <c r="Q463" s="181" t="n">
        <v>114.13</v>
      </c>
      <c r="R463" s="181" t="n">
        <v>117.12</v>
      </c>
      <c r="S463" s="181" t="n">
        <v>121.65</v>
      </c>
      <c r="T463" s="181" t="n">
        <v>124.63</v>
      </c>
      <c r="U463" s="181" t="n">
        <v>127.44</v>
      </c>
      <c r="V463" s="181" t="n">
        <v>130.61</v>
      </c>
      <c r="W463" s="181" t="n">
        <v>134.05</v>
      </c>
      <c r="X463" s="182" t="n">
        <v>138.57</v>
      </c>
      <c r="Y463" s="183" t="inlineStr">
        <is>
          <t>.</t>
        </is>
      </c>
      <c r="Z463" s="184">
        <f>SUM(AA463:AL463)</f>
        <v/>
      </c>
      <c r="AA463" s="185" t="n">
        <v>0</v>
      </c>
      <c r="AB463" s="185" t="n">
        <v>0</v>
      </c>
      <c r="AC463" s="185" t="n">
        <v>0</v>
      </c>
      <c r="AD463" s="185" t="n">
        <v>0</v>
      </c>
      <c r="AE463" s="185" t="n">
        <v>0</v>
      </c>
      <c r="AF463" s="185" t="n">
        <v>575.1799999999999</v>
      </c>
      <c r="AG463" s="185" t="n">
        <v>0</v>
      </c>
      <c r="AH463" s="185" t="n">
        <v>0</v>
      </c>
      <c r="AI463" s="185" t="n">
        <v>0</v>
      </c>
      <c r="AJ463" s="185" t="n">
        <v>0</v>
      </c>
      <c r="AK463" s="185" t="n">
        <v>0</v>
      </c>
      <c r="AL463" s="186" t="n">
        <v>0</v>
      </c>
      <c r="AM463" s="30" t="inlineStr">
        <is>
          <t>.</t>
        </is>
      </c>
      <c r="AN463" s="187">
        <f>IF(L463=0,0,Z463/L463)</f>
        <v/>
      </c>
      <c r="AO463" s="57">
        <f>IF(AN463&gt;=1,"🟢",IF(AN463&gt;=0.7,"🟡",IF(AN463&gt;=0.4,"🟠","🔴")))</f>
        <v/>
      </c>
      <c r="AP463" s="185">
        <f>L463-Z463</f>
        <v/>
      </c>
      <c r="AQ463" s="55">
        <f>RANK(Z463,$Z$4:$Z$503,0)</f>
        <v/>
      </c>
      <c r="AR463" s="39" t="inlineStr">
        <is>
          <t>.</t>
        </is>
      </c>
      <c r="AS463" s="27" t="n"/>
      <c r="AT463" s="27" t="n"/>
      <c r="AU463" s="27" t="n"/>
      <c r="AV463" s="27" t="n"/>
      <c r="AW463" s="27" t="n"/>
      <c r="AX463" s="27" t="n"/>
      <c r="AY463" s="204" t="n"/>
      <c r="AZ463" s="204" t="n"/>
      <c r="BA463" s="38" t="inlineStr">
        <is>
          <t>.</t>
        </is>
      </c>
      <c r="BB463" s="190">
        <f>SUM(BC463:BN463)</f>
        <v/>
      </c>
      <c r="BC463" s="191">
        <f>L463*0.0702730030</f>
        <v/>
      </c>
      <c r="BD463" s="191">
        <f>L463*0.0734327604</f>
        <v/>
      </c>
      <c r="BE463" s="191">
        <f>L463*0.0752022245</f>
        <v/>
      </c>
      <c r="BF463" s="191">
        <f>L463*0.0771612740</f>
        <v/>
      </c>
      <c r="BG463" s="191">
        <f>L463*0.0796890799</f>
        <v/>
      </c>
      <c r="BH463" s="191">
        <f>L463*0.0817745197</f>
        <v/>
      </c>
      <c r="BI463" s="191">
        <f>L463*0.0849342770</f>
        <v/>
      </c>
      <c r="BJ463" s="191">
        <f>L463*0.0870197169</f>
        <v/>
      </c>
      <c r="BK463" s="191">
        <f>L463*0.0889787664</f>
        <v/>
      </c>
      <c r="BL463" s="191">
        <f>L463*0.0911905966</f>
        <v/>
      </c>
      <c r="BM463" s="191">
        <f>L463*0.0935920121</f>
        <v/>
      </c>
      <c r="BN463" s="192">
        <f>L463*0.0967517695</f>
        <v/>
      </c>
      <c r="BO463" s="36" t="inlineStr">
        <is>
          <t>.</t>
        </is>
      </c>
      <c r="BP463" s="193">
        <f>SUM(BQ463:CB463)</f>
        <v/>
      </c>
      <c r="BQ463" s="191">
        <f>MAX(0,BC463-AA463)</f>
        <v/>
      </c>
      <c r="BR463" s="191">
        <f>MAX(0,BD463-AB463)</f>
        <v/>
      </c>
      <c r="BS463" s="191">
        <f>MAX(0,BE463-AC463)</f>
        <v/>
      </c>
      <c r="BT463" s="191">
        <f>MAX(0,BF463-AD463)</f>
        <v/>
      </c>
      <c r="BU463" s="191">
        <f>MAX(0,BG463-AE463)</f>
        <v/>
      </c>
      <c r="BV463" s="191">
        <f>MAX(0,BH463-AF463)</f>
        <v/>
      </c>
      <c r="BW463" s="191">
        <f>MAX(0,BI463-AG463)</f>
        <v/>
      </c>
      <c r="BX463" s="191">
        <f>MAX(0,BJ463-AH463)</f>
        <v/>
      </c>
      <c r="BY463" s="191">
        <f>MAX(0,BK463-AI463)</f>
        <v/>
      </c>
      <c r="BZ463" s="191">
        <f>MAX(0,BL463-AJ463)</f>
        <v/>
      </c>
      <c r="CA463" s="191">
        <f>MAX(0,BM463-AK463)</f>
        <v/>
      </c>
      <c r="CB463" s="192">
        <f>MAX(0,BN463-AL463)</f>
        <v/>
      </c>
    </row>
    <row r="464">
      <c r="A464" s="64" t="inlineStr">
        <is>
          <t>59087175000120</t>
        </is>
      </c>
      <c r="B464" s="57" t="inlineStr">
        <is>
          <t>INOVASMART SOLUTIONS LTDA - ME</t>
        </is>
      </c>
      <c r="C464" s="57" t="inlineStr">
        <is>
          <t>SEM GRUPO</t>
        </is>
      </c>
      <c r="D464" s="61" t="inlineStr">
        <is>
          <t>LARISSA PADILHA</t>
        </is>
      </c>
      <c r="E464" s="30" t="inlineStr">
        <is>
          <t>.</t>
        </is>
      </c>
      <c r="F464" s="63" t="inlineStr"/>
      <c r="G464" s="179" t="inlineStr"/>
      <c r="H464" s="57" t="inlineStr"/>
      <c r="I464" s="57" t="inlineStr"/>
      <c r="J464" s="61" t="inlineStr"/>
      <c r="K464" s="30" t="inlineStr">
        <is>
          <t>.</t>
        </is>
      </c>
      <c r="L464" s="180" t="n">
        <v>1407.39</v>
      </c>
      <c r="M464" s="181" t="n">
        <v>98.90000000000001</v>
      </c>
      <c r="N464" s="181" t="n">
        <v>103.35</v>
      </c>
      <c r="O464" s="181" t="n">
        <v>105.84</v>
      </c>
      <c r="P464" s="181" t="n">
        <v>108.6</v>
      </c>
      <c r="Q464" s="181" t="n">
        <v>112.15</v>
      </c>
      <c r="R464" s="181" t="n">
        <v>115.09</v>
      </c>
      <c r="S464" s="181" t="n">
        <v>119.53</v>
      </c>
      <c r="T464" s="181" t="n">
        <v>122.47</v>
      </c>
      <c r="U464" s="181" t="n">
        <v>125.23</v>
      </c>
      <c r="V464" s="181" t="n">
        <v>128.34</v>
      </c>
      <c r="W464" s="181" t="n">
        <v>131.72</v>
      </c>
      <c r="X464" s="182" t="n">
        <v>136.17</v>
      </c>
      <c r="Y464" s="183" t="inlineStr">
        <is>
          <t>.</t>
        </is>
      </c>
      <c r="Z464" s="184">
        <f>SUM(AA464:AL464)</f>
        <v/>
      </c>
      <c r="AA464" s="185" t="n">
        <v>0</v>
      </c>
      <c r="AB464" s="185" t="n">
        <v>0</v>
      </c>
      <c r="AC464" s="185" t="n">
        <v>0</v>
      </c>
      <c r="AD464" s="185" t="n">
        <v>0</v>
      </c>
      <c r="AE464" s="185" t="n">
        <v>0</v>
      </c>
      <c r="AF464" s="185" t="n">
        <v>0</v>
      </c>
      <c r="AG464" s="185" t="n">
        <v>0</v>
      </c>
      <c r="AH464" s="185" t="n">
        <v>0</v>
      </c>
      <c r="AI464" s="185" t="n">
        <v>637.5</v>
      </c>
      <c r="AJ464" s="185" t="n">
        <v>0</v>
      </c>
      <c r="AK464" s="185" t="n">
        <v>0</v>
      </c>
      <c r="AL464" s="186" t="n">
        <v>0</v>
      </c>
      <c r="AM464" s="30" t="inlineStr">
        <is>
          <t>.</t>
        </is>
      </c>
      <c r="AN464" s="187">
        <f>IF(L464=0,0,Z464/L464)</f>
        <v/>
      </c>
      <c r="AO464" s="57">
        <f>IF(AN464&gt;=1,"🟢",IF(AN464&gt;=0.7,"🟡",IF(AN464&gt;=0.4,"🟠","🔴")))</f>
        <v/>
      </c>
      <c r="AP464" s="185">
        <f>L464-Z464</f>
        <v/>
      </c>
      <c r="AQ464" s="55">
        <f>RANK(Z464,$Z$4:$Z$503,0)</f>
        <v/>
      </c>
      <c r="AR464" s="39" t="inlineStr">
        <is>
          <t>.</t>
        </is>
      </c>
      <c r="AS464" s="27" t="n"/>
      <c r="AT464" s="27" t="n"/>
      <c r="AU464" s="27" t="n"/>
      <c r="AV464" s="27" t="n"/>
      <c r="AW464" s="27" t="n"/>
      <c r="AX464" s="27" t="n"/>
      <c r="AY464" s="204" t="n"/>
      <c r="AZ464" s="204" t="n"/>
      <c r="BA464" s="38" t="inlineStr">
        <is>
          <t>.</t>
        </is>
      </c>
      <c r="BB464" s="190">
        <f>SUM(BC464:BN464)</f>
        <v/>
      </c>
      <c r="BC464" s="191">
        <f>L464*0.0702730030</f>
        <v/>
      </c>
      <c r="BD464" s="191">
        <f>L464*0.0734327604</f>
        <v/>
      </c>
      <c r="BE464" s="191">
        <f>L464*0.0752022245</f>
        <v/>
      </c>
      <c r="BF464" s="191">
        <f>L464*0.0771612740</f>
        <v/>
      </c>
      <c r="BG464" s="191">
        <f>L464*0.0796890799</f>
        <v/>
      </c>
      <c r="BH464" s="191">
        <f>L464*0.0817745197</f>
        <v/>
      </c>
      <c r="BI464" s="191">
        <f>L464*0.0849342770</f>
        <v/>
      </c>
      <c r="BJ464" s="191">
        <f>L464*0.0870197169</f>
        <v/>
      </c>
      <c r="BK464" s="191">
        <f>L464*0.0889787664</f>
        <v/>
      </c>
      <c r="BL464" s="191">
        <f>L464*0.0911905966</f>
        <v/>
      </c>
      <c r="BM464" s="191">
        <f>L464*0.0935920121</f>
        <v/>
      </c>
      <c r="BN464" s="192">
        <f>L464*0.0967517695</f>
        <v/>
      </c>
      <c r="BO464" s="36" t="inlineStr">
        <is>
          <t>.</t>
        </is>
      </c>
      <c r="BP464" s="193">
        <f>SUM(BQ464:CB464)</f>
        <v/>
      </c>
      <c r="BQ464" s="191">
        <f>MAX(0,BC464-AA464)</f>
        <v/>
      </c>
      <c r="BR464" s="191">
        <f>MAX(0,BD464-AB464)</f>
        <v/>
      </c>
      <c r="BS464" s="191">
        <f>MAX(0,BE464-AC464)</f>
        <v/>
      </c>
      <c r="BT464" s="191">
        <f>MAX(0,BF464-AD464)</f>
        <v/>
      </c>
      <c r="BU464" s="191">
        <f>MAX(0,BG464-AE464)</f>
        <v/>
      </c>
      <c r="BV464" s="191">
        <f>MAX(0,BH464-AF464)</f>
        <v/>
      </c>
      <c r="BW464" s="191">
        <f>MAX(0,BI464-AG464)</f>
        <v/>
      </c>
      <c r="BX464" s="191">
        <f>MAX(0,BJ464-AH464)</f>
        <v/>
      </c>
      <c r="BY464" s="191">
        <f>MAX(0,BK464-AI464)</f>
        <v/>
      </c>
      <c r="BZ464" s="191">
        <f>MAX(0,BL464-AJ464)</f>
        <v/>
      </c>
      <c r="CA464" s="191">
        <f>MAX(0,BM464-AK464)</f>
        <v/>
      </c>
      <c r="CB464" s="192">
        <f>MAX(0,BN464-AL464)</f>
        <v/>
      </c>
    </row>
    <row r="465">
      <c r="A465" s="64" t="inlineStr">
        <is>
          <t>63791809000107</t>
        </is>
      </c>
      <c r="B465" s="57" t="inlineStr">
        <is>
          <t>NUTRI SAFE ALIMENTOS SAUDAVEIS LTDA - ME</t>
        </is>
      </c>
      <c r="C465" s="57" t="inlineStr">
        <is>
          <t>SEM GRUPO</t>
        </is>
      </c>
      <c r="D465" s="61" t="inlineStr">
        <is>
          <t>HEMANUELE DITZEL (MANU)</t>
        </is>
      </c>
      <c r="E465" s="30" t="inlineStr">
        <is>
          <t>.</t>
        </is>
      </c>
      <c r="F465" s="63" t="inlineStr"/>
      <c r="G465" s="179" t="inlineStr"/>
      <c r="H465" s="57" t="inlineStr"/>
      <c r="I465" s="57" t="inlineStr"/>
      <c r="J465" s="61" t="inlineStr"/>
      <c r="K465" s="30" t="inlineStr">
        <is>
          <t>.</t>
        </is>
      </c>
      <c r="L465" s="180" t="n">
        <v>1395.54</v>
      </c>
      <c r="M465" s="181" t="n">
        <v>98.06999999999999</v>
      </c>
      <c r="N465" s="181" t="n">
        <v>102.48</v>
      </c>
      <c r="O465" s="181" t="n">
        <v>104.95</v>
      </c>
      <c r="P465" s="181" t="n">
        <v>107.68</v>
      </c>
      <c r="Q465" s="181" t="n">
        <v>111.21</v>
      </c>
      <c r="R465" s="181" t="n">
        <v>114.12</v>
      </c>
      <c r="S465" s="181" t="n">
        <v>118.53</v>
      </c>
      <c r="T465" s="181" t="n">
        <v>121.44</v>
      </c>
      <c r="U465" s="181" t="n">
        <v>124.17</v>
      </c>
      <c r="V465" s="181" t="n">
        <v>127.26</v>
      </c>
      <c r="W465" s="181" t="n">
        <v>130.61</v>
      </c>
      <c r="X465" s="182" t="n">
        <v>135.02</v>
      </c>
      <c r="Y465" s="183" t="inlineStr">
        <is>
          <t>.</t>
        </is>
      </c>
      <c r="Z465" s="184">
        <f>SUM(AA465:AL465)</f>
        <v/>
      </c>
      <c r="AA465" s="185" t="n">
        <v>0</v>
      </c>
      <c r="AB465" s="185" t="n">
        <v>0</v>
      </c>
      <c r="AC465" s="185" t="n">
        <v>0</v>
      </c>
      <c r="AD465" s="185" t="n">
        <v>0</v>
      </c>
      <c r="AE465" s="185" t="n">
        <v>0</v>
      </c>
      <c r="AF465" s="185" t="n">
        <v>0</v>
      </c>
      <c r="AG465" s="185" t="n">
        <v>0</v>
      </c>
      <c r="AH465" s="185" t="n">
        <v>0</v>
      </c>
      <c r="AI465" s="185" t="n">
        <v>0</v>
      </c>
      <c r="AJ465" s="185" t="n">
        <v>0</v>
      </c>
      <c r="AK465" s="185" t="n">
        <v>0</v>
      </c>
      <c r="AL465" s="186" t="n">
        <v>0</v>
      </c>
      <c r="AM465" s="222" t="n">
        <v>251.33</v>
      </c>
      <c r="AN465" s="187">
        <f>IF(L465=0,0,Z465/L465)</f>
        <v/>
      </c>
      <c r="AO465" s="57">
        <f>IF(AN465&gt;=1,"🟢",IF(AN465&gt;=0.7,"🟡",IF(AN465&gt;=0.4,"🟠","🔴")))</f>
        <v/>
      </c>
      <c r="AP465" s="185">
        <f>L465-Z465</f>
        <v/>
      </c>
      <c r="AQ465" s="55">
        <f>RANK(Z465,$Z$4:$Z$503,0)</f>
        <v/>
      </c>
      <c r="AR465" s="39" t="inlineStr">
        <is>
          <t>.</t>
        </is>
      </c>
      <c r="AS465" s="27" t="n"/>
      <c r="AT465" s="27" t="n"/>
      <c r="AU465" s="27" t="n"/>
      <c r="AV465" s="27" t="n"/>
      <c r="AW465" s="27" t="n"/>
      <c r="AX465" s="27" t="n"/>
      <c r="AY465" s="204" t="n"/>
      <c r="AZ465" s="204" t="n"/>
      <c r="BA465" s="38" t="inlineStr">
        <is>
          <t>.</t>
        </is>
      </c>
      <c r="BB465" s="190">
        <f>SUM(BC465:BN465)</f>
        <v/>
      </c>
      <c r="BC465" s="191">
        <f>L465*0.0702730030</f>
        <v/>
      </c>
      <c r="BD465" s="191">
        <f>L465*0.0734327604</f>
        <v/>
      </c>
      <c r="BE465" s="191">
        <f>L465*0.0752022245</f>
        <v/>
      </c>
      <c r="BF465" s="191">
        <f>L465*0.0771612740</f>
        <v/>
      </c>
      <c r="BG465" s="191">
        <f>L465*0.0796890799</f>
        <v/>
      </c>
      <c r="BH465" s="191">
        <f>L465*0.0817745197</f>
        <v/>
      </c>
      <c r="BI465" s="191">
        <f>L465*0.0849342770</f>
        <v/>
      </c>
      <c r="BJ465" s="191">
        <f>L465*0.0870197169</f>
        <v/>
      </c>
      <c r="BK465" s="191">
        <f>L465*0.0889787664</f>
        <v/>
      </c>
      <c r="BL465" s="191">
        <f>L465*0.0911905966</f>
        <v/>
      </c>
      <c r="BM465" s="191">
        <f>L465*0.0935920121</f>
        <v/>
      </c>
      <c r="BN465" s="192">
        <f>L465*0.0967517695</f>
        <v/>
      </c>
      <c r="BO465" s="36" t="inlineStr">
        <is>
          <t>.</t>
        </is>
      </c>
      <c r="BP465" s="193">
        <f>SUM(BQ465:CB465)</f>
        <v/>
      </c>
      <c r="BQ465" s="191">
        <f>MAX(0,BC465-AA465)</f>
        <v/>
      </c>
      <c r="BR465" s="191">
        <f>MAX(0,BD465-AB465)</f>
        <v/>
      </c>
      <c r="BS465" s="191">
        <f>MAX(0,BE465-AC465)</f>
        <v/>
      </c>
      <c r="BT465" s="191">
        <f>MAX(0,BF465-AD465)</f>
        <v/>
      </c>
      <c r="BU465" s="191">
        <f>MAX(0,BG465-AE465)</f>
        <v/>
      </c>
      <c r="BV465" s="191">
        <f>MAX(0,BH465-AF465)</f>
        <v/>
      </c>
      <c r="BW465" s="191">
        <f>MAX(0,BI465-AG465)</f>
        <v/>
      </c>
      <c r="BX465" s="191">
        <f>MAX(0,BJ465-AH465)</f>
        <v/>
      </c>
      <c r="BY465" s="191">
        <f>MAX(0,BK465-AI465)</f>
        <v/>
      </c>
      <c r="BZ465" s="191">
        <f>MAX(0,BL465-AJ465)</f>
        <v/>
      </c>
      <c r="CA465" s="191">
        <f>MAX(0,BM465-AK465)</f>
        <v/>
      </c>
      <c r="CB465" s="192">
        <f>MAX(0,BN465-AL465)</f>
        <v/>
      </c>
    </row>
    <row r="466">
      <c r="A466" s="64" t="inlineStr">
        <is>
          <t>61814136000120</t>
        </is>
      </c>
      <c r="B466" s="57" t="inlineStr">
        <is>
          <t>TORO EMPORIO LTDA</t>
        </is>
      </c>
      <c r="C466" s="57" t="inlineStr">
        <is>
          <t>SEM GRUPO</t>
        </is>
      </c>
      <c r="D466" s="61" t="inlineStr">
        <is>
          <t>LARISSA PADILHA</t>
        </is>
      </c>
      <c r="E466" s="30" t="inlineStr">
        <is>
          <t>.</t>
        </is>
      </c>
      <c r="F466" s="63" t="inlineStr"/>
      <c r="G466" s="179" t="inlineStr"/>
      <c r="H466" s="57" t="inlineStr"/>
      <c r="I466" s="57" t="inlineStr"/>
      <c r="J466" s="61" t="inlineStr"/>
      <c r="K466" s="30" t="inlineStr">
        <is>
          <t>.</t>
        </is>
      </c>
      <c r="L466" s="180" t="n">
        <v>1358.95</v>
      </c>
      <c r="M466" s="181" t="n">
        <v>95.5</v>
      </c>
      <c r="N466" s="181" t="n">
        <v>99.79000000000001</v>
      </c>
      <c r="O466" s="181" t="n">
        <v>102.2</v>
      </c>
      <c r="P466" s="181" t="n">
        <v>104.86</v>
      </c>
      <c r="Q466" s="181" t="n">
        <v>108.29</v>
      </c>
      <c r="R466" s="181" t="n">
        <v>111.13</v>
      </c>
      <c r="S466" s="181" t="n">
        <v>115.42</v>
      </c>
      <c r="T466" s="181" t="n">
        <v>118.25</v>
      </c>
      <c r="U466" s="181" t="n">
        <v>120.92</v>
      </c>
      <c r="V466" s="181" t="n">
        <v>123.92</v>
      </c>
      <c r="W466" s="181" t="n">
        <v>127.19</v>
      </c>
      <c r="X466" s="182" t="n">
        <v>131.48</v>
      </c>
      <c r="Y466" s="183" t="inlineStr">
        <is>
          <t>.</t>
        </is>
      </c>
      <c r="Z466" s="184">
        <f>SUM(AA466:AL466)</f>
        <v/>
      </c>
      <c r="AA466" s="185" t="n">
        <v>0</v>
      </c>
      <c r="AB466" s="185" t="n">
        <v>0</v>
      </c>
      <c r="AC466" s="185" t="n">
        <v>0</v>
      </c>
      <c r="AD466" s="185" t="n">
        <v>0</v>
      </c>
      <c r="AE466" s="185" t="n">
        <v>0</v>
      </c>
      <c r="AF466" s="185" t="n">
        <v>0</v>
      </c>
      <c r="AG466" s="185" t="n">
        <v>0</v>
      </c>
      <c r="AH466" s="185" t="n">
        <v>0</v>
      </c>
      <c r="AI466" s="185" t="n">
        <v>0</v>
      </c>
      <c r="AJ466" s="185" t="n">
        <v>895.5599999999999</v>
      </c>
      <c r="AK466" s="185" t="n">
        <v>0</v>
      </c>
      <c r="AL466" s="186" t="n">
        <v>0</v>
      </c>
      <c r="AM466" s="30" t="inlineStr">
        <is>
          <t>.</t>
        </is>
      </c>
      <c r="AN466" s="187">
        <f>IF(L466=0,0,Z466/L466)</f>
        <v/>
      </c>
      <c r="AO466" s="57">
        <f>IF(AN466&gt;=1,"🟢",IF(AN466&gt;=0.7,"🟡",IF(AN466&gt;=0.4,"🟠","🔴")))</f>
        <v/>
      </c>
      <c r="AP466" s="185">
        <f>L466-Z466</f>
        <v/>
      </c>
      <c r="AQ466" s="55">
        <f>RANK(Z466,$Z$4:$Z$503,0)</f>
        <v/>
      </c>
      <c r="AR466" s="39" t="inlineStr">
        <is>
          <t>.</t>
        </is>
      </c>
      <c r="AS466" s="27" t="n"/>
      <c r="AT466" s="27" t="n"/>
      <c r="AU466" s="27" t="n"/>
      <c r="AV466" s="27" t="n"/>
      <c r="AW466" s="27" t="n"/>
      <c r="AX466" s="27" t="n"/>
      <c r="AY466" s="204" t="n"/>
      <c r="AZ466" s="204" t="n"/>
      <c r="BA466" s="38" t="inlineStr">
        <is>
          <t>.</t>
        </is>
      </c>
      <c r="BB466" s="190">
        <f>SUM(BC466:BN466)</f>
        <v/>
      </c>
      <c r="BC466" s="191">
        <f>L466*0.0702730030</f>
        <v/>
      </c>
      <c r="BD466" s="191">
        <f>L466*0.0734327604</f>
        <v/>
      </c>
      <c r="BE466" s="191">
        <f>L466*0.0752022245</f>
        <v/>
      </c>
      <c r="BF466" s="191">
        <f>L466*0.0771612740</f>
        <v/>
      </c>
      <c r="BG466" s="191">
        <f>L466*0.0796890799</f>
        <v/>
      </c>
      <c r="BH466" s="191">
        <f>L466*0.0817745197</f>
        <v/>
      </c>
      <c r="BI466" s="191">
        <f>L466*0.0849342770</f>
        <v/>
      </c>
      <c r="BJ466" s="191">
        <f>L466*0.0870197169</f>
        <v/>
      </c>
      <c r="BK466" s="191">
        <f>L466*0.0889787664</f>
        <v/>
      </c>
      <c r="BL466" s="191">
        <f>L466*0.0911905966</f>
        <v/>
      </c>
      <c r="BM466" s="191">
        <f>L466*0.0935920121</f>
        <v/>
      </c>
      <c r="BN466" s="192">
        <f>L466*0.0967517695</f>
        <v/>
      </c>
      <c r="BO466" s="36" t="inlineStr">
        <is>
          <t>.</t>
        </is>
      </c>
      <c r="BP466" s="193">
        <f>SUM(BQ466:CB466)</f>
        <v/>
      </c>
      <c r="BQ466" s="191">
        <f>MAX(0,BC466-AA466)</f>
        <v/>
      </c>
      <c r="BR466" s="191">
        <f>MAX(0,BD466-AB466)</f>
        <v/>
      </c>
      <c r="BS466" s="191">
        <f>MAX(0,BE466-AC466)</f>
        <v/>
      </c>
      <c r="BT466" s="191">
        <f>MAX(0,BF466-AD466)</f>
        <v/>
      </c>
      <c r="BU466" s="191">
        <f>MAX(0,BG466-AE466)</f>
        <v/>
      </c>
      <c r="BV466" s="191">
        <f>MAX(0,BH466-AF466)</f>
        <v/>
      </c>
      <c r="BW466" s="191">
        <f>MAX(0,BI466-AG466)</f>
        <v/>
      </c>
      <c r="BX466" s="191">
        <f>MAX(0,BJ466-AH466)</f>
        <v/>
      </c>
      <c r="BY466" s="191">
        <f>MAX(0,BK466-AI466)</f>
        <v/>
      </c>
      <c r="BZ466" s="191">
        <f>MAX(0,BL466-AJ466)</f>
        <v/>
      </c>
      <c r="CA466" s="191">
        <f>MAX(0,BM466-AK466)</f>
        <v/>
      </c>
      <c r="CB466" s="192">
        <f>MAX(0,BN466-AL466)</f>
        <v/>
      </c>
    </row>
    <row r="467">
      <c r="A467" s="64" t="inlineStr">
        <is>
          <t>52901038000139</t>
        </is>
      </c>
      <c r="B467" s="57" t="inlineStr">
        <is>
          <t>52.901.038 NATACHA APARECIDA DOS SANTOS</t>
        </is>
      </c>
      <c r="C467" s="57" t="inlineStr">
        <is>
          <t>SEM GRUPO</t>
        </is>
      </c>
      <c r="D467" s="61" t="inlineStr">
        <is>
          <t>LARISSA PADILHA</t>
        </is>
      </c>
      <c r="E467" s="30" t="inlineStr">
        <is>
          <t>.</t>
        </is>
      </c>
      <c r="F467" s="63" t="inlineStr"/>
      <c r="G467" s="179" t="inlineStr"/>
      <c r="H467" s="57" t="inlineStr"/>
      <c r="I467" s="57" t="inlineStr"/>
      <c r="J467" s="61" t="inlineStr"/>
      <c r="K467" s="30" t="inlineStr">
        <is>
          <t>.</t>
        </is>
      </c>
      <c r="L467" s="180" t="n">
        <v>1356.2</v>
      </c>
      <c r="M467" s="181" t="n">
        <v>95.3</v>
      </c>
      <c r="N467" s="181" t="n">
        <v>99.59</v>
      </c>
      <c r="O467" s="181" t="n">
        <v>101.99</v>
      </c>
      <c r="P467" s="181" t="n">
        <v>104.65</v>
      </c>
      <c r="Q467" s="181" t="n">
        <v>108.07</v>
      </c>
      <c r="R467" s="181" t="n">
        <v>110.9</v>
      </c>
      <c r="S467" s="181" t="n">
        <v>115.19</v>
      </c>
      <c r="T467" s="181" t="n">
        <v>118.02</v>
      </c>
      <c r="U467" s="181" t="n">
        <v>120.67</v>
      </c>
      <c r="V467" s="181" t="n">
        <v>123.67</v>
      </c>
      <c r="W467" s="181" t="n">
        <v>126.93</v>
      </c>
      <c r="X467" s="182" t="n">
        <v>131.22</v>
      </c>
      <c r="Y467" s="183" t="inlineStr">
        <is>
          <t>.</t>
        </is>
      </c>
      <c r="Z467" s="184">
        <f>SUM(AA467:AL467)</f>
        <v/>
      </c>
      <c r="AA467" s="185" t="n">
        <v>0</v>
      </c>
      <c r="AB467" s="185" t="n">
        <v>0</v>
      </c>
      <c r="AC467" s="185" t="n">
        <v>0</v>
      </c>
      <c r="AD467" s="185" t="n">
        <v>480.87</v>
      </c>
      <c r="AE467" s="185" t="n">
        <v>0</v>
      </c>
      <c r="AF467" s="185" t="n">
        <v>0</v>
      </c>
      <c r="AG467" s="185" t="n">
        <v>0</v>
      </c>
      <c r="AH467" s="185" t="n">
        <v>0</v>
      </c>
      <c r="AI467" s="185" t="n">
        <v>0</v>
      </c>
      <c r="AJ467" s="185" t="n">
        <v>0</v>
      </c>
      <c r="AK467" s="185" t="n">
        <v>0</v>
      </c>
      <c r="AL467" s="186" t="n">
        <v>0</v>
      </c>
      <c r="AM467" s="30" t="inlineStr">
        <is>
          <t>.</t>
        </is>
      </c>
      <c r="AN467" s="187">
        <f>IF(L467=0,0,Z467/L467)</f>
        <v/>
      </c>
      <c r="AO467" s="57">
        <f>IF(AN467&gt;=1,"🟢",IF(AN467&gt;=0.7,"🟡",IF(AN467&gt;=0.4,"🟠","🔴")))</f>
        <v/>
      </c>
      <c r="AP467" s="185">
        <f>L467-Z467</f>
        <v/>
      </c>
      <c r="AQ467" s="55">
        <f>RANK(Z467,$Z$4:$Z$503,0)</f>
        <v/>
      </c>
      <c r="AR467" s="39" t="inlineStr">
        <is>
          <t>.</t>
        </is>
      </c>
      <c r="AS467" s="27" t="n"/>
      <c r="AT467" s="27" t="n"/>
      <c r="AU467" s="27" t="n"/>
      <c r="AV467" s="27" t="n"/>
      <c r="AW467" s="27" t="n"/>
      <c r="AX467" s="27" t="n"/>
      <c r="AY467" s="204" t="n"/>
      <c r="AZ467" s="204" t="n"/>
      <c r="BA467" s="38" t="inlineStr">
        <is>
          <t>.</t>
        </is>
      </c>
      <c r="BB467" s="190">
        <f>SUM(BC467:BN467)</f>
        <v/>
      </c>
      <c r="BC467" s="191">
        <f>L467*0.0702730030</f>
        <v/>
      </c>
      <c r="BD467" s="191">
        <f>L467*0.0734327604</f>
        <v/>
      </c>
      <c r="BE467" s="191">
        <f>L467*0.0752022245</f>
        <v/>
      </c>
      <c r="BF467" s="191">
        <f>L467*0.0771612740</f>
        <v/>
      </c>
      <c r="BG467" s="191">
        <f>L467*0.0796890799</f>
        <v/>
      </c>
      <c r="BH467" s="191">
        <f>L467*0.0817745197</f>
        <v/>
      </c>
      <c r="BI467" s="191">
        <f>L467*0.0849342770</f>
        <v/>
      </c>
      <c r="BJ467" s="191">
        <f>L467*0.0870197169</f>
        <v/>
      </c>
      <c r="BK467" s="191">
        <f>L467*0.0889787664</f>
        <v/>
      </c>
      <c r="BL467" s="191">
        <f>L467*0.0911905966</f>
        <v/>
      </c>
      <c r="BM467" s="191">
        <f>L467*0.0935920121</f>
        <v/>
      </c>
      <c r="BN467" s="192">
        <f>L467*0.0967517695</f>
        <v/>
      </c>
      <c r="BO467" s="36" t="inlineStr">
        <is>
          <t>.</t>
        </is>
      </c>
      <c r="BP467" s="193">
        <f>SUM(BQ467:CB467)</f>
        <v/>
      </c>
      <c r="BQ467" s="191">
        <f>MAX(0,BC467-AA467)</f>
        <v/>
      </c>
      <c r="BR467" s="191">
        <f>MAX(0,BD467-AB467)</f>
        <v/>
      </c>
      <c r="BS467" s="191">
        <f>MAX(0,BE467-AC467)</f>
        <v/>
      </c>
      <c r="BT467" s="191">
        <f>MAX(0,BF467-AD467)</f>
        <v/>
      </c>
      <c r="BU467" s="191">
        <f>MAX(0,BG467-AE467)</f>
        <v/>
      </c>
      <c r="BV467" s="191">
        <f>MAX(0,BH467-AF467)</f>
        <v/>
      </c>
      <c r="BW467" s="191">
        <f>MAX(0,BI467-AG467)</f>
        <v/>
      </c>
      <c r="BX467" s="191">
        <f>MAX(0,BJ467-AH467)</f>
        <v/>
      </c>
      <c r="BY467" s="191">
        <f>MAX(0,BK467-AI467)</f>
        <v/>
      </c>
      <c r="BZ467" s="191">
        <f>MAX(0,BL467-AJ467)</f>
        <v/>
      </c>
      <c r="CA467" s="191">
        <f>MAX(0,BM467-AK467)</f>
        <v/>
      </c>
      <c r="CB467" s="192">
        <f>MAX(0,BN467-AL467)</f>
        <v/>
      </c>
    </row>
    <row r="468">
      <c r="A468" s="64" t="inlineStr">
        <is>
          <t>61137195000100</t>
        </is>
      </c>
      <c r="B468" s="57" t="inlineStr">
        <is>
          <t>VITA NATURA LTDA</t>
        </is>
      </c>
      <c r="C468" s="57" t="inlineStr">
        <is>
          <t>VIDA LEVE</t>
        </is>
      </c>
      <c r="D468" s="61" t="inlineStr">
        <is>
          <t>DAIANE STAVICKI</t>
        </is>
      </c>
      <c r="E468" s="30" t="inlineStr">
        <is>
          <t>.</t>
        </is>
      </c>
      <c r="F468" s="63" t="n">
        <v>81</v>
      </c>
      <c r="G468" s="179" t="n">
        <v>0.08</v>
      </c>
      <c r="H468" s="57" t="inlineStr">
        <is>
          <t>🔴 VERMELHO</t>
        </is>
      </c>
      <c r="I468" s="57" t="inlineStr">
        <is>
          <t>ATIVAÇÃO</t>
        </is>
      </c>
      <c r="J468" s="61" t="inlineStr">
        <is>
          <t>Reativar inativos + Prospectar</t>
        </is>
      </c>
      <c r="K468" s="30" t="inlineStr">
        <is>
          <t>.</t>
        </is>
      </c>
      <c r="L468" s="180" t="n">
        <v>1343.86</v>
      </c>
      <c r="M468" s="181" t="n">
        <v>94.44</v>
      </c>
      <c r="N468" s="181" t="n">
        <v>98.68000000000001</v>
      </c>
      <c r="O468" s="181" t="n">
        <v>101.06</v>
      </c>
      <c r="P468" s="181" t="n">
        <v>103.69</v>
      </c>
      <c r="Q468" s="181" t="n">
        <v>107.09</v>
      </c>
      <c r="R468" s="181" t="n">
        <v>109.89</v>
      </c>
      <c r="S468" s="181" t="n">
        <v>114.14</v>
      </c>
      <c r="T468" s="181" t="n">
        <v>116.94</v>
      </c>
      <c r="U468" s="181" t="n">
        <v>119.58</v>
      </c>
      <c r="V468" s="181" t="n">
        <v>122.55</v>
      </c>
      <c r="W468" s="181" t="n">
        <v>125.78</v>
      </c>
      <c r="X468" s="182" t="n">
        <v>130.02</v>
      </c>
      <c r="Y468" s="183" t="inlineStr">
        <is>
          <t>.</t>
        </is>
      </c>
      <c r="Z468" s="184">
        <f>SUM(AA468:AL468)</f>
        <v/>
      </c>
      <c r="AA468" s="185" t="n">
        <v>0</v>
      </c>
      <c r="AB468" s="185" t="n">
        <v>0</v>
      </c>
      <c r="AC468" s="185" t="n">
        <v>0</v>
      </c>
      <c r="AD468" s="185" t="n">
        <v>0</v>
      </c>
      <c r="AE468" s="185" t="n">
        <v>0</v>
      </c>
      <c r="AF468" s="185" t="n">
        <v>0</v>
      </c>
      <c r="AG468" s="185" t="n">
        <v>0</v>
      </c>
      <c r="AH468" s="185" t="n">
        <v>0</v>
      </c>
      <c r="AI468" s="185" t="n">
        <v>0</v>
      </c>
      <c r="AJ468" s="185" t="n">
        <v>934.22</v>
      </c>
      <c r="AK468" s="185" t="n">
        <v>0</v>
      </c>
      <c r="AL468" s="186" t="n">
        <v>0</v>
      </c>
      <c r="AM468" s="30" t="inlineStr">
        <is>
          <t>.</t>
        </is>
      </c>
      <c r="AN468" s="187">
        <f>IF(L468=0,0,Z468/L468)</f>
        <v/>
      </c>
      <c r="AO468" s="57">
        <f>IF(AN468&gt;=1,"🟢",IF(AN468&gt;=0.7,"🟡",IF(AN468&gt;=0.4,"🟠","🔴")))</f>
        <v/>
      </c>
      <c r="AP468" s="185">
        <f>L468-Z468</f>
        <v/>
      </c>
      <c r="AQ468" s="55">
        <f>RANK(Z468,$Z$4:$Z$503,0)</f>
        <v/>
      </c>
      <c r="AR468" s="39" t="inlineStr">
        <is>
          <t>.</t>
        </is>
      </c>
      <c r="AS468" s="27" t="n"/>
      <c r="AT468" s="27" t="n"/>
      <c r="AU468" s="27" t="n"/>
      <c r="AV468" s="27" t="n"/>
      <c r="AW468" s="27" t="n"/>
      <c r="AX468" s="27" t="n"/>
      <c r="AY468" s="204" t="n"/>
      <c r="AZ468" s="204" t="n"/>
      <c r="BA468" s="38" t="inlineStr">
        <is>
          <t>.</t>
        </is>
      </c>
      <c r="BB468" s="190">
        <f>SUM(BC468:BN468)</f>
        <v/>
      </c>
      <c r="BC468" s="191">
        <f>L468*0.0702730030</f>
        <v/>
      </c>
      <c r="BD468" s="191">
        <f>L468*0.0734327604</f>
        <v/>
      </c>
      <c r="BE468" s="191">
        <f>L468*0.0752022245</f>
        <v/>
      </c>
      <c r="BF468" s="191">
        <f>L468*0.0771612740</f>
        <v/>
      </c>
      <c r="BG468" s="191">
        <f>L468*0.0796890799</f>
        <v/>
      </c>
      <c r="BH468" s="191">
        <f>L468*0.0817745197</f>
        <v/>
      </c>
      <c r="BI468" s="191">
        <f>L468*0.0849342770</f>
        <v/>
      </c>
      <c r="BJ468" s="191">
        <f>L468*0.0870197169</f>
        <v/>
      </c>
      <c r="BK468" s="191">
        <f>L468*0.0889787664</f>
        <v/>
      </c>
      <c r="BL468" s="191">
        <f>L468*0.0911905966</f>
        <v/>
      </c>
      <c r="BM468" s="191">
        <f>L468*0.0935920121</f>
        <v/>
      </c>
      <c r="BN468" s="192">
        <f>L468*0.0967517695</f>
        <v/>
      </c>
      <c r="BO468" s="36" t="inlineStr">
        <is>
          <t>.</t>
        </is>
      </c>
      <c r="BP468" s="193">
        <f>SUM(BQ468:CB468)</f>
        <v/>
      </c>
      <c r="BQ468" s="191">
        <f>MAX(0,BC468-AA468)</f>
        <v/>
      </c>
      <c r="BR468" s="191">
        <f>MAX(0,BD468-AB468)</f>
        <v/>
      </c>
      <c r="BS468" s="191">
        <f>MAX(0,BE468-AC468)</f>
        <v/>
      </c>
      <c r="BT468" s="191">
        <f>MAX(0,BF468-AD468)</f>
        <v/>
      </c>
      <c r="BU468" s="191">
        <f>MAX(0,BG468-AE468)</f>
        <v/>
      </c>
      <c r="BV468" s="191">
        <f>MAX(0,BH468-AF468)</f>
        <v/>
      </c>
      <c r="BW468" s="191">
        <f>MAX(0,BI468-AG468)</f>
        <v/>
      </c>
      <c r="BX468" s="191">
        <f>MAX(0,BJ468-AH468)</f>
        <v/>
      </c>
      <c r="BY468" s="191">
        <f>MAX(0,BK468-AI468)</f>
        <v/>
      </c>
      <c r="BZ468" s="191">
        <f>MAX(0,BL468-AJ468)</f>
        <v/>
      </c>
      <c r="CA468" s="191">
        <f>MAX(0,BM468-AK468)</f>
        <v/>
      </c>
      <c r="CB468" s="192">
        <f>MAX(0,BN468-AL468)</f>
        <v/>
      </c>
    </row>
    <row r="469">
      <c r="A469" s="64" t="inlineStr">
        <is>
          <t>53934453000151</t>
        </is>
      </c>
      <c r="B469" s="57" t="inlineStr">
        <is>
          <t>GDB COMERCIO DE PRODUTOS NATURAIS LTDA -</t>
        </is>
      </c>
      <c r="C469" s="57" t="inlineStr">
        <is>
          <t>SEM GRUPO</t>
        </is>
      </c>
      <c r="D469" s="61" t="inlineStr">
        <is>
          <t>HEMANUELE DITZEL (MANU)</t>
        </is>
      </c>
      <c r="E469" s="30" t="inlineStr">
        <is>
          <t>.</t>
        </is>
      </c>
      <c r="F469" s="63" t="inlineStr"/>
      <c r="G469" s="179" t="inlineStr"/>
      <c r="H469" s="57" t="inlineStr"/>
      <c r="I469" s="57" t="inlineStr"/>
      <c r="J469" s="61" t="inlineStr"/>
      <c r="K469" s="30" t="inlineStr">
        <is>
          <t>.</t>
        </is>
      </c>
      <c r="L469" s="180" t="n">
        <v>1329.1</v>
      </c>
      <c r="M469" s="181" t="n">
        <v>93.40000000000001</v>
      </c>
      <c r="N469" s="181" t="n">
        <v>97.59999999999999</v>
      </c>
      <c r="O469" s="181" t="n">
        <v>99.95</v>
      </c>
      <c r="P469" s="181" t="n">
        <v>102.56</v>
      </c>
      <c r="Q469" s="181" t="n">
        <v>105.91</v>
      </c>
      <c r="R469" s="181" t="n">
        <v>108.69</v>
      </c>
      <c r="S469" s="181" t="n">
        <v>112.89</v>
      </c>
      <c r="T469" s="181" t="n">
        <v>115.66</v>
      </c>
      <c r="U469" s="181" t="n">
        <v>118.26</v>
      </c>
      <c r="V469" s="181" t="n">
        <v>121.2</v>
      </c>
      <c r="W469" s="181" t="n">
        <v>124.39</v>
      </c>
      <c r="X469" s="182" t="n">
        <v>128.59</v>
      </c>
      <c r="Y469" s="183" t="inlineStr">
        <is>
          <t>.</t>
        </is>
      </c>
      <c r="Z469" s="184">
        <f>SUM(AA469:AL469)</f>
        <v/>
      </c>
      <c r="AA469" s="185" t="n">
        <v>0</v>
      </c>
      <c r="AB469" s="185" t="n">
        <v>0</v>
      </c>
      <c r="AC469" s="185" t="n">
        <v>0</v>
      </c>
      <c r="AD469" s="185" t="n">
        <v>0</v>
      </c>
      <c r="AE469" s="185" t="n">
        <v>0</v>
      </c>
      <c r="AF469" s="185" t="n">
        <v>0</v>
      </c>
      <c r="AG469" s="185" t="n">
        <v>0</v>
      </c>
      <c r="AH469" s="185" t="n">
        <v>707.89</v>
      </c>
      <c r="AI469" s="185" t="n">
        <v>0</v>
      </c>
      <c r="AJ469" s="185" t="n">
        <v>0</v>
      </c>
      <c r="AK469" s="185" t="n">
        <v>0</v>
      </c>
      <c r="AL469" s="186" t="n">
        <v>0</v>
      </c>
      <c r="AM469" s="30" t="inlineStr">
        <is>
          <t>.</t>
        </is>
      </c>
      <c r="AN469" s="187">
        <f>IF(L469=0,0,Z469/L469)</f>
        <v/>
      </c>
      <c r="AO469" s="57">
        <f>IF(AN469&gt;=1,"🟢",IF(AN469&gt;=0.7,"🟡",IF(AN469&gt;=0.4,"🟠","🔴")))</f>
        <v/>
      </c>
      <c r="AP469" s="185">
        <f>L469-Z469</f>
        <v/>
      </c>
      <c r="AQ469" s="55">
        <f>RANK(Z469,$Z$4:$Z$503,0)</f>
        <v/>
      </c>
      <c r="AR469" s="39" t="inlineStr">
        <is>
          <t>.</t>
        </is>
      </c>
      <c r="AS469" s="27" t="n"/>
      <c r="AT469" s="27" t="n"/>
      <c r="AU469" s="27" t="n"/>
      <c r="AV469" s="27" t="n"/>
      <c r="AW469" s="27" t="n"/>
      <c r="AX469" s="27" t="n"/>
      <c r="AY469" s="204" t="n"/>
      <c r="AZ469" s="204" t="n"/>
      <c r="BA469" s="38" t="inlineStr">
        <is>
          <t>.</t>
        </is>
      </c>
      <c r="BB469" s="190">
        <f>SUM(BC469:BN469)</f>
        <v/>
      </c>
      <c r="BC469" s="191">
        <f>L469*0.0702730030</f>
        <v/>
      </c>
      <c r="BD469" s="191">
        <f>L469*0.0734327604</f>
        <v/>
      </c>
      <c r="BE469" s="191">
        <f>L469*0.0752022245</f>
        <v/>
      </c>
      <c r="BF469" s="191">
        <f>L469*0.0771612740</f>
        <v/>
      </c>
      <c r="BG469" s="191">
        <f>L469*0.0796890799</f>
        <v/>
      </c>
      <c r="BH469" s="191">
        <f>L469*0.0817745197</f>
        <v/>
      </c>
      <c r="BI469" s="191">
        <f>L469*0.0849342770</f>
        <v/>
      </c>
      <c r="BJ469" s="191">
        <f>L469*0.0870197169</f>
        <v/>
      </c>
      <c r="BK469" s="191">
        <f>L469*0.0889787664</f>
        <v/>
      </c>
      <c r="BL469" s="191">
        <f>L469*0.0911905966</f>
        <v/>
      </c>
      <c r="BM469" s="191">
        <f>L469*0.0935920121</f>
        <v/>
      </c>
      <c r="BN469" s="192">
        <f>L469*0.0967517695</f>
        <v/>
      </c>
      <c r="BO469" s="36" t="inlineStr">
        <is>
          <t>.</t>
        </is>
      </c>
      <c r="BP469" s="193">
        <f>SUM(BQ469:CB469)</f>
        <v/>
      </c>
      <c r="BQ469" s="191">
        <f>MAX(0,BC469-AA469)</f>
        <v/>
      </c>
      <c r="BR469" s="191">
        <f>MAX(0,BD469-AB469)</f>
        <v/>
      </c>
      <c r="BS469" s="191">
        <f>MAX(0,BE469-AC469)</f>
        <v/>
      </c>
      <c r="BT469" s="191">
        <f>MAX(0,BF469-AD469)</f>
        <v/>
      </c>
      <c r="BU469" s="191">
        <f>MAX(0,BG469-AE469)</f>
        <v/>
      </c>
      <c r="BV469" s="191">
        <f>MAX(0,BH469-AF469)</f>
        <v/>
      </c>
      <c r="BW469" s="191">
        <f>MAX(0,BI469-AG469)</f>
        <v/>
      </c>
      <c r="BX469" s="191">
        <f>MAX(0,BJ469-AH469)</f>
        <v/>
      </c>
      <c r="BY469" s="191">
        <f>MAX(0,BK469-AI469)</f>
        <v/>
      </c>
      <c r="BZ469" s="191">
        <f>MAX(0,BL469-AJ469)</f>
        <v/>
      </c>
      <c r="CA469" s="191">
        <f>MAX(0,BM469-AK469)</f>
        <v/>
      </c>
      <c r="CB469" s="192">
        <f>MAX(0,BN469-AL469)</f>
        <v/>
      </c>
    </row>
    <row r="470">
      <c r="A470" s="64" t="inlineStr">
        <is>
          <t>63487473000185</t>
        </is>
      </c>
      <c r="B470" s="57" t="inlineStr">
        <is>
          <t>KANITZ &amp; DANTAS LTDA - ME</t>
        </is>
      </c>
      <c r="C470" s="57" t="inlineStr">
        <is>
          <t>SEM GRUPO</t>
        </is>
      </c>
      <c r="D470" s="61" t="inlineStr">
        <is>
          <t>LARISSA PADILHA</t>
        </is>
      </c>
      <c r="E470" s="30" t="inlineStr">
        <is>
          <t>.</t>
        </is>
      </c>
      <c r="F470" s="63" t="inlineStr"/>
      <c r="G470" s="179" t="inlineStr"/>
      <c r="H470" s="57" t="inlineStr"/>
      <c r="I470" s="57" t="inlineStr"/>
      <c r="J470" s="61" t="inlineStr"/>
      <c r="K470" s="30" t="inlineStr">
        <is>
          <t>.</t>
        </is>
      </c>
      <c r="L470" s="180" t="n">
        <v>1326.57</v>
      </c>
      <c r="M470" s="181" t="n">
        <v>93.22</v>
      </c>
      <c r="N470" s="181" t="n">
        <v>97.41</v>
      </c>
      <c r="O470" s="181" t="n">
        <v>99.76000000000001</v>
      </c>
      <c r="P470" s="181" t="n">
        <v>102.36</v>
      </c>
      <c r="Q470" s="181" t="n">
        <v>105.71</v>
      </c>
      <c r="R470" s="181" t="n">
        <v>108.48</v>
      </c>
      <c r="S470" s="181" t="n">
        <v>112.67</v>
      </c>
      <c r="T470" s="181" t="n">
        <v>115.44</v>
      </c>
      <c r="U470" s="181" t="n">
        <v>118.04</v>
      </c>
      <c r="V470" s="181" t="n">
        <v>120.97</v>
      </c>
      <c r="W470" s="181" t="n">
        <v>124.16</v>
      </c>
      <c r="X470" s="182" t="n">
        <v>128.35</v>
      </c>
      <c r="Y470" s="183" t="inlineStr">
        <is>
          <t>.</t>
        </is>
      </c>
      <c r="Z470" s="184">
        <f>SUM(AA470:AL470)</f>
        <v/>
      </c>
      <c r="AA470" s="185" t="n">
        <v>0</v>
      </c>
      <c r="AB470" s="185" t="n">
        <v>0</v>
      </c>
      <c r="AC470" s="185" t="n">
        <v>0</v>
      </c>
      <c r="AD470" s="185" t="n">
        <v>0</v>
      </c>
      <c r="AE470" s="185" t="n">
        <v>0</v>
      </c>
      <c r="AF470" s="185" t="n">
        <v>0</v>
      </c>
      <c r="AG470" s="185" t="n">
        <v>0</v>
      </c>
      <c r="AH470" s="185" t="n">
        <v>0</v>
      </c>
      <c r="AI470" s="185" t="n">
        <v>0</v>
      </c>
      <c r="AJ470" s="185" t="n">
        <v>0</v>
      </c>
      <c r="AK470" s="185" t="n">
        <v>0</v>
      </c>
      <c r="AL470" s="186" t="n">
        <v>0</v>
      </c>
      <c r="AM470" s="222" t="n">
        <v>863.41</v>
      </c>
      <c r="AN470" s="187">
        <f>IF(L470=0,0,Z470/L470)</f>
        <v/>
      </c>
      <c r="AO470" s="57">
        <f>IF(AN470&gt;=1,"🟢",IF(AN470&gt;=0.7,"🟡",IF(AN470&gt;=0.4,"🟠","🔴")))</f>
        <v/>
      </c>
      <c r="AP470" s="185">
        <f>L470-Z470</f>
        <v/>
      </c>
      <c r="AQ470" s="55">
        <f>RANK(Z470,$Z$4:$Z$503,0)</f>
        <v/>
      </c>
      <c r="AR470" s="39" t="inlineStr">
        <is>
          <t>.</t>
        </is>
      </c>
      <c r="AS470" s="27" t="n"/>
      <c r="AT470" s="27" t="n"/>
      <c r="AU470" s="27" t="n"/>
      <c r="AV470" s="27" t="n"/>
      <c r="AW470" s="27" t="n"/>
      <c r="AX470" s="27" t="n"/>
      <c r="AY470" s="204" t="n"/>
      <c r="AZ470" s="204" t="n"/>
      <c r="BA470" s="38" t="inlineStr">
        <is>
          <t>.</t>
        </is>
      </c>
      <c r="BB470" s="190">
        <f>SUM(BC470:BN470)</f>
        <v/>
      </c>
      <c r="BC470" s="191">
        <f>L470*0.0702730030</f>
        <v/>
      </c>
      <c r="BD470" s="191">
        <f>L470*0.0734327604</f>
        <v/>
      </c>
      <c r="BE470" s="191">
        <f>L470*0.0752022245</f>
        <v/>
      </c>
      <c r="BF470" s="191">
        <f>L470*0.0771612740</f>
        <v/>
      </c>
      <c r="BG470" s="191">
        <f>L470*0.0796890799</f>
        <v/>
      </c>
      <c r="BH470" s="191">
        <f>L470*0.0817745197</f>
        <v/>
      </c>
      <c r="BI470" s="191">
        <f>L470*0.0849342770</f>
        <v/>
      </c>
      <c r="BJ470" s="191">
        <f>L470*0.0870197169</f>
        <v/>
      </c>
      <c r="BK470" s="191">
        <f>L470*0.0889787664</f>
        <v/>
      </c>
      <c r="BL470" s="191">
        <f>L470*0.0911905966</f>
        <v/>
      </c>
      <c r="BM470" s="191">
        <f>L470*0.0935920121</f>
        <v/>
      </c>
      <c r="BN470" s="192">
        <f>L470*0.0967517695</f>
        <v/>
      </c>
      <c r="BO470" s="36" t="inlineStr">
        <is>
          <t>.</t>
        </is>
      </c>
      <c r="BP470" s="193">
        <f>SUM(BQ470:CB470)</f>
        <v/>
      </c>
      <c r="BQ470" s="191">
        <f>MAX(0,BC470-AA470)</f>
        <v/>
      </c>
      <c r="BR470" s="191">
        <f>MAX(0,BD470-AB470)</f>
        <v/>
      </c>
      <c r="BS470" s="191">
        <f>MAX(0,BE470-AC470)</f>
        <v/>
      </c>
      <c r="BT470" s="191">
        <f>MAX(0,BF470-AD470)</f>
        <v/>
      </c>
      <c r="BU470" s="191">
        <f>MAX(0,BG470-AE470)</f>
        <v/>
      </c>
      <c r="BV470" s="191">
        <f>MAX(0,BH470-AF470)</f>
        <v/>
      </c>
      <c r="BW470" s="191">
        <f>MAX(0,BI470-AG470)</f>
        <v/>
      </c>
      <c r="BX470" s="191">
        <f>MAX(0,BJ470-AH470)</f>
        <v/>
      </c>
      <c r="BY470" s="191">
        <f>MAX(0,BK470-AI470)</f>
        <v/>
      </c>
      <c r="BZ470" s="191">
        <f>MAX(0,BL470-AJ470)</f>
        <v/>
      </c>
      <c r="CA470" s="191">
        <f>MAX(0,BM470-AK470)</f>
        <v/>
      </c>
      <c r="CB470" s="192">
        <f>MAX(0,BN470-AL470)</f>
        <v/>
      </c>
    </row>
    <row r="471">
      <c r="A471" s="64" t="inlineStr">
        <is>
          <t>54729143000168</t>
        </is>
      </c>
      <c r="B471" s="57" t="inlineStr">
        <is>
          <t>LET S MARKET LTDA - ME</t>
        </is>
      </c>
      <c r="C471" s="57" t="inlineStr">
        <is>
          <t>SEM GRUPO</t>
        </is>
      </c>
      <c r="D471" s="61" t="inlineStr">
        <is>
          <t>HEMANUELE DITZEL (MANU)</t>
        </is>
      </c>
      <c r="E471" s="30" t="inlineStr">
        <is>
          <t>.</t>
        </is>
      </c>
      <c r="F471" s="63" t="inlineStr"/>
      <c r="G471" s="179" t="inlineStr"/>
      <c r="H471" s="57" t="inlineStr"/>
      <c r="I471" s="57" t="inlineStr"/>
      <c r="J471" s="61" t="inlineStr"/>
      <c r="K471" s="30" t="inlineStr">
        <is>
          <t>.</t>
        </is>
      </c>
      <c r="L471" s="180" t="n">
        <v>1306.04</v>
      </c>
      <c r="M471" s="181" t="n">
        <v>91.78</v>
      </c>
      <c r="N471" s="181" t="n">
        <v>95.91</v>
      </c>
      <c r="O471" s="181" t="n">
        <v>98.22</v>
      </c>
      <c r="P471" s="181" t="n">
        <v>100.77</v>
      </c>
      <c r="Q471" s="181" t="n">
        <v>104.08</v>
      </c>
      <c r="R471" s="181" t="n">
        <v>106.8</v>
      </c>
      <c r="S471" s="181" t="n">
        <v>110.93</v>
      </c>
      <c r="T471" s="181" t="n">
        <v>113.65</v>
      </c>
      <c r="U471" s="181" t="n">
        <v>116.21</v>
      </c>
      <c r="V471" s="181" t="n">
        <v>119.1</v>
      </c>
      <c r="W471" s="181" t="n">
        <v>122.23</v>
      </c>
      <c r="X471" s="182" t="n">
        <v>126.36</v>
      </c>
      <c r="Y471" s="183" t="inlineStr">
        <is>
          <t>.</t>
        </is>
      </c>
      <c r="Z471" s="184">
        <f>SUM(AA471:AL471)</f>
        <v/>
      </c>
      <c r="AA471" s="185" t="n">
        <v>0</v>
      </c>
      <c r="AB471" s="185" t="n">
        <v>0</v>
      </c>
      <c r="AC471" s="185" t="n">
        <v>0</v>
      </c>
      <c r="AD471" s="185" t="n">
        <v>0</v>
      </c>
      <c r="AE471" s="185" t="n">
        <v>0</v>
      </c>
      <c r="AF471" s="185" t="n">
        <v>0</v>
      </c>
      <c r="AG471" s="185" t="n">
        <v>0</v>
      </c>
      <c r="AH471" s="185" t="n">
        <v>0</v>
      </c>
      <c r="AI471" s="185" t="n">
        <v>880.12</v>
      </c>
      <c r="AJ471" s="185" t="n">
        <v>0</v>
      </c>
      <c r="AK471" s="185" t="n">
        <v>0</v>
      </c>
      <c r="AL471" s="186" t="n">
        <v>0</v>
      </c>
      <c r="AM471" s="30" t="inlineStr">
        <is>
          <t>.</t>
        </is>
      </c>
      <c r="AN471" s="187">
        <f>IF(L471=0,0,Z471/L471)</f>
        <v/>
      </c>
      <c r="AO471" s="57">
        <f>IF(AN471&gt;=1,"🟢",IF(AN471&gt;=0.7,"🟡",IF(AN471&gt;=0.4,"🟠","🔴")))</f>
        <v/>
      </c>
      <c r="AP471" s="185">
        <f>L471-Z471</f>
        <v/>
      </c>
      <c r="AQ471" s="55">
        <f>RANK(Z471,$Z$4:$Z$503,0)</f>
        <v/>
      </c>
      <c r="AR471" s="39" t="inlineStr">
        <is>
          <t>.</t>
        </is>
      </c>
      <c r="AS471" s="27" t="n"/>
      <c r="AT471" s="27" t="n"/>
      <c r="AU471" s="27" t="n"/>
      <c r="AV471" s="27" t="n"/>
      <c r="AW471" s="27" t="n"/>
      <c r="AX471" s="27" t="n"/>
      <c r="AY471" s="204" t="n"/>
      <c r="AZ471" s="204" t="n"/>
      <c r="BA471" s="38" t="inlineStr">
        <is>
          <t>.</t>
        </is>
      </c>
      <c r="BB471" s="190">
        <f>SUM(BC471:BN471)</f>
        <v/>
      </c>
      <c r="BC471" s="191">
        <f>L471*0.0702730030</f>
        <v/>
      </c>
      <c r="BD471" s="191">
        <f>L471*0.0734327604</f>
        <v/>
      </c>
      <c r="BE471" s="191">
        <f>L471*0.0752022245</f>
        <v/>
      </c>
      <c r="BF471" s="191">
        <f>L471*0.0771612740</f>
        <v/>
      </c>
      <c r="BG471" s="191">
        <f>L471*0.0796890799</f>
        <v/>
      </c>
      <c r="BH471" s="191">
        <f>L471*0.0817745197</f>
        <v/>
      </c>
      <c r="BI471" s="191">
        <f>L471*0.0849342770</f>
        <v/>
      </c>
      <c r="BJ471" s="191">
        <f>L471*0.0870197169</f>
        <v/>
      </c>
      <c r="BK471" s="191">
        <f>L471*0.0889787664</f>
        <v/>
      </c>
      <c r="BL471" s="191">
        <f>L471*0.0911905966</f>
        <v/>
      </c>
      <c r="BM471" s="191">
        <f>L471*0.0935920121</f>
        <v/>
      </c>
      <c r="BN471" s="192">
        <f>L471*0.0967517695</f>
        <v/>
      </c>
      <c r="BO471" s="36" t="inlineStr">
        <is>
          <t>.</t>
        </is>
      </c>
      <c r="BP471" s="193">
        <f>SUM(BQ471:CB471)</f>
        <v/>
      </c>
      <c r="BQ471" s="191">
        <f>MAX(0,BC471-AA471)</f>
        <v/>
      </c>
      <c r="BR471" s="191">
        <f>MAX(0,BD471-AB471)</f>
        <v/>
      </c>
      <c r="BS471" s="191">
        <f>MAX(0,BE471-AC471)</f>
        <v/>
      </c>
      <c r="BT471" s="191">
        <f>MAX(0,BF471-AD471)</f>
        <v/>
      </c>
      <c r="BU471" s="191">
        <f>MAX(0,BG471-AE471)</f>
        <v/>
      </c>
      <c r="BV471" s="191">
        <f>MAX(0,BH471-AF471)</f>
        <v/>
      </c>
      <c r="BW471" s="191">
        <f>MAX(0,BI471-AG471)</f>
        <v/>
      </c>
      <c r="BX471" s="191">
        <f>MAX(0,BJ471-AH471)</f>
        <v/>
      </c>
      <c r="BY471" s="191">
        <f>MAX(0,BK471-AI471)</f>
        <v/>
      </c>
      <c r="BZ471" s="191">
        <f>MAX(0,BL471-AJ471)</f>
        <v/>
      </c>
      <c r="CA471" s="191">
        <f>MAX(0,BM471-AK471)</f>
        <v/>
      </c>
      <c r="CB471" s="192">
        <f>MAX(0,BN471-AL471)</f>
        <v/>
      </c>
    </row>
    <row r="472">
      <c r="A472" s="64" t="inlineStr">
        <is>
          <t>42657490000143</t>
        </is>
      </c>
      <c r="B472" s="57" t="inlineStr">
        <is>
          <t>VERCATTO BOUTIQUE SAUDAVEL LTDA - ME</t>
        </is>
      </c>
      <c r="C472" s="57" t="inlineStr">
        <is>
          <t>SEM GRUPO</t>
        </is>
      </c>
      <c r="D472" s="61" t="inlineStr">
        <is>
          <t>HEMANUELE DITZEL (MANU)</t>
        </is>
      </c>
      <c r="E472" s="30" t="inlineStr">
        <is>
          <t>.</t>
        </is>
      </c>
      <c r="F472" s="63" t="inlineStr"/>
      <c r="G472" s="179" t="inlineStr"/>
      <c r="H472" s="57" t="inlineStr"/>
      <c r="I472" s="57" t="inlineStr"/>
      <c r="J472" s="61" t="inlineStr"/>
      <c r="K472" s="30" t="inlineStr">
        <is>
          <t>.</t>
        </is>
      </c>
      <c r="L472" s="180" t="n">
        <v>1270.21</v>
      </c>
      <c r="M472" s="181" t="n">
        <v>89.26000000000001</v>
      </c>
      <c r="N472" s="181" t="n">
        <v>93.28</v>
      </c>
      <c r="O472" s="181" t="n">
        <v>95.52</v>
      </c>
      <c r="P472" s="181" t="n">
        <v>98.01000000000001</v>
      </c>
      <c r="Q472" s="181" t="n">
        <v>101.22</v>
      </c>
      <c r="R472" s="181" t="n">
        <v>103.87</v>
      </c>
      <c r="S472" s="181" t="n">
        <v>107.89</v>
      </c>
      <c r="T472" s="181" t="n">
        <v>110.53</v>
      </c>
      <c r="U472" s="181" t="n">
        <v>113.02</v>
      </c>
      <c r="V472" s="181" t="n">
        <v>115.83</v>
      </c>
      <c r="W472" s="181" t="n">
        <v>118.88</v>
      </c>
      <c r="X472" s="182" t="n">
        <v>122.9</v>
      </c>
      <c r="Y472" s="183" t="inlineStr">
        <is>
          <t>.</t>
        </is>
      </c>
      <c r="Z472" s="184">
        <f>SUM(AA472:AL472)</f>
        <v/>
      </c>
      <c r="AA472" s="185" t="n">
        <v>0</v>
      </c>
      <c r="AB472" s="185" t="n">
        <v>0</v>
      </c>
      <c r="AC472" s="185" t="n">
        <v>0</v>
      </c>
      <c r="AD472" s="185" t="n">
        <v>0</v>
      </c>
      <c r="AE472" s="185" t="n">
        <v>0</v>
      </c>
      <c r="AF472" s="185" t="n">
        <v>0</v>
      </c>
      <c r="AG472" s="185" t="n">
        <v>0</v>
      </c>
      <c r="AH472" s="185" t="n">
        <v>683.08</v>
      </c>
      <c r="AI472" s="185" t="n">
        <v>0</v>
      </c>
      <c r="AJ472" s="185" t="n">
        <v>0</v>
      </c>
      <c r="AK472" s="185" t="n">
        <v>0</v>
      </c>
      <c r="AL472" s="186" t="n">
        <v>0</v>
      </c>
      <c r="AM472" s="30" t="inlineStr">
        <is>
          <t>.</t>
        </is>
      </c>
      <c r="AN472" s="187">
        <f>IF(L472=0,0,Z472/L472)</f>
        <v/>
      </c>
      <c r="AO472" s="57">
        <f>IF(AN472&gt;=1,"🟢",IF(AN472&gt;=0.7,"🟡",IF(AN472&gt;=0.4,"🟠","🔴")))</f>
        <v/>
      </c>
      <c r="AP472" s="185">
        <f>L472-Z472</f>
        <v/>
      </c>
      <c r="AQ472" s="55">
        <f>RANK(Z472,$Z$4:$Z$503,0)</f>
        <v/>
      </c>
      <c r="AR472" s="39" t="inlineStr">
        <is>
          <t>.</t>
        </is>
      </c>
      <c r="AS472" s="27" t="n"/>
      <c r="AT472" s="27" t="n"/>
      <c r="AU472" s="27" t="n"/>
      <c r="AV472" s="27" t="n"/>
      <c r="AW472" s="27" t="n"/>
      <c r="AX472" s="27" t="n"/>
      <c r="AY472" s="204" t="n"/>
      <c r="AZ472" s="204" t="n"/>
      <c r="BA472" s="38" t="inlineStr">
        <is>
          <t>.</t>
        </is>
      </c>
      <c r="BB472" s="190">
        <f>SUM(BC472:BN472)</f>
        <v/>
      </c>
      <c r="BC472" s="191">
        <f>L472*0.0702730030</f>
        <v/>
      </c>
      <c r="BD472" s="191">
        <f>L472*0.0734327604</f>
        <v/>
      </c>
      <c r="BE472" s="191">
        <f>L472*0.0752022245</f>
        <v/>
      </c>
      <c r="BF472" s="191">
        <f>L472*0.0771612740</f>
        <v/>
      </c>
      <c r="BG472" s="191">
        <f>L472*0.0796890799</f>
        <v/>
      </c>
      <c r="BH472" s="191">
        <f>L472*0.0817745197</f>
        <v/>
      </c>
      <c r="BI472" s="191">
        <f>L472*0.0849342770</f>
        <v/>
      </c>
      <c r="BJ472" s="191">
        <f>L472*0.0870197169</f>
        <v/>
      </c>
      <c r="BK472" s="191">
        <f>L472*0.0889787664</f>
        <v/>
      </c>
      <c r="BL472" s="191">
        <f>L472*0.0911905966</f>
        <v/>
      </c>
      <c r="BM472" s="191">
        <f>L472*0.0935920121</f>
        <v/>
      </c>
      <c r="BN472" s="192">
        <f>L472*0.0967517695</f>
        <v/>
      </c>
      <c r="BO472" s="36" t="inlineStr">
        <is>
          <t>.</t>
        </is>
      </c>
      <c r="BP472" s="193">
        <f>SUM(BQ472:CB472)</f>
        <v/>
      </c>
      <c r="BQ472" s="191">
        <f>MAX(0,BC472-AA472)</f>
        <v/>
      </c>
      <c r="BR472" s="191">
        <f>MAX(0,BD472-AB472)</f>
        <v/>
      </c>
      <c r="BS472" s="191">
        <f>MAX(0,BE472-AC472)</f>
        <v/>
      </c>
      <c r="BT472" s="191">
        <f>MAX(0,BF472-AD472)</f>
        <v/>
      </c>
      <c r="BU472" s="191">
        <f>MAX(0,BG472-AE472)</f>
        <v/>
      </c>
      <c r="BV472" s="191">
        <f>MAX(0,BH472-AF472)</f>
        <v/>
      </c>
      <c r="BW472" s="191">
        <f>MAX(0,BI472-AG472)</f>
        <v/>
      </c>
      <c r="BX472" s="191">
        <f>MAX(0,BJ472-AH472)</f>
        <v/>
      </c>
      <c r="BY472" s="191">
        <f>MAX(0,BK472-AI472)</f>
        <v/>
      </c>
      <c r="BZ472" s="191">
        <f>MAX(0,BL472-AJ472)</f>
        <v/>
      </c>
      <c r="CA472" s="191">
        <f>MAX(0,BM472-AK472)</f>
        <v/>
      </c>
      <c r="CB472" s="192">
        <f>MAX(0,BN472-AL472)</f>
        <v/>
      </c>
    </row>
    <row r="473">
      <c r="A473" s="64" t="inlineStr">
        <is>
          <t>92916360000237</t>
        </is>
      </c>
      <c r="B473" s="57" t="inlineStr">
        <is>
          <t>BANCA12 ARMAZEM DE PRODUTOS NATURAISLTDA</t>
        </is>
      </c>
      <c r="C473" s="57" t="inlineStr">
        <is>
          <t>SEM GRUPO</t>
        </is>
      </c>
      <c r="D473" s="61" t="inlineStr">
        <is>
          <t>HEMANUELE DITZEL (MANU)</t>
        </is>
      </c>
      <c r="E473" s="30" t="inlineStr">
        <is>
          <t>.</t>
        </is>
      </c>
      <c r="F473" s="63" t="inlineStr"/>
      <c r="G473" s="179" t="inlineStr"/>
      <c r="H473" s="57" t="inlineStr"/>
      <c r="I473" s="57" t="inlineStr"/>
      <c r="J473" s="61" t="inlineStr"/>
      <c r="K473" s="30" t="inlineStr">
        <is>
          <t>.</t>
        </is>
      </c>
      <c r="L473" s="180" t="n">
        <v>1260.48</v>
      </c>
      <c r="M473" s="181" t="n">
        <v>88.58</v>
      </c>
      <c r="N473" s="181" t="n">
        <v>92.56</v>
      </c>
      <c r="O473" s="181" t="n">
        <v>94.79000000000001</v>
      </c>
      <c r="P473" s="181" t="n">
        <v>97.26000000000001</v>
      </c>
      <c r="Q473" s="181" t="n">
        <v>100.45</v>
      </c>
      <c r="R473" s="181" t="n">
        <v>103.07</v>
      </c>
      <c r="S473" s="181" t="n">
        <v>107.06</v>
      </c>
      <c r="T473" s="181" t="n">
        <v>109.69</v>
      </c>
      <c r="U473" s="181" t="n">
        <v>112.16</v>
      </c>
      <c r="V473" s="181" t="n">
        <v>114.94</v>
      </c>
      <c r="W473" s="181" t="n">
        <v>117.97</v>
      </c>
      <c r="X473" s="182" t="n">
        <v>121.95</v>
      </c>
      <c r="Y473" s="183" t="inlineStr">
        <is>
          <t>.</t>
        </is>
      </c>
      <c r="Z473" s="184">
        <f>SUM(AA473:AL473)</f>
        <v/>
      </c>
      <c r="AA473" s="185" t="n">
        <v>0</v>
      </c>
      <c r="AB473" s="185" t="n">
        <v>0</v>
      </c>
      <c r="AC473" s="185" t="n">
        <v>0</v>
      </c>
      <c r="AD473" s="185" t="n">
        <v>0</v>
      </c>
      <c r="AE473" s="185" t="n">
        <v>0</v>
      </c>
      <c r="AF473" s="185" t="n">
        <v>0</v>
      </c>
      <c r="AG473" s="185" t="n">
        <v>0</v>
      </c>
      <c r="AH473" s="185" t="n">
        <v>0</v>
      </c>
      <c r="AI473" s="185" t="n">
        <v>0</v>
      </c>
      <c r="AJ473" s="185" t="n">
        <v>2744.07</v>
      </c>
      <c r="AK473" s="185" t="n">
        <v>0</v>
      </c>
      <c r="AL473" s="186" t="n">
        <v>0</v>
      </c>
      <c r="AM473" s="30" t="inlineStr">
        <is>
          <t>.</t>
        </is>
      </c>
      <c r="AN473" s="187">
        <f>IF(L473=0,0,Z473/L473)</f>
        <v/>
      </c>
      <c r="AO473" s="57">
        <f>IF(AN473&gt;=1,"🟢",IF(AN473&gt;=0.7,"🟡",IF(AN473&gt;=0.4,"🟠","🔴")))</f>
        <v/>
      </c>
      <c r="AP473" s="185">
        <f>L473-Z473</f>
        <v/>
      </c>
      <c r="AQ473" s="55">
        <f>RANK(Z473,$Z$4:$Z$503,0)</f>
        <v/>
      </c>
      <c r="AR473" s="39" t="inlineStr">
        <is>
          <t>.</t>
        </is>
      </c>
      <c r="AS473" s="27" t="n"/>
      <c r="AT473" s="27" t="n"/>
      <c r="AU473" s="27" t="n"/>
      <c r="AV473" s="27" t="n"/>
      <c r="AW473" s="27" t="n"/>
      <c r="AX473" s="27" t="n"/>
      <c r="AY473" s="204" t="n"/>
      <c r="AZ473" s="204" t="n"/>
      <c r="BA473" s="38" t="inlineStr">
        <is>
          <t>.</t>
        </is>
      </c>
      <c r="BB473" s="190">
        <f>SUM(BC473:BN473)</f>
        <v/>
      </c>
      <c r="BC473" s="191">
        <f>L473*0.0702730030</f>
        <v/>
      </c>
      <c r="BD473" s="191">
        <f>L473*0.0734327604</f>
        <v/>
      </c>
      <c r="BE473" s="191">
        <f>L473*0.0752022245</f>
        <v/>
      </c>
      <c r="BF473" s="191">
        <f>L473*0.0771612740</f>
        <v/>
      </c>
      <c r="BG473" s="191">
        <f>L473*0.0796890799</f>
        <v/>
      </c>
      <c r="BH473" s="191">
        <f>L473*0.0817745197</f>
        <v/>
      </c>
      <c r="BI473" s="191">
        <f>L473*0.0849342770</f>
        <v/>
      </c>
      <c r="BJ473" s="191">
        <f>L473*0.0870197169</f>
        <v/>
      </c>
      <c r="BK473" s="191">
        <f>L473*0.0889787664</f>
        <v/>
      </c>
      <c r="BL473" s="191">
        <f>L473*0.0911905966</f>
        <v/>
      </c>
      <c r="BM473" s="191">
        <f>L473*0.0935920121</f>
        <v/>
      </c>
      <c r="BN473" s="192">
        <f>L473*0.0967517695</f>
        <v/>
      </c>
      <c r="BO473" s="36" t="inlineStr">
        <is>
          <t>.</t>
        </is>
      </c>
      <c r="BP473" s="193">
        <f>SUM(BQ473:CB473)</f>
        <v/>
      </c>
      <c r="BQ473" s="191">
        <f>MAX(0,BC473-AA473)</f>
        <v/>
      </c>
      <c r="BR473" s="191">
        <f>MAX(0,BD473-AB473)</f>
        <v/>
      </c>
      <c r="BS473" s="191">
        <f>MAX(0,BE473-AC473)</f>
        <v/>
      </c>
      <c r="BT473" s="191">
        <f>MAX(0,BF473-AD473)</f>
        <v/>
      </c>
      <c r="BU473" s="191">
        <f>MAX(0,BG473-AE473)</f>
        <v/>
      </c>
      <c r="BV473" s="191">
        <f>MAX(0,BH473-AF473)</f>
        <v/>
      </c>
      <c r="BW473" s="191">
        <f>MAX(0,BI473-AG473)</f>
        <v/>
      </c>
      <c r="BX473" s="191">
        <f>MAX(0,BJ473-AH473)</f>
        <v/>
      </c>
      <c r="BY473" s="191">
        <f>MAX(0,BK473-AI473)</f>
        <v/>
      </c>
      <c r="BZ473" s="191">
        <f>MAX(0,BL473-AJ473)</f>
        <v/>
      </c>
      <c r="CA473" s="191">
        <f>MAX(0,BM473-AK473)</f>
        <v/>
      </c>
      <c r="CB473" s="192">
        <f>MAX(0,BN473-AL473)</f>
        <v/>
      </c>
    </row>
    <row r="474">
      <c r="A474" s="64" t="inlineStr">
        <is>
          <t>42774131000176</t>
        </is>
      </c>
      <c r="B474" s="57" t="inlineStr">
        <is>
          <t>GMJ EMPORIO SAUDAVEL LTDA</t>
        </is>
      </c>
      <c r="C474" s="57" t="inlineStr">
        <is>
          <t>DIVINA TERRA</t>
        </is>
      </c>
      <c r="D474" s="61" t="inlineStr">
        <is>
          <t>DAIANE STAVICKI</t>
        </is>
      </c>
      <c r="E474" s="30" t="inlineStr">
        <is>
          <t>.</t>
        </is>
      </c>
      <c r="F474" s="63" t="n">
        <v>85</v>
      </c>
      <c r="G474" s="179" t="n">
        <v>0.1</v>
      </c>
      <c r="H474" s="57" t="inlineStr">
        <is>
          <t>🔴 VERMELHO</t>
        </is>
      </c>
      <c r="I474" s="57" t="inlineStr">
        <is>
          <t>POSITIVAÇÃO</t>
        </is>
      </c>
      <c r="J474" s="61" t="inlineStr">
        <is>
          <t>Aumentar frequência + Expandir base</t>
        </is>
      </c>
      <c r="K474" s="30" t="inlineStr">
        <is>
          <t>.</t>
        </is>
      </c>
      <c r="L474" s="180" t="n">
        <v>1183.38</v>
      </c>
      <c r="M474" s="181" t="n">
        <v>83.16</v>
      </c>
      <c r="N474" s="181" t="n">
        <v>86.90000000000001</v>
      </c>
      <c r="O474" s="181" t="n">
        <v>88.98999999999999</v>
      </c>
      <c r="P474" s="181" t="n">
        <v>91.31</v>
      </c>
      <c r="Q474" s="181" t="n">
        <v>94.3</v>
      </c>
      <c r="R474" s="181" t="n">
        <v>96.77</v>
      </c>
      <c r="S474" s="181" t="n">
        <v>100.51</v>
      </c>
      <c r="T474" s="181" t="n">
        <v>102.98</v>
      </c>
      <c r="U474" s="181" t="n">
        <v>105.3</v>
      </c>
      <c r="V474" s="181" t="n">
        <v>107.91</v>
      </c>
      <c r="W474" s="181" t="n">
        <v>110.76</v>
      </c>
      <c r="X474" s="182" t="n">
        <v>114.49</v>
      </c>
      <c r="Y474" s="183" t="inlineStr">
        <is>
          <t>.</t>
        </is>
      </c>
      <c r="Z474" s="184">
        <f>SUM(AA474:AL474)</f>
        <v/>
      </c>
      <c r="AA474" s="185" t="n">
        <v>879.96</v>
      </c>
      <c r="AB474" s="185" t="n">
        <v>0</v>
      </c>
      <c r="AC474" s="185" t="n">
        <v>0</v>
      </c>
      <c r="AD474" s="185" t="n">
        <v>0</v>
      </c>
      <c r="AE474" s="185" t="n">
        <v>0</v>
      </c>
      <c r="AF474" s="185" t="n">
        <v>0</v>
      </c>
      <c r="AG474" s="185" t="n">
        <v>0</v>
      </c>
      <c r="AH474" s="185" t="n">
        <v>0</v>
      </c>
      <c r="AI474" s="185" t="n">
        <v>0</v>
      </c>
      <c r="AJ474" s="185" t="n">
        <v>0</v>
      </c>
      <c r="AK474" s="185" t="n">
        <v>0</v>
      </c>
      <c r="AL474" s="186" t="n">
        <v>0</v>
      </c>
      <c r="AM474" s="30" t="inlineStr">
        <is>
          <t>.</t>
        </is>
      </c>
      <c r="AN474" s="187">
        <f>IF(L474=0,0,Z474/L474)</f>
        <v/>
      </c>
      <c r="AO474" s="57">
        <f>IF(AN474&gt;=1,"🟢",IF(AN474&gt;=0.7,"🟡",IF(AN474&gt;=0.4,"🟠","🔴")))</f>
        <v/>
      </c>
      <c r="AP474" s="185">
        <f>L474-Z474</f>
        <v/>
      </c>
      <c r="AQ474" s="55">
        <f>RANK(Z474,$Z$4:$Z$503,0)</f>
        <v/>
      </c>
      <c r="AR474" s="39" t="inlineStr">
        <is>
          <t>.</t>
        </is>
      </c>
      <c r="AS474" s="27" t="n"/>
      <c r="AT474" s="27" t="n"/>
      <c r="AU474" s="27" t="n"/>
      <c r="AV474" s="27" t="n"/>
      <c r="AW474" s="27" t="n"/>
      <c r="AX474" s="27" t="n"/>
      <c r="AY474" s="204" t="n"/>
      <c r="AZ474" s="204" t="n"/>
      <c r="BA474" s="38" t="inlineStr">
        <is>
          <t>.</t>
        </is>
      </c>
      <c r="BB474" s="190">
        <f>SUM(BC474:BN474)</f>
        <v/>
      </c>
      <c r="BC474" s="191">
        <f>L474*0.0702730030</f>
        <v/>
      </c>
      <c r="BD474" s="191">
        <f>L474*0.0734327604</f>
        <v/>
      </c>
      <c r="BE474" s="191">
        <f>L474*0.0752022245</f>
        <v/>
      </c>
      <c r="BF474" s="191">
        <f>L474*0.0771612740</f>
        <v/>
      </c>
      <c r="BG474" s="191">
        <f>L474*0.0796890799</f>
        <v/>
      </c>
      <c r="BH474" s="191">
        <f>L474*0.0817745197</f>
        <v/>
      </c>
      <c r="BI474" s="191">
        <f>L474*0.0849342770</f>
        <v/>
      </c>
      <c r="BJ474" s="191">
        <f>L474*0.0870197169</f>
        <v/>
      </c>
      <c r="BK474" s="191">
        <f>L474*0.0889787664</f>
        <v/>
      </c>
      <c r="BL474" s="191">
        <f>L474*0.0911905966</f>
        <v/>
      </c>
      <c r="BM474" s="191">
        <f>L474*0.0935920121</f>
        <v/>
      </c>
      <c r="BN474" s="192">
        <f>L474*0.0967517695</f>
        <v/>
      </c>
      <c r="BO474" s="36" t="inlineStr">
        <is>
          <t>.</t>
        </is>
      </c>
      <c r="BP474" s="193">
        <f>SUM(BQ474:CB474)</f>
        <v/>
      </c>
      <c r="BQ474" s="191">
        <f>MAX(0,BC474-AA474)</f>
        <v/>
      </c>
      <c r="BR474" s="191">
        <f>MAX(0,BD474-AB474)</f>
        <v/>
      </c>
      <c r="BS474" s="191">
        <f>MAX(0,BE474-AC474)</f>
        <v/>
      </c>
      <c r="BT474" s="191">
        <f>MAX(0,BF474-AD474)</f>
        <v/>
      </c>
      <c r="BU474" s="191">
        <f>MAX(0,BG474-AE474)</f>
        <v/>
      </c>
      <c r="BV474" s="191">
        <f>MAX(0,BH474-AF474)</f>
        <v/>
      </c>
      <c r="BW474" s="191">
        <f>MAX(0,BI474-AG474)</f>
        <v/>
      </c>
      <c r="BX474" s="191">
        <f>MAX(0,BJ474-AH474)</f>
        <v/>
      </c>
      <c r="BY474" s="191">
        <f>MAX(0,BK474-AI474)</f>
        <v/>
      </c>
      <c r="BZ474" s="191">
        <f>MAX(0,BL474-AJ474)</f>
        <v/>
      </c>
      <c r="CA474" s="191">
        <f>MAX(0,BM474-AK474)</f>
        <v/>
      </c>
      <c r="CB474" s="192">
        <f>MAX(0,BN474-AL474)</f>
        <v/>
      </c>
    </row>
    <row r="475">
      <c r="A475" s="64" t="inlineStr">
        <is>
          <t>18587768000179</t>
        </is>
      </c>
      <c r="B475" s="57" t="inlineStr">
        <is>
          <t>MAIRA FONTOURA VIEIRA MARQUES - ME</t>
        </is>
      </c>
      <c r="C475" s="57" t="inlineStr">
        <is>
          <t>SEM GRUPO</t>
        </is>
      </c>
      <c r="D475" s="61" t="inlineStr">
        <is>
          <t>HEMANUELE DITZEL (MANU)</t>
        </is>
      </c>
      <c r="E475" s="30" t="inlineStr">
        <is>
          <t>.</t>
        </is>
      </c>
      <c r="F475" s="63" t="inlineStr"/>
      <c r="G475" s="179" t="inlineStr"/>
      <c r="H475" s="57" t="inlineStr"/>
      <c r="I475" s="57" t="inlineStr"/>
      <c r="J475" s="61" t="inlineStr"/>
      <c r="K475" s="30" t="inlineStr">
        <is>
          <t>.</t>
        </is>
      </c>
      <c r="L475" s="180" t="n">
        <v>1118.97</v>
      </c>
      <c r="M475" s="181" t="n">
        <v>78.63</v>
      </c>
      <c r="N475" s="181" t="n">
        <v>82.17</v>
      </c>
      <c r="O475" s="181" t="n">
        <v>84.15000000000001</v>
      </c>
      <c r="P475" s="181" t="n">
        <v>86.34</v>
      </c>
      <c r="Q475" s="181" t="n">
        <v>89.17</v>
      </c>
      <c r="R475" s="181" t="n">
        <v>91.5</v>
      </c>
      <c r="S475" s="181" t="n">
        <v>95.04000000000001</v>
      </c>
      <c r="T475" s="181" t="n">
        <v>97.37</v>
      </c>
      <c r="U475" s="181" t="n">
        <v>99.56999999999999</v>
      </c>
      <c r="V475" s="181" t="n">
        <v>102.04</v>
      </c>
      <c r="W475" s="181" t="n">
        <v>104.73</v>
      </c>
      <c r="X475" s="182" t="n">
        <v>108.26</v>
      </c>
      <c r="Y475" s="183" t="inlineStr">
        <is>
          <t>.</t>
        </is>
      </c>
      <c r="Z475" s="184">
        <f>SUM(AA475:AL475)</f>
        <v/>
      </c>
      <c r="AA475" s="185" t="n">
        <v>0</v>
      </c>
      <c r="AB475" s="185" t="n">
        <v>2249.73</v>
      </c>
      <c r="AC475" s="185" t="n">
        <v>0</v>
      </c>
      <c r="AD475" s="185" t="n">
        <v>0</v>
      </c>
      <c r="AE475" s="185" t="n">
        <v>0</v>
      </c>
      <c r="AF475" s="185" t="n">
        <v>0</v>
      </c>
      <c r="AG475" s="185" t="n">
        <v>0</v>
      </c>
      <c r="AH475" s="185" t="n">
        <v>0</v>
      </c>
      <c r="AI475" s="185" t="n">
        <v>0</v>
      </c>
      <c r="AJ475" s="185" t="n">
        <v>0</v>
      </c>
      <c r="AK475" s="185" t="n">
        <v>0</v>
      </c>
      <c r="AL475" s="186" t="n">
        <v>0</v>
      </c>
      <c r="AM475" s="30" t="inlineStr">
        <is>
          <t>.</t>
        </is>
      </c>
      <c r="AN475" s="187">
        <f>IF(L475=0,0,Z475/L475)</f>
        <v/>
      </c>
      <c r="AO475" s="57">
        <f>IF(AN475&gt;=1,"🟢",IF(AN475&gt;=0.7,"🟡",IF(AN475&gt;=0.4,"🟠","🔴")))</f>
        <v/>
      </c>
      <c r="AP475" s="185">
        <f>L475-Z475</f>
        <v/>
      </c>
      <c r="AQ475" s="55">
        <f>RANK(Z475,$Z$4:$Z$503,0)</f>
        <v/>
      </c>
      <c r="AR475" s="39" t="inlineStr">
        <is>
          <t>.</t>
        </is>
      </c>
      <c r="AS475" s="27" t="n"/>
      <c r="AT475" s="27" t="n"/>
      <c r="AU475" s="27" t="n"/>
      <c r="AV475" s="27" t="n"/>
      <c r="AW475" s="27" t="n"/>
      <c r="AX475" s="27" t="n"/>
      <c r="AY475" s="204" t="n"/>
      <c r="AZ475" s="204" t="n"/>
      <c r="BA475" s="38" t="inlineStr">
        <is>
          <t>.</t>
        </is>
      </c>
      <c r="BB475" s="190">
        <f>SUM(BC475:BN475)</f>
        <v/>
      </c>
      <c r="BC475" s="191">
        <f>L475*0.0702730030</f>
        <v/>
      </c>
      <c r="BD475" s="191">
        <f>L475*0.0734327604</f>
        <v/>
      </c>
      <c r="BE475" s="191">
        <f>L475*0.0752022245</f>
        <v/>
      </c>
      <c r="BF475" s="191">
        <f>L475*0.0771612740</f>
        <v/>
      </c>
      <c r="BG475" s="191">
        <f>L475*0.0796890799</f>
        <v/>
      </c>
      <c r="BH475" s="191">
        <f>L475*0.0817745197</f>
        <v/>
      </c>
      <c r="BI475" s="191">
        <f>L475*0.0849342770</f>
        <v/>
      </c>
      <c r="BJ475" s="191">
        <f>L475*0.0870197169</f>
        <v/>
      </c>
      <c r="BK475" s="191">
        <f>L475*0.0889787664</f>
        <v/>
      </c>
      <c r="BL475" s="191">
        <f>L475*0.0911905966</f>
        <v/>
      </c>
      <c r="BM475" s="191">
        <f>L475*0.0935920121</f>
        <v/>
      </c>
      <c r="BN475" s="192">
        <f>L475*0.0967517695</f>
        <v/>
      </c>
      <c r="BO475" s="36" t="inlineStr">
        <is>
          <t>.</t>
        </is>
      </c>
      <c r="BP475" s="193">
        <f>SUM(BQ475:CB475)</f>
        <v/>
      </c>
      <c r="BQ475" s="191">
        <f>MAX(0,BC475-AA475)</f>
        <v/>
      </c>
      <c r="BR475" s="191">
        <f>MAX(0,BD475-AB475)</f>
        <v/>
      </c>
      <c r="BS475" s="191">
        <f>MAX(0,BE475-AC475)</f>
        <v/>
      </c>
      <c r="BT475" s="191">
        <f>MAX(0,BF475-AD475)</f>
        <v/>
      </c>
      <c r="BU475" s="191">
        <f>MAX(0,BG475-AE475)</f>
        <v/>
      </c>
      <c r="BV475" s="191">
        <f>MAX(0,BH475-AF475)</f>
        <v/>
      </c>
      <c r="BW475" s="191">
        <f>MAX(0,BI475-AG475)</f>
        <v/>
      </c>
      <c r="BX475" s="191">
        <f>MAX(0,BJ475-AH475)</f>
        <v/>
      </c>
      <c r="BY475" s="191">
        <f>MAX(0,BK475-AI475)</f>
        <v/>
      </c>
      <c r="BZ475" s="191">
        <f>MAX(0,BL475-AJ475)</f>
        <v/>
      </c>
      <c r="CA475" s="191">
        <f>MAX(0,BM475-AK475)</f>
        <v/>
      </c>
      <c r="CB475" s="192">
        <f>MAX(0,BN475-AL475)</f>
        <v/>
      </c>
    </row>
    <row r="476">
      <c r="A476" s="64" t="inlineStr">
        <is>
          <t>53111830000233</t>
        </is>
      </c>
      <c r="B476" s="57" t="inlineStr">
        <is>
          <t>FIT NUTRICAO LTDA -ME</t>
        </is>
      </c>
      <c r="C476" s="57" t="inlineStr">
        <is>
          <t>FITLAND</t>
        </is>
      </c>
      <c r="D476" s="61" t="inlineStr">
        <is>
          <t>JULIO GADRET</t>
        </is>
      </c>
      <c r="E476" s="30" t="inlineStr">
        <is>
          <t>.</t>
        </is>
      </c>
      <c r="F476" s="63" t="n">
        <v>89</v>
      </c>
      <c r="G476" s="179" t="n">
        <v>0.298</v>
      </c>
      <c r="H476" s="57" t="inlineStr">
        <is>
          <t>🔴 VERMELHO</t>
        </is>
      </c>
      <c r="I476" s="57" t="inlineStr">
        <is>
          <t>POSITIVAÇÃO</t>
        </is>
      </c>
      <c r="J476" s="61" t="inlineStr">
        <is>
          <t>Aumentar frequência + Expandir base</t>
        </is>
      </c>
      <c r="K476" s="30" t="inlineStr">
        <is>
          <t>.</t>
        </is>
      </c>
      <c r="L476" s="180" t="n">
        <v>1115.01</v>
      </c>
      <c r="M476" s="181" t="n">
        <v>78.34999999999999</v>
      </c>
      <c r="N476" s="181" t="n">
        <v>81.88</v>
      </c>
      <c r="O476" s="181" t="n">
        <v>83.84999999999999</v>
      </c>
      <c r="P476" s="181" t="n">
        <v>86.04000000000001</v>
      </c>
      <c r="Q476" s="181" t="n">
        <v>88.84999999999999</v>
      </c>
      <c r="R476" s="181" t="n">
        <v>91.18000000000001</v>
      </c>
      <c r="S476" s="181" t="n">
        <v>94.7</v>
      </c>
      <c r="T476" s="181" t="n">
        <v>97.03</v>
      </c>
      <c r="U476" s="181" t="n">
        <v>99.20999999999999</v>
      </c>
      <c r="V476" s="181" t="n">
        <v>101.68</v>
      </c>
      <c r="W476" s="181" t="n">
        <v>104.36</v>
      </c>
      <c r="X476" s="182" t="n">
        <v>107.88</v>
      </c>
      <c r="Y476" s="183" t="inlineStr">
        <is>
          <t>.</t>
        </is>
      </c>
      <c r="Z476" s="184">
        <f>SUM(AA476:AL476)</f>
        <v/>
      </c>
      <c r="AA476" s="185" t="n">
        <v>829.11</v>
      </c>
      <c r="AB476" s="185" t="n">
        <v>0</v>
      </c>
      <c r="AC476" s="185" t="n">
        <v>0</v>
      </c>
      <c r="AD476" s="185" t="n">
        <v>0</v>
      </c>
      <c r="AE476" s="185" t="n">
        <v>0</v>
      </c>
      <c r="AF476" s="185" t="n">
        <v>0</v>
      </c>
      <c r="AG476" s="185" t="n">
        <v>0</v>
      </c>
      <c r="AH476" s="185" t="n">
        <v>0</v>
      </c>
      <c r="AI476" s="185" t="n">
        <v>0</v>
      </c>
      <c r="AJ476" s="185" t="n">
        <v>0</v>
      </c>
      <c r="AK476" s="185" t="n">
        <v>0</v>
      </c>
      <c r="AL476" s="186" t="n">
        <v>0</v>
      </c>
      <c r="AM476" s="30" t="inlineStr">
        <is>
          <t>.</t>
        </is>
      </c>
      <c r="AN476" s="187">
        <f>IF(L476=0,0,Z476/L476)</f>
        <v/>
      </c>
      <c r="AO476" s="57">
        <f>IF(AN476&gt;=1,"🟢",IF(AN476&gt;=0.7,"🟡",IF(AN476&gt;=0.4,"🟠","🔴")))</f>
        <v/>
      </c>
      <c r="AP476" s="185">
        <f>L476-Z476</f>
        <v/>
      </c>
      <c r="AQ476" s="55">
        <f>RANK(Z476,$Z$4:$Z$503,0)</f>
        <v/>
      </c>
      <c r="AR476" s="39" t="inlineStr">
        <is>
          <t>.</t>
        </is>
      </c>
      <c r="AS476" s="27" t="n"/>
      <c r="AT476" s="27" t="n"/>
      <c r="AU476" s="27" t="n"/>
      <c r="AV476" s="27" t="n"/>
      <c r="AW476" s="27" t="n"/>
      <c r="AX476" s="27" t="n"/>
      <c r="AY476" s="204" t="n"/>
      <c r="AZ476" s="204" t="n"/>
      <c r="BA476" s="38" t="inlineStr">
        <is>
          <t>.</t>
        </is>
      </c>
      <c r="BB476" s="190">
        <f>SUM(BC476:BN476)</f>
        <v/>
      </c>
      <c r="BC476" s="191">
        <f>L476*0.0702730030</f>
        <v/>
      </c>
      <c r="BD476" s="191">
        <f>L476*0.0734327604</f>
        <v/>
      </c>
      <c r="BE476" s="191">
        <f>L476*0.0752022245</f>
        <v/>
      </c>
      <c r="BF476" s="191">
        <f>L476*0.0771612740</f>
        <v/>
      </c>
      <c r="BG476" s="191">
        <f>L476*0.0796890799</f>
        <v/>
      </c>
      <c r="BH476" s="191">
        <f>L476*0.0817745197</f>
        <v/>
      </c>
      <c r="BI476" s="191">
        <f>L476*0.0849342770</f>
        <v/>
      </c>
      <c r="BJ476" s="191">
        <f>L476*0.0870197169</f>
        <v/>
      </c>
      <c r="BK476" s="191">
        <f>L476*0.0889787664</f>
        <v/>
      </c>
      <c r="BL476" s="191">
        <f>L476*0.0911905966</f>
        <v/>
      </c>
      <c r="BM476" s="191">
        <f>L476*0.0935920121</f>
        <v/>
      </c>
      <c r="BN476" s="192">
        <f>L476*0.0967517695</f>
        <v/>
      </c>
      <c r="BO476" s="36" t="inlineStr">
        <is>
          <t>.</t>
        </is>
      </c>
      <c r="BP476" s="193">
        <f>SUM(BQ476:CB476)</f>
        <v/>
      </c>
      <c r="BQ476" s="191">
        <f>MAX(0,BC476-AA476)</f>
        <v/>
      </c>
      <c r="BR476" s="191">
        <f>MAX(0,BD476-AB476)</f>
        <v/>
      </c>
      <c r="BS476" s="191">
        <f>MAX(0,BE476-AC476)</f>
        <v/>
      </c>
      <c r="BT476" s="191">
        <f>MAX(0,BF476-AD476)</f>
        <v/>
      </c>
      <c r="BU476" s="191">
        <f>MAX(0,BG476-AE476)</f>
        <v/>
      </c>
      <c r="BV476" s="191">
        <f>MAX(0,BH476-AF476)</f>
        <v/>
      </c>
      <c r="BW476" s="191">
        <f>MAX(0,BI476-AG476)</f>
        <v/>
      </c>
      <c r="BX476" s="191">
        <f>MAX(0,BJ476-AH476)</f>
        <v/>
      </c>
      <c r="BY476" s="191">
        <f>MAX(0,BK476-AI476)</f>
        <v/>
      </c>
      <c r="BZ476" s="191">
        <f>MAX(0,BL476-AJ476)</f>
        <v/>
      </c>
      <c r="CA476" s="191">
        <f>MAX(0,BM476-AK476)</f>
        <v/>
      </c>
      <c r="CB476" s="192">
        <f>MAX(0,BN476-AL476)</f>
        <v/>
      </c>
    </row>
    <row r="477">
      <c r="A477" s="64" t="inlineStr">
        <is>
          <t>28002127000169</t>
        </is>
      </c>
      <c r="B477" s="57" t="inlineStr">
        <is>
          <t>LAIS</t>
        </is>
      </c>
      <c r="C477" s="57" t="inlineStr">
        <is>
          <t>SEM GRUPO</t>
        </is>
      </c>
      <c r="D477" s="61" t="inlineStr">
        <is>
          <t>LARISSA PADILHA</t>
        </is>
      </c>
      <c r="E477" s="30" t="inlineStr">
        <is>
          <t>.</t>
        </is>
      </c>
      <c r="F477" s="63" t="inlineStr"/>
      <c r="G477" s="179" t="inlineStr"/>
      <c r="H477" s="57" t="inlineStr"/>
      <c r="I477" s="57" t="inlineStr"/>
      <c r="J477" s="61" t="inlineStr"/>
      <c r="K477" s="30" t="inlineStr">
        <is>
          <t>.</t>
        </is>
      </c>
      <c r="L477" s="180" t="n">
        <v>1105.93</v>
      </c>
      <c r="M477" s="181" t="n">
        <v>77.72</v>
      </c>
      <c r="N477" s="181" t="n">
        <v>81.20999999999999</v>
      </c>
      <c r="O477" s="181" t="n">
        <v>83.17</v>
      </c>
      <c r="P477" s="181" t="n">
        <v>85.33</v>
      </c>
      <c r="Q477" s="181" t="n">
        <v>88.13</v>
      </c>
      <c r="R477" s="181" t="n">
        <v>90.44</v>
      </c>
      <c r="S477" s="181" t="n">
        <v>93.93000000000001</v>
      </c>
      <c r="T477" s="181" t="n">
        <v>96.23999999999999</v>
      </c>
      <c r="U477" s="181" t="n">
        <v>98.40000000000001</v>
      </c>
      <c r="V477" s="181" t="n">
        <v>100.85</v>
      </c>
      <c r="W477" s="181" t="n">
        <v>103.51</v>
      </c>
      <c r="X477" s="182" t="n">
        <v>107</v>
      </c>
      <c r="Y477" s="183" t="inlineStr">
        <is>
          <t>.</t>
        </is>
      </c>
      <c r="Z477" s="184">
        <f>SUM(AA477:AL477)</f>
        <v/>
      </c>
      <c r="AA477" s="185" t="n">
        <v>0</v>
      </c>
      <c r="AB477" s="185" t="n">
        <v>0</v>
      </c>
      <c r="AC477" s="185" t="n">
        <v>0</v>
      </c>
      <c r="AD477" s="185" t="n">
        <v>0</v>
      </c>
      <c r="AE477" s="185" t="n">
        <v>0</v>
      </c>
      <c r="AF477" s="185" t="n">
        <v>0</v>
      </c>
      <c r="AG477" s="185" t="n">
        <v>0</v>
      </c>
      <c r="AH477" s="185" t="n">
        <v>0</v>
      </c>
      <c r="AI477" s="185" t="n">
        <v>0</v>
      </c>
      <c r="AJ477" s="185" t="n">
        <v>0</v>
      </c>
      <c r="AK477" s="185" t="n">
        <v>0</v>
      </c>
      <c r="AL477" s="186" t="n">
        <v>0</v>
      </c>
      <c r="AM477" s="30" t="inlineStr">
        <is>
          <t>.</t>
        </is>
      </c>
      <c r="AN477" s="187">
        <f>IF(L477=0,0,Z477/L477)</f>
        <v/>
      </c>
      <c r="AO477" s="57">
        <f>IF(AN477&gt;=1,"🟢",IF(AN477&gt;=0.7,"🟡",IF(AN477&gt;=0.4,"🟠","🔴")))</f>
        <v/>
      </c>
      <c r="AP477" s="185">
        <f>L477-Z477</f>
        <v/>
      </c>
      <c r="AQ477" s="55">
        <f>RANK(Z477,$Z$4:$Z$503,0)</f>
        <v/>
      </c>
      <c r="AR477" s="39" t="inlineStr">
        <is>
          <t>.</t>
        </is>
      </c>
      <c r="AS477" s="27" t="n"/>
      <c r="AT477" s="27" t="n"/>
      <c r="AU477" s="27" t="n"/>
      <c r="AV477" s="27" t="n"/>
      <c r="AW477" s="27" t="n"/>
      <c r="AX477" s="27" t="n"/>
      <c r="AY477" s="204" t="n"/>
      <c r="AZ477" s="204" t="n"/>
      <c r="BA477" s="38" t="inlineStr">
        <is>
          <t>.</t>
        </is>
      </c>
      <c r="BB477" s="190">
        <f>SUM(BC477:BN477)</f>
        <v/>
      </c>
      <c r="BC477" s="191">
        <f>L477*0.0702730030</f>
        <v/>
      </c>
      <c r="BD477" s="191">
        <f>L477*0.0734327604</f>
        <v/>
      </c>
      <c r="BE477" s="191">
        <f>L477*0.0752022245</f>
        <v/>
      </c>
      <c r="BF477" s="191">
        <f>L477*0.0771612740</f>
        <v/>
      </c>
      <c r="BG477" s="191">
        <f>L477*0.0796890799</f>
        <v/>
      </c>
      <c r="BH477" s="191">
        <f>L477*0.0817745197</f>
        <v/>
      </c>
      <c r="BI477" s="191">
        <f>L477*0.0849342770</f>
        <v/>
      </c>
      <c r="BJ477" s="191">
        <f>L477*0.0870197169</f>
        <v/>
      </c>
      <c r="BK477" s="191">
        <f>L477*0.0889787664</f>
        <v/>
      </c>
      <c r="BL477" s="191">
        <f>L477*0.0911905966</f>
        <v/>
      </c>
      <c r="BM477" s="191">
        <f>L477*0.0935920121</f>
        <v/>
      </c>
      <c r="BN477" s="192">
        <f>L477*0.0967517695</f>
        <v/>
      </c>
      <c r="BO477" s="36" t="inlineStr">
        <is>
          <t>.</t>
        </is>
      </c>
      <c r="BP477" s="193">
        <f>SUM(BQ477:CB477)</f>
        <v/>
      </c>
      <c r="BQ477" s="191">
        <f>MAX(0,BC477-AA477)</f>
        <v/>
      </c>
      <c r="BR477" s="191">
        <f>MAX(0,BD477-AB477)</f>
        <v/>
      </c>
      <c r="BS477" s="191">
        <f>MAX(0,BE477-AC477)</f>
        <v/>
      </c>
      <c r="BT477" s="191">
        <f>MAX(0,BF477-AD477)</f>
        <v/>
      </c>
      <c r="BU477" s="191">
        <f>MAX(0,BG477-AE477)</f>
        <v/>
      </c>
      <c r="BV477" s="191">
        <f>MAX(0,BH477-AF477)</f>
        <v/>
      </c>
      <c r="BW477" s="191">
        <f>MAX(0,BI477-AG477)</f>
        <v/>
      </c>
      <c r="BX477" s="191">
        <f>MAX(0,BJ477-AH477)</f>
        <v/>
      </c>
      <c r="BY477" s="191">
        <f>MAX(0,BK477-AI477)</f>
        <v/>
      </c>
      <c r="BZ477" s="191">
        <f>MAX(0,BL477-AJ477)</f>
        <v/>
      </c>
      <c r="CA477" s="191">
        <f>MAX(0,BM477-AK477)</f>
        <v/>
      </c>
      <c r="CB477" s="192">
        <f>MAX(0,BN477-AL477)</f>
        <v/>
      </c>
    </row>
    <row r="478">
      <c r="A478" s="64" t="inlineStr">
        <is>
          <t>26176117000114</t>
        </is>
      </c>
      <c r="B478" s="57" t="inlineStr">
        <is>
          <t>LINDA CLARA OLIVEIRA PONTES 08862442696</t>
        </is>
      </c>
      <c r="C478" s="57" t="inlineStr">
        <is>
          <t>SEM GRUPO</t>
        </is>
      </c>
      <c r="D478" s="61" t="inlineStr">
        <is>
          <t>LARISSA PADILHA</t>
        </is>
      </c>
      <c r="E478" s="30" t="inlineStr">
        <is>
          <t>.</t>
        </is>
      </c>
      <c r="F478" s="63" t="inlineStr"/>
      <c r="G478" s="179" t="inlineStr"/>
      <c r="H478" s="57" t="inlineStr"/>
      <c r="I478" s="57" t="inlineStr"/>
      <c r="J478" s="61" t="inlineStr"/>
      <c r="K478" s="30" t="inlineStr">
        <is>
          <t>.</t>
        </is>
      </c>
      <c r="L478" s="180" t="n">
        <v>1097.48</v>
      </c>
      <c r="M478" s="181" t="n">
        <v>77.12</v>
      </c>
      <c r="N478" s="181" t="n">
        <v>80.59</v>
      </c>
      <c r="O478" s="181" t="n">
        <v>82.53</v>
      </c>
      <c r="P478" s="181" t="n">
        <v>84.68000000000001</v>
      </c>
      <c r="Q478" s="181" t="n">
        <v>87.45999999999999</v>
      </c>
      <c r="R478" s="181" t="n">
        <v>89.75</v>
      </c>
      <c r="S478" s="181" t="n">
        <v>93.22</v>
      </c>
      <c r="T478" s="181" t="n">
        <v>95.5</v>
      </c>
      <c r="U478" s="181" t="n">
        <v>97.65000000000001</v>
      </c>
      <c r="V478" s="181" t="n">
        <v>100.08</v>
      </c>
      <c r="W478" s="181" t="n">
        <v>102.72</v>
      </c>
      <c r="X478" s="182" t="n">
        <v>106.18</v>
      </c>
      <c r="Y478" s="183" t="inlineStr">
        <is>
          <t>.</t>
        </is>
      </c>
      <c r="Z478" s="184">
        <f>SUM(AA478:AL478)</f>
        <v/>
      </c>
      <c r="AA478" s="185" t="n">
        <v>0</v>
      </c>
      <c r="AB478" s="185" t="n">
        <v>0</v>
      </c>
      <c r="AC478" s="185" t="n">
        <v>0</v>
      </c>
      <c r="AD478" s="185" t="n">
        <v>0</v>
      </c>
      <c r="AE478" s="185" t="n">
        <v>0</v>
      </c>
      <c r="AF478" s="185" t="n">
        <v>0</v>
      </c>
      <c r="AG478" s="185" t="n">
        <v>0</v>
      </c>
      <c r="AH478" s="185" t="n">
        <v>462.45</v>
      </c>
      <c r="AI478" s="185" t="n">
        <v>0</v>
      </c>
      <c r="AJ478" s="185" t="n">
        <v>0</v>
      </c>
      <c r="AK478" s="185" t="n">
        <v>0</v>
      </c>
      <c r="AL478" s="186" t="n">
        <v>0</v>
      </c>
      <c r="AM478" s="30" t="inlineStr">
        <is>
          <t>.</t>
        </is>
      </c>
      <c r="AN478" s="187">
        <f>IF(L478=0,0,Z478/L478)</f>
        <v/>
      </c>
      <c r="AO478" s="57">
        <f>IF(AN478&gt;=1,"🟢",IF(AN478&gt;=0.7,"🟡",IF(AN478&gt;=0.4,"🟠","🔴")))</f>
        <v/>
      </c>
      <c r="AP478" s="185">
        <f>L478-Z478</f>
        <v/>
      </c>
      <c r="AQ478" s="55">
        <f>RANK(Z478,$Z$4:$Z$503,0)</f>
        <v/>
      </c>
      <c r="AR478" s="39" t="inlineStr">
        <is>
          <t>.</t>
        </is>
      </c>
      <c r="AS478" s="27" t="n"/>
      <c r="AT478" s="27" t="n"/>
      <c r="AU478" s="27" t="n"/>
      <c r="AV478" s="27" t="n"/>
      <c r="AW478" s="27" t="n"/>
      <c r="AX478" s="27" t="n"/>
      <c r="AY478" s="204" t="n"/>
      <c r="AZ478" s="204" t="n"/>
      <c r="BA478" s="38" t="inlineStr">
        <is>
          <t>.</t>
        </is>
      </c>
      <c r="BB478" s="190">
        <f>SUM(BC478:BN478)</f>
        <v/>
      </c>
      <c r="BC478" s="191">
        <f>L478*0.0702730030</f>
        <v/>
      </c>
      <c r="BD478" s="191">
        <f>L478*0.0734327604</f>
        <v/>
      </c>
      <c r="BE478" s="191">
        <f>L478*0.0752022245</f>
        <v/>
      </c>
      <c r="BF478" s="191">
        <f>L478*0.0771612740</f>
        <v/>
      </c>
      <c r="BG478" s="191">
        <f>L478*0.0796890799</f>
        <v/>
      </c>
      <c r="BH478" s="191">
        <f>L478*0.0817745197</f>
        <v/>
      </c>
      <c r="BI478" s="191">
        <f>L478*0.0849342770</f>
        <v/>
      </c>
      <c r="BJ478" s="191">
        <f>L478*0.0870197169</f>
        <v/>
      </c>
      <c r="BK478" s="191">
        <f>L478*0.0889787664</f>
        <v/>
      </c>
      <c r="BL478" s="191">
        <f>L478*0.0911905966</f>
        <v/>
      </c>
      <c r="BM478" s="191">
        <f>L478*0.0935920121</f>
        <v/>
      </c>
      <c r="BN478" s="192">
        <f>L478*0.0967517695</f>
        <v/>
      </c>
      <c r="BO478" s="36" t="inlineStr">
        <is>
          <t>.</t>
        </is>
      </c>
      <c r="BP478" s="193">
        <f>SUM(BQ478:CB478)</f>
        <v/>
      </c>
      <c r="BQ478" s="191">
        <f>MAX(0,BC478-AA478)</f>
        <v/>
      </c>
      <c r="BR478" s="191">
        <f>MAX(0,BD478-AB478)</f>
        <v/>
      </c>
      <c r="BS478" s="191">
        <f>MAX(0,BE478-AC478)</f>
        <v/>
      </c>
      <c r="BT478" s="191">
        <f>MAX(0,BF478-AD478)</f>
        <v/>
      </c>
      <c r="BU478" s="191">
        <f>MAX(0,BG478-AE478)</f>
        <v/>
      </c>
      <c r="BV478" s="191">
        <f>MAX(0,BH478-AF478)</f>
        <v/>
      </c>
      <c r="BW478" s="191">
        <f>MAX(0,BI478-AG478)</f>
        <v/>
      </c>
      <c r="BX478" s="191">
        <f>MAX(0,BJ478-AH478)</f>
        <v/>
      </c>
      <c r="BY478" s="191">
        <f>MAX(0,BK478-AI478)</f>
        <v/>
      </c>
      <c r="BZ478" s="191">
        <f>MAX(0,BL478-AJ478)</f>
        <v/>
      </c>
      <c r="CA478" s="191">
        <f>MAX(0,BM478-AK478)</f>
        <v/>
      </c>
      <c r="CB478" s="192">
        <f>MAX(0,BN478-AL478)</f>
        <v/>
      </c>
    </row>
    <row r="479">
      <c r="A479" s="64" t="inlineStr">
        <is>
          <t>03143533000110</t>
        </is>
      </c>
      <c r="B479" s="57" t="inlineStr">
        <is>
          <t>NIL TRANSPORTES LTDA</t>
        </is>
      </c>
      <c r="C479" s="57" t="inlineStr">
        <is>
          <t>SEM GRUPO</t>
        </is>
      </c>
      <c r="D479" s="61" t="inlineStr">
        <is>
          <t>HEMANUELE DITZEL (MANU)</t>
        </is>
      </c>
      <c r="E479" s="30" t="inlineStr">
        <is>
          <t>.</t>
        </is>
      </c>
      <c r="F479" s="63" t="inlineStr"/>
      <c r="G479" s="179" t="inlineStr"/>
      <c r="H479" s="57" t="inlineStr"/>
      <c r="I479" s="57" t="inlineStr"/>
      <c r="J479" s="61" t="inlineStr"/>
      <c r="K479" s="30" t="inlineStr">
        <is>
          <t>.</t>
        </is>
      </c>
      <c r="L479" s="180" t="n">
        <v>1080.89</v>
      </c>
      <c r="M479" s="181" t="n">
        <v>75.95999999999999</v>
      </c>
      <c r="N479" s="181" t="n">
        <v>79.37</v>
      </c>
      <c r="O479" s="181" t="n">
        <v>81.29000000000001</v>
      </c>
      <c r="P479" s="181" t="n">
        <v>83.40000000000001</v>
      </c>
      <c r="Q479" s="181" t="n">
        <v>86.13</v>
      </c>
      <c r="R479" s="181" t="n">
        <v>88.39</v>
      </c>
      <c r="S479" s="181" t="n">
        <v>91.8</v>
      </c>
      <c r="T479" s="181" t="n">
        <v>94.06</v>
      </c>
      <c r="U479" s="181" t="n">
        <v>96.18000000000001</v>
      </c>
      <c r="V479" s="181" t="n">
        <v>98.56999999999999</v>
      </c>
      <c r="W479" s="181" t="n">
        <v>101.16</v>
      </c>
      <c r="X479" s="182" t="n">
        <v>104.58</v>
      </c>
      <c r="Y479" s="183" t="inlineStr">
        <is>
          <t>.</t>
        </is>
      </c>
      <c r="Z479" s="184">
        <f>SUM(AA479:AL479)</f>
        <v/>
      </c>
      <c r="AA479" s="185" t="n">
        <v>0</v>
      </c>
      <c r="AB479" s="185" t="n">
        <v>0</v>
      </c>
      <c r="AC479" s="185" t="n">
        <v>425.2</v>
      </c>
      <c r="AD479" s="185" t="n">
        <v>0</v>
      </c>
      <c r="AE479" s="185" t="n">
        <v>0</v>
      </c>
      <c r="AF479" s="185" t="n">
        <v>0</v>
      </c>
      <c r="AG479" s="185" t="n">
        <v>0</v>
      </c>
      <c r="AH479" s="185" t="n">
        <v>0</v>
      </c>
      <c r="AI479" s="185" t="n">
        <v>0</v>
      </c>
      <c r="AJ479" s="185" t="n">
        <v>0</v>
      </c>
      <c r="AK479" s="185" t="n">
        <v>0</v>
      </c>
      <c r="AL479" s="186" t="n">
        <v>0</v>
      </c>
      <c r="AM479" s="30" t="inlineStr">
        <is>
          <t>.</t>
        </is>
      </c>
      <c r="AN479" s="187">
        <f>IF(L479=0,0,Z479/L479)</f>
        <v/>
      </c>
      <c r="AO479" s="57">
        <f>IF(AN479&gt;=1,"🟢",IF(AN479&gt;=0.7,"🟡",IF(AN479&gt;=0.4,"🟠","🔴")))</f>
        <v/>
      </c>
      <c r="AP479" s="185">
        <f>L479-Z479</f>
        <v/>
      </c>
      <c r="AQ479" s="55">
        <f>RANK(Z479,$Z$4:$Z$503,0)</f>
        <v/>
      </c>
      <c r="AR479" s="39" t="inlineStr">
        <is>
          <t>.</t>
        </is>
      </c>
      <c r="AS479" s="27" t="n"/>
      <c r="AT479" s="27" t="n"/>
      <c r="AU479" s="27" t="n"/>
      <c r="AV479" s="27" t="n"/>
      <c r="AW479" s="27" t="n"/>
      <c r="AX479" s="27" t="n"/>
      <c r="AY479" s="204" t="n"/>
      <c r="AZ479" s="204" t="n"/>
      <c r="BA479" s="38" t="inlineStr">
        <is>
          <t>.</t>
        </is>
      </c>
      <c r="BB479" s="190">
        <f>SUM(BC479:BN479)</f>
        <v/>
      </c>
      <c r="BC479" s="191">
        <f>L479*0.0702730030</f>
        <v/>
      </c>
      <c r="BD479" s="191">
        <f>L479*0.0734327604</f>
        <v/>
      </c>
      <c r="BE479" s="191">
        <f>L479*0.0752022245</f>
        <v/>
      </c>
      <c r="BF479" s="191">
        <f>L479*0.0771612740</f>
        <v/>
      </c>
      <c r="BG479" s="191">
        <f>L479*0.0796890799</f>
        <v/>
      </c>
      <c r="BH479" s="191">
        <f>L479*0.0817745197</f>
        <v/>
      </c>
      <c r="BI479" s="191">
        <f>L479*0.0849342770</f>
        <v/>
      </c>
      <c r="BJ479" s="191">
        <f>L479*0.0870197169</f>
        <v/>
      </c>
      <c r="BK479" s="191">
        <f>L479*0.0889787664</f>
        <v/>
      </c>
      <c r="BL479" s="191">
        <f>L479*0.0911905966</f>
        <v/>
      </c>
      <c r="BM479" s="191">
        <f>L479*0.0935920121</f>
        <v/>
      </c>
      <c r="BN479" s="192">
        <f>L479*0.0967517695</f>
        <v/>
      </c>
      <c r="BO479" s="36" t="inlineStr">
        <is>
          <t>.</t>
        </is>
      </c>
      <c r="BP479" s="193">
        <f>SUM(BQ479:CB479)</f>
        <v/>
      </c>
      <c r="BQ479" s="191">
        <f>MAX(0,BC479-AA479)</f>
        <v/>
      </c>
      <c r="BR479" s="191">
        <f>MAX(0,BD479-AB479)</f>
        <v/>
      </c>
      <c r="BS479" s="191">
        <f>MAX(0,BE479-AC479)</f>
        <v/>
      </c>
      <c r="BT479" s="191">
        <f>MAX(0,BF479-AD479)</f>
        <v/>
      </c>
      <c r="BU479" s="191">
        <f>MAX(0,BG479-AE479)</f>
        <v/>
      </c>
      <c r="BV479" s="191">
        <f>MAX(0,BH479-AF479)</f>
        <v/>
      </c>
      <c r="BW479" s="191">
        <f>MAX(0,BI479-AG479)</f>
        <v/>
      </c>
      <c r="BX479" s="191">
        <f>MAX(0,BJ479-AH479)</f>
        <v/>
      </c>
      <c r="BY479" s="191">
        <f>MAX(0,BK479-AI479)</f>
        <v/>
      </c>
      <c r="BZ479" s="191">
        <f>MAX(0,BL479-AJ479)</f>
        <v/>
      </c>
      <c r="CA479" s="191">
        <f>MAX(0,BM479-AK479)</f>
        <v/>
      </c>
      <c r="CB479" s="192">
        <f>MAX(0,BN479-AL479)</f>
        <v/>
      </c>
    </row>
    <row r="480">
      <c r="A480" s="64" t="inlineStr">
        <is>
          <t>03855214000219</t>
        </is>
      </c>
      <c r="B480" s="57" t="inlineStr">
        <is>
          <t>COOPERATIVA DE TRABALHO MEDICO DE JARAGU</t>
        </is>
      </c>
      <c r="C480" s="57" t="inlineStr">
        <is>
          <t>SEM GRUPO</t>
        </is>
      </c>
      <c r="D480" s="61" t="inlineStr">
        <is>
          <t>HEMANUELE DITZEL (MANU)</t>
        </is>
      </c>
      <c r="E480" s="30" t="inlineStr">
        <is>
          <t>.</t>
        </is>
      </c>
      <c r="F480" s="63" t="inlineStr"/>
      <c r="G480" s="179" t="inlineStr"/>
      <c r="H480" s="57" t="inlineStr"/>
      <c r="I480" s="57" t="inlineStr"/>
      <c r="J480" s="61" t="inlineStr"/>
      <c r="K480" s="30" t="inlineStr">
        <is>
          <t>.</t>
        </is>
      </c>
      <c r="L480" s="180" t="n">
        <v>1079.19</v>
      </c>
      <c r="M480" s="181" t="n">
        <v>75.84</v>
      </c>
      <c r="N480" s="181" t="n">
        <v>79.25</v>
      </c>
      <c r="O480" s="181" t="n">
        <v>81.16</v>
      </c>
      <c r="P480" s="181" t="n">
        <v>83.27</v>
      </c>
      <c r="Q480" s="181" t="n">
        <v>86</v>
      </c>
      <c r="R480" s="181" t="n">
        <v>88.25</v>
      </c>
      <c r="S480" s="181" t="n">
        <v>91.66</v>
      </c>
      <c r="T480" s="181" t="n">
        <v>93.91</v>
      </c>
      <c r="U480" s="181" t="n">
        <v>96.03</v>
      </c>
      <c r="V480" s="181" t="n">
        <v>98.41</v>
      </c>
      <c r="W480" s="181" t="n">
        <v>101</v>
      </c>
      <c r="X480" s="182" t="n">
        <v>104.41</v>
      </c>
      <c r="Y480" s="183" t="inlineStr">
        <is>
          <t>.</t>
        </is>
      </c>
      <c r="Z480" s="184">
        <f>SUM(AA480:AL480)</f>
        <v/>
      </c>
      <c r="AA480" s="185" t="n">
        <v>0</v>
      </c>
      <c r="AB480" s="185" t="n">
        <v>0</v>
      </c>
      <c r="AC480" s="185" t="n">
        <v>0</v>
      </c>
      <c r="AD480" s="185" t="n">
        <v>0</v>
      </c>
      <c r="AE480" s="185" t="n">
        <v>0</v>
      </c>
      <c r="AF480" s="185" t="n">
        <v>0</v>
      </c>
      <c r="AG480" s="185" t="n">
        <v>0</v>
      </c>
      <c r="AH480" s="185" t="n">
        <v>0</v>
      </c>
      <c r="AI480" s="185" t="n">
        <v>488.84</v>
      </c>
      <c r="AJ480" s="185" t="n">
        <v>0</v>
      </c>
      <c r="AK480" s="185" t="n">
        <v>0</v>
      </c>
      <c r="AL480" s="186" t="n">
        <v>0</v>
      </c>
      <c r="AM480" s="30" t="inlineStr">
        <is>
          <t>.</t>
        </is>
      </c>
      <c r="AN480" s="187">
        <f>IF(L480=0,0,Z480/L480)</f>
        <v/>
      </c>
      <c r="AO480" s="57">
        <f>IF(AN480&gt;=1,"🟢",IF(AN480&gt;=0.7,"🟡",IF(AN480&gt;=0.4,"🟠","🔴")))</f>
        <v/>
      </c>
      <c r="AP480" s="185">
        <f>L480-Z480</f>
        <v/>
      </c>
      <c r="AQ480" s="55">
        <f>RANK(Z480,$Z$4:$Z$503,0)</f>
        <v/>
      </c>
      <c r="AR480" s="39" t="inlineStr">
        <is>
          <t>.</t>
        </is>
      </c>
      <c r="AS480" s="27" t="n"/>
      <c r="AT480" s="27" t="n"/>
      <c r="AU480" s="27" t="n"/>
      <c r="AV480" s="27" t="n"/>
      <c r="AW480" s="27" t="n"/>
      <c r="AX480" s="27" t="n"/>
      <c r="AY480" s="204" t="n"/>
      <c r="AZ480" s="204" t="n"/>
      <c r="BA480" s="38" t="inlineStr">
        <is>
          <t>.</t>
        </is>
      </c>
      <c r="BB480" s="190">
        <f>SUM(BC480:BN480)</f>
        <v/>
      </c>
      <c r="BC480" s="191">
        <f>L480*0.0702730030</f>
        <v/>
      </c>
      <c r="BD480" s="191">
        <f>L480*0.0734327604</f>
        <v/>
      </c>
      <c r="BE480" s="191">
        <f>L480*0.0752022245</f>
        <v/>
      </c>
      <c r="BF480" s="191">
        <f>L480*0.0771612740</f>
        <v/>
      </c>
      <c r="BG480" s="191">
        <f>L480*0.0796890799</f>
        <v/>
      </c>
      <c r="BH480" s="191">
        <f>L480*0.0817745197</f>
        <v/>
      </c>
      <c r="BI480" s="191">
        <f>L480*0.0849342770</f>
        <v/>
      </c>
      <c r="BJ480" s="191">
        <f>L480*0.0870197169</f>
        <v/>
      </c>
      <c r="BK480" s="191">
        <f>L480*0.0889787664</f>
        <v/>
      </c>
      <c r="BL480" s="191">
        <f>L480*0.0911905966</f>
        <v/>
      </c>
      <c r="BM480" s="191">
        <f>L480*0.0935920121</f>
        <v/>
      </c>
      <c r="BN480" s="192">
        <f>L480*0.0967517695</f>
        <v/>
      </c>
      <c r="BO480" s="36" t="inlineStr">
        <is>
          <t>.</t>
        </is>
      </c>
      <c r="BP480" s="193">
        <f>SUM(BQ480:CB480)</f>
        <v/>
      </c>
      <c r="BQ480" s="191">
        <f>MAX(0,BC480-AA480)</f>
        <v/>
      </c>
      <c r="BR480" s="191">
        <f>MAX(0,BD480-AB480)</f>
        <v/>
      </c>
      <c r="BS480" s="191">
        <f>MAX(0,BE480-AC480)</f>
        <v/>
      </c>
      <c r="BT480" s="191">
        <f>MAX(0,BF480-AD480)</f>
        <v/>
      </c>
      <c r="BU480" s="191">
        <f>MAX(0,BG480-AE480)</f>
        <v/>
      </c>
      <c r="BV480" s="191">
        <f>MAX(0,BH480-AF480)</f>
        <v/>
      </c>
      <c r="BW480" s="191">
        <f>MAX(0,BI480-AG480)</f>
        <v/>
      </c>
      <c r="BX480" s="191">
        <f>MAX(0,BJ480-AH480)</f>
        <v/>
      </c>
      <c r="BY480" s="191">
        <f>MAX(0,BK480-AI480)</f>
        <v/>
      </c>
      <c r="BZ480" s="191">
        <f>MAX(0,BL480-AJ480)</f>
        <v/>
      </c>
      <c r="CA480" s="191">
        <f>MAX(0,BM480-AK480)</f>
        <v/>
      </c>
      <c r="CB480" s="192">
        <f>MAX(0,BN480-AL480)</f>
        <v/>
      </c>
    </row>
    <row r="481">
      <c r="A481" s="64" t="inlineStr">
        <is>
          <t>57015654000106</t>
        </is>
      </c>
      <c r="B481" s="57" t="inlineStr">
        <is>
          <t>PRUDENCIO COMERCIO DE SUPLEMENTOS LTDA -</t>
        </is>
      </c>
      <c r="C481" s="57" t="inlineStr">
        <is>
          <t>FITLAND</t>
        </is>
      </c>
      <c r="D481" s="61" t="inlineStr">
        <is>
          <t>JULIO GADRET</t>
        </is>
      </c>
      <c r="E481" s="30" t="inlineStr">
        <is>
          <t>.</t>
        </is>
      </c>
      <c r="F481" s="63" t="n">
        <v>89</v>
      </c>
      <c r="G481" s="179" t="n">
        <v>0.298</v>
      </c>
      <c r="H481" s="57" t="inlineStr">
        <is>
          <t>🔴 VERMELHO</t>
        </is>
      </c>
      <c r="I481" s="57" t="inlineStr">
        <is>
          <t>POSITIVAÇÃO</t>
        </is>
      </c>
      <c r="J481" s="61" t="inlineStr">
        <is>
          <t>Aumentar frequência + Expandir base</t>
        </is>
      </c>
      <c r="K481" s="30" t="inlineStr">
        <is>
          <t>.</t>
        </is>
      </c>
      <c r="L481" s="180" t="n">
        <v>1036.18</v>
      </c>
      <c r="M481" s="181" t="n">
        <v>72.81999999999999</v>
      </c>
      <c r="N481" s="181" t="n">
        <v>76.09</v>
      </c>
      <c r="O481" s="181" t="n">
        <v>77.92</v>
      </c>
      <c r="P481" s="181" t="n">
        <v>79.95</v>
      </c>
      <c r="Q481" s="181" t="n">
        <v>82.56999999999999</v>
      </c>
      <c r="R481" s="181" t="n">
        <v>84.73</v>
      </c>
      <c r="S481" s="181" t="n">
        <v>88.01000000000001</v>
      </c>
      <c r="T481" s="181" t="n">
        <v>90.17</v>
      </c>
      <c r="U481" s="181" t="n">
        <v>92.2</v>
      </c>
      <c r="V481" s="181" t="n">
        <v>94.48999999999999</v>
      </c>
      <c r="W481" s="181" t="n">
        <v>96.98</v>
      </c>
      <c r="X481" s="182" t="n">
        <v>100.25</v>
      </c>
      <c r="Y481" s="183" t="inlineStr">
        <is>
          <t>.</t>
        </is>
      </c>
      <c r="Z481" s="184">
        <f>SUM(AA481:AL481)</f>
        <v/>
      </c>
      <c r="AA481" s="185" t="n">
        <v>0</v>
      </c>
      <c r="AB481" s="185" t="n">
        <v>0</v>
      </c>
      <c r="AC481" s="185" t="n">
        <v>407.61</v>
      </c>
      <c r="AD481" s="185" t="n">
        <v>0</v>
      </c>
      <c r="AE481" s="185" t="n">
        <v>0</v>
      </c>
      <c r="AF481" s="185" t="n">
        <v>0</v>
      </c>
      <c r="AG481" s="185" t="n">
        <v>0</v>
      </c>
      <c r="AH481" s="185" t="n">
        <v>0</v>
      </c>
      <c r="AI481" s="185" t="n">
        <v>0</v>
      </c>
      <c r="AJ481" s="185" t="n">
        <v>0</v>
      </c>
      <c r="AK481" s="185" t="n">
        <v>0</v>
      </c>
      <c r="AL481" s="186" t="n">
        <v>0</v>
      </c>
      <c r="AM481" s="30" t="inlineStr">
        <is>
          <t>.</t>
        </is>
      </c>
      <c r="AN481" s="187">
        <f>IF(L481=0,0,Z481/L481)</f>
        <v/>
      </c>
      <c r="AO481" s="57">
        <f>IF(AN481&gt;=1,"🟢",IF(AN481&gt;=0.7,"🟡",IF(AN481&gt;=0.4,"🟠","🔴")))</f>
        <v/>
      </c>
      <c r="AP481" s="185">
        <f>L481-Z481</f>
        <v/>
      </c>
      <c r="AQ481" s="55">
        <f>RANK(Z481,$Z$4:$Z$503,0)</f>
        <v/>
      </c>
      <c r="AR481" s="39" t="inlineStr">
        <is>
          <t>.</t>
        </is>
      </c>
      <c r="AS481" s="27" t="n"/>
      <c r="AT481" s="27" t="n"/>
      <c r="AU481" s="27" t="n"/>
      <c r="AV481" s="27" t="n"/>
      <c r="AW481" s="27" t="n"/>
      <c r="AX481" s="27" t="n"/>
      <c r="AY481" s="204" t="n"/>
      <c r="AZ481" s="204" t="n"/>
      <c r="BA481" s="38" t="inlineStr">
        <is>
          <t>.</t>
        </is>
      </c>
      <c r="BB481" s="190">
        <f>SUM(BC481:BN481)</f>
        <v/>
      </c>
      <c r="BC481" s="191">
        <f>L481*0.0702730030</f>
        <v/>
      </c>
      <c r="BD481" s="191">
        <f>L481*0.0734327604</f>
        <v/>
      </c>
      <c r="BE481" s="191">
        <f>L481*0.0752022245</f>
        <v/>
      </c>
      <c r="BF481" s="191">
        <f>L481*0.0771612740</f>
        <v/>
      </c>
      <c r="BG481" s="191">
        <f>L481*0.0796890799</f>
        <v/>
      </c>
      <c r="BH481" s="191">
        <f>L481*0.0817745197</f>
        <v/>
      </c>
      <c r="BI481" s="191">
        <f>L481*0.0849342770</f>
        <v/>
      </c>
      <c r="BJ481" s="191">
        <f>L481*0.0870197169</f>
        <v/>
      </c>
      <c r="BK481" s="191">
        <f>L481*0.0889787664</f>
        <v/>
      </c>
      <c r="BL481" s="191">
        <f>L481*0.0911905966</f>
        <v/>
      </c>
      <c r="BM481" s="191">
        <f>L481*0.0935920121</f>
        <v/>
      </c>
      <c r="BN481" s="192">
        <f>L481*0.0967517695</f>
        <v/>
      </c>
      <c r="BO481" s="36" t="inlineStr">
        <is>
          <t>.</t>
        </is>
      </c>
      <c r="BP481" s="193">
        <f>SUM(BQ481:CB481)</f>
        <v/>
      </c>
      <c r="BQ481" s="191">
        <f>MAX(0,BC481-AA481)</f>
        <v/>
      </c>
      <c r="BR481" s="191">
        <f>MAX(0,BD481-AB481)</f>
        <v/>
      </c>
      <c r="BS481" s="191">
        <f>MAX(0,BE481-AC481)</f>
        <v/>
      </c>
      <c r="BT481" s="191">
        <f>MAX(0,BF481-AD481)</f>
        <v/>
      </c>
      <c r="BU481" s="191">
        <f>MAX(0,BG481-AE481)</f>
        <v/>
      </c>
      <c r="BV481" s="191">
        <f>MAX(0,BH481-AF481)</f>
        <v/>
      </c>
      <c r="BW481" s="191">
        <f>MAX(0,BI481-AG481)</f>
        <v/>
      </c>
      <c r="BX481" s="191">
        <f>MAX(0,BJ481-AH481)</f>
        <v/>
      </c>
      <c r="BY481" s="191">
        <f>MAX(0,BK481-AI481)</f>
        <v/>
      </c>
      <c r="BZ481" s="191">
        <f>MAX(0,BL481-AJ481)</f>
        <v/>
      </c>
      <c r="CA481" s="191">
        <f>MAX(0,BM481-AK481)</f>
        <v/>
      </c>
      <c r="CB481" s="192">
        <f>MAX(0,BN481-AL481)</f>
        <v/>
      </c>
    </row>
    <row r="482">
      <c r="A482" s="64" t="inlineStr">
        <is>
          <t>44238838000193</t>
        </is>
      </c>
      <c r="B482" s="57" t="inlineStr">
        <is>
          <t>ESTELAMARIS FRANCISCA TOGNON 55597548034</t>
        </is>
      </c>
      <c r="C482" s="57" t="inlineStr">
        <is>
          <t>SEM GRUPO</t>
        </is>
      </c>
      <c r="D482" s="61" t="inlineStr">
        <is>
          <t>HEMANUELE DITZEL (MANU)</t>
        </is>
      </c>
      <c r="E482" s="30" t="inlineStr">
        <is>
          <t>.</t>
        </is>
      </c>
      <c r="F482" s="63" t="inlineStr"/>
      <c r="G482" s="179" t="inlineStr"/>
      <c r="H482" s="57" t="inlineStr"/>
      <c r="I482" s="57" t="inlineStr"/>
      <c r="J482" s="61" t="inlineStr"/>
      <c r="K482" s="30" t="inlineStr">
        <is>
          <t>.</t>
        </is>
      </c>
      <c r="L482" s="180" t="n">
        <v>1007.58</v>
      </c>
      <c r="M482" s="181" t="n">
        <v>70.81</v>
      </c>
      <c r="N482" s="181" t="n">
        <v>73.98999999999999</v>
      </c>
      <c r="O482" s="181" t="n">
        <v>75.77</v>
      </c>
      <c r="P482" s="181" t="n">
        <v>77.75</v>
      </c>
      <c r="Q482" s="181" t="n">
        <v>80.29000000000001</v>
      </c>
      <c r="R482" s="181" t="n">
        <v>82.39</v>
      </c>
      <c r="S482" s="181" t="n">
        <v>85.58</v>
      </c>
      <c r="T482" s="181" t="n">
        <v>87.68000000000001</v>
      </c>
      <c r="U482" s="181" t="n">
        <v>89.65000000000001</v>
      </c>
      <c r="V482" s="181" t="n">
        <v>91.88</v>
      </c>
      <c r="W482" s="181" t="n">
        <v>94.3</v>
      </c>
      <c r="X482" s="182" t="n">
        <v>97.48999999999999</v>
      </c>
      <c r="Y482" s="183" t="inlineStr">
        <is>
          <t>.</t>
        </is>
      </c>
      <c r="Z482" s="184">
        <f>SUM(AA482:AL482)</f>
        <v/>
      </c>
      <c r="AA482" s="185" t="n">
        <v>0</v>
      </c>
      <c r="AB482" s="185" t="n">
        <v>0</v>
      </c>
      <c r="AC482" s="185" t="n">
        <v>0</v>
      </c>
      <c r="AD482" s="185" t="n">
        <v>0</v>
      </c>
      <c r="AE482" s="185" t="n">
        <v>483.4</v>
      </c>
      <c r="AF482" s="185" t="n">
        <v>0</v>
      </c>
      <c r="AG482" s="185" t="n">
        <v>0</v>
      </c>
      <c r="AH482" s="185" t="n">
        <v>0</v>
      </c>
      <c r="AI482" s="185" t="n">
        <v>0</v>
      </c>
      <c r="AJ482" s="185" t="n">
        <v>0</v>
      </c>
      <c r="AK482" s="185" t="n">
        <v>0</v>
      </c>
      <c r="AL482" s="186" t="n">
        <v>0</v>
      </c>
      <c r="AM482" s="30" t="inlineStr">
        <is>
          <t>.</t>
        </is>
      </c>
      <c r="AN482" s="187">
        <f>IF(L482=0,0,Z482/L482)</f>
        <v/>
      </c>
      <c r="AO482" s="57">
        <f>IF(AN482&gt;=1,"🟢",IF(AN482&gt;=0.7,"🟡",IF(AN482&gt;=0.4,"🟠","🔴")))</f>
        <v/>
      </c>
      <c r="AP482" s="185">
        <f>L482-Z482</f>
        <v/>
      </c>
      <c r="AQ482" s="55">
        <f>RANK(Z482,$Z$4:$Z$503,0)</f>
        <v/>
      </c>
      <c r="AR482" s="39" t="inlineStr">
        <is>
          <t>.</t>
        </is>
      </c>
      <c r="AS482" s="27" t="n"/>
      <c r="AT482" s="27" t="n"/>
      <c r="AU482" s="27" t="n"/>
      <c r="AV482" s="27" t="n"/>
      <c r="AW482" s="27" t="n"/>
      <c r="AX482" s="27" t="n"/>
      <c r="AY482" s="204" t="n"/>
      <c r="AZ482" s="204" t="n"/>
      <c r="BA482" s="38" t="inlineStr">
        <is>
          <t>.</t>
        </is>
      </c>
      <c r="BB482" s="190">
        <f>SUM(BC482:BN482)</f>
        <v/>
      </c>
      <c r="BC482" s="191">
        <f>L482*0.0702730030</f>
        <v/>
      </c>
      <c r="BD482" s="191">
        <f>L482*0.0734327604</f>
        <v/>
      </c>
      <c r="BE482" s="191">
        <f>L482*0.0752022245</f>
        <v/>
      </c>
      <c r="BF482" s="191">
        <f>L482*0.0771612740</f>
        <v/>
      </c>
      <c r="BG482" s="191">
        <f>L482*0.0796890799</f>
        <v/>
      </c>
      <c r="BH482" s="191">
        <f>L482*0.0817745197</f>
        <v/>
      </c>
      <c r="BI482" s="191">
        <f>L482*0.0849342770</f>
        <v/>
      </c>
      <c r="BJ482" s="191">
        <f>L482*0.0870197169</f>
        <v/>
      </c>
      <c r="BK482" s="191">
        <f>L482*0.0889787664</f>
        <v/>
      </c>
      <c r="BL482" s="191">
        <f>L482*0.0911905966</f>
        <v/>
      </c>
      <c r="BM482" s="191">
        <f>L482*0.0935920121</f>
        <v/>
      </c>
      <c r="BN482" s="192">
        <f>L482*0.0967517695</f>
        <v/>
      </c>
      <c r="BO482" s="36" t="inlineStr">
        <is>
          <t>.</t>
        </is>
      </c>
      <c r="BP482" s="193">
        <f>SUM(BQ482:CB482)</f>
        <v/>
      </c>
      <c r="BQ482" s="191">
        <f>MAX(0,BC482-AA482)</f>
        <v/>
      </c>
      <c r="BR482" s="191">
        <f>MAX(0,BD482-AB482)</f>
        <v/>
      </c>
      <c r="BS482" s="191">
        <f>MAX(0,BE482-AC482)</f>
        <v/>
      </c>
      <c r="BT482" s="191">
        <f>MAX(0,BF482-AD482)</f>
        <v/>
      </c>
      <c r="BU482" s="191">
        <f>MAX(0,BG482-AE482)</f>
        <v/>
      </c>
      <c r="BV482" s="191">
        <f>MAX(0,BH482-AF482)</f>
        <v/>
      </c>
      <c r="BW482" s="191">
        <f>MAX(0,BI482-AG482)</f>
        <v/>
      </c>
      <c r="BX482" s="191">
        <f>MAX(0,BJ482-AH482)</f>
        <v/>
      </c>
      <c r="BY482" s="191">
        <f>MAX(0,BK482-AI482)</f>
        <v/>
      </c>
      <c r="BZ482" s="191">
        <f>MAX(0,BL482-AJ482)</f>
        <v/>
      </c>
      <c r="CA482" s="191">
        <f>MAX(0,BM482-AK482)</f>
        <v/>
      </c>
      <c r="CB482" s="192">
        <f>MAX(0,BN482-AL482)</f>
        <v/>
      </c>
    </row>
    <row r="483">
      <c r="A483" s="64" t="inlineStr">
        <is>
          <t>20284100000102</t>
        </is>
      </c>
      <c r="B483" s="57" t="inlineStr">
        <is>
          <t>L V PRODUTOS NATURAIS LTDA - EPP</t>
        </is>
      </c>
      <c r="C483" s="57" t="inlineStr">
        <is>
          <t>SEM GRUPO</t>
        </is>
      </c>
      <c r="D483" s="61" t="inlineStr">
        <is>
          <t>LARISSA PADILHA</t>
        </is>
      </c>
      <c r="E483" s="30" t="inlineStr">
        <is>
          <t>.</t>
        </is>
      </c>
      <c r="F483" s="63" t="inlineStr"/>
      <c r="G483" s="179" t="inlineStr"/>
      <c r="H483" s="57" t="inlineStr"/>
      <c r="I483" s="57" t="inlineStr"/>
      <c r="J483" s="61" t="inlineStr"/>
      <c r="K483" s="30" t="inlineStr">
        <is>
          <t>.</t>
        </is>
      </c>
      <c r="L483" s="180" t="n">
        <v>988.6799999999999</v>
      </c>
      <c r="M483" s="181" t="n">
        <v>69.48</v>
      </c>
      <c r="N483" s="181" t="n">
        <v>72.59999999999999</v>
      </c>
      <c r="O483" s="181" t="n">
        <v>74.34999999999999</v>
      </c>
      <c r="P483" s="181" t="n">
        <v>76.29000000000001</v>
      </c>
      <c r="Q483" s="181" t="n">
        <v>78.79000000000001</v>
      </c>
      <c r="R483" s="181" t="n">
        <v>80.84999999999999</v>
      </c>
      <c r="S483" s="181" t="n">
        <v>83.97</v>
      </c>
      <c r="T483" s="181" t="n">
        <v>86.03</v>
      </c>
      <c r="U483" s="181" t="n">
        <v>87.97</v>
      </c>
      <c r="V483" s="181" t="n">
        <v>90.16</v>
      </c>
      <c r="W483" s="181" t="n">
        <v>92.53</v>
      </c>
      <c r="X483" s="182" t="n">
        <v>95.66</v>
      </c>
      <c r="Y483" s="183" t="inlineStr">
        <is>
          <t>.</t>
        </is>
      </c>
      <c r="Z483" s="184">
        <f>SUM(AA483:AL483)</f>
        <v/>
      </c>
      <c r="AA483" s="185" t="n">
        <v>0</v>
      </c>
      <c r="AB483" s="185" t="n">
        <v>993.88</v>
      </c>
      <c r="AC483" s="185" t="n">
        <v>0</v>
      </c>
      <c r="AD483" s="185" t="n">
        <v>0</v>
      </c>
      <c r="AE483" s="185" t="n">
        <v>0</v>
      </c>
      <c r="AF483" s="185" t="n">
        <v>0</v>
      </c>
      <c r="AG483" s="185" t="n">
        <v>0</v>
      </c>
      <c r="AH483" s="185" t="n">
        <v>0</v>
      </c>
      <c r="AI483" s="185" t="n">
        <v>0</v>
      </c>
      <c r="AJ483" s="185" t="n">
        <v>0</v>
      </c>
      <c r="AK483" s="185" t="n">
        <v>0</v>
      </c>
      <c r="AL483" s="186" t="n">
        <v>0</v>
      </c>
      <c r="AM483" s="30" t="inlineStr">
        <is>
          <t>.</t>
        </is>
      </c>
      <c r="AN483" s="187">
        <f>IF(L483=0,0,Z483/L483)</f>
        <v/>
      </c>
      <c r="AO483" s="57">
        <f>IF(AN483&gt;=1,"🟢",IF(AN483&gt;=0.7,"🟡",IF(AN483&gt;=0.4,"🟠","🔴")))</f>
        <v/>
      </c>
      <c r="AP483" s="185">
        <f>L483-Z483</f>
        <v/>
      </c>
      <c r="AQ483" s="55">
        <f>RANK(Z483,$Z$4:$Z$503,0)</f>
        <v/>
      </c>
      <c r="AR483" s="39" t="inlineStr">
        <is>
          <t>.</t>
        </is>
      </c>
      <c r="AS483" s="27" t="n"/>
      <c r="AT483" s="27" t="n"/>
      <c r="AU483" s="27" t="n"/>
      <c r="AV483" s="27" t="n"/>
      <c r="AW483" s="27" t="n"/>
      <c r="AX483" s="27" t="n"/>
      <c r="AY483" s="204" t="n"/>
      <c r="AZ483" s="204" t="n"/>
      <c r="BA483" s="38" t="inlineStr">
        <is>
          <t>.</t>
        </is>
      </c>
      <c r="BB483" s="190">
        <f>SUM(BC483:BN483)</f>
        <v/>
      </c>
      <c r="BC483" s="191">
        <f>L483*0.0702730030</f>
        <v/>
      </c>
      <c r="BD483" s="191">
        <f>L483*0.0734327604</f>
        <v/>
      </c>
      <c r="BE483" s="191">
        <f>L483*0.0752022245</f>
        <v/>
      </c>
      <c r="BF483" s="191">
        <f>L483*0.0771612740</f>
        <v/>
      </c>
      <c r="BG483" s="191">
        <f>L483*0.0796890799</f>
        <v/>
      </c>
      <c r="BH483" s="191">
        <f>L483*0.0817745197</f>
        <v/>
      </c>
      <c r="BI483" s="191">
        <f>L483*0.0849342770</f>
        <v/>
      </c>
      <c r="BJ483" s="191">
        <f>L483*0.0870197169</f>
        <v/>
      </c>
      <c r="BK483" s="191">
        <f>L483*0.0889787664</f>
        <v/>
      </c>
      <c r="BL483" s="191">
        <f>L483*0.0911905966</f>
        <v/>
      </c>
      <c r="BM483" s="191">
        <f>L483*0.0935920121</f>
        <v/>
      </c>
      <c r="BN483" s="192">
        <f>L483*0.0967517695</f>
        <v/>
      </c>
      <c r="BO483" s="36" t="inlineStr">
        <is>
          <t>.</t>
        </is>
      </c>
      <c r="BP483" s="193">
        <f>SUM(BQ483:CB483)</f>
        <v/>
      </c>
      <c r="BQ483" s="191">
        <f>MAX(0,BC483-AA483)</f>
        <v/>
      </c>
      <c r="BR483" s="191">
        <f>MAX(0,BD483-AB483)</f>
        <v/>
      </c>
      <c r="BS483" s="191">
        <f>MAX(0,BE483-AC483)</f>
        <v/>
      </c>
      <c r="BT483" s="191">
        <f>MAX(0,BF483-AD483)</f>
        <v/>
      </c>
      <c r="BU483" s="191">
        <f>MAX(0,BG483-AE483)</f>
        <v/>
      </c>
      <c r="BV483" s="191">
        <f>MAX(0,BH483-AF483)</f>
        <v/>
      </c>
      <c r="BW483" s="191">
        <f>MAX(0,BI483-AG483)</f>
        <v/>
      </c>
      <c r="BX483" s="191">
        <f>MAX(0,BJ483-AH483)</f>
        <v/>
      </c>
      <c r="BY483" s="191">
        <f>MAX(0,BK483-AI483)</f>
        <v/>
      </c>
      <c r="BZ483" s="191">
        <f>MAX(0,BL483-AJ483)</f>
        <v/>
      </c>
      <c r="CA483" s="191">
        <f>MAX(0,BM483-AK483)</f>
        <v/>
      </c>
      <c r="CB483" s="192">
        <f>MAX(0,BN483-AL483)</f>
        <v/>
      </c>
    </row>
    <row r="484">
      <c r="A484" s="64" t="n">
        <v>21757527000135</v>
      </c>
      <c r="B484" s="57" t="inlineStr">
        <is>
          <t>LUMAFER PRODUTOS NATURAIS E ORGANICOS LT</t>
        </is>
      </c>
      <c r="C484" s="57" t="inlineStr">
        <is>
          <t>SEM GRUPO</t>
        </is>
      </c>
      <c r="D484" s="61" t="inlineStr">
        <is>
          <t>HEMANUELE DITZEL (MANU)</t>
        </is>
      </c>
      <c r="E484" s="30" t="inlineStr">
        <is>
          <t>.</t>
        </is>
      </c>
      <c r="F484" s="63" t="inlineStr"/>
      <c r="G484" s="179" t="inlineStr"/>
      <c r="H484" s="57" t="inlineStr"/>
      <c r="I484" s="57" t="inlineStr"/>
      <c r="J484" s="61" t="inlineStr"/>
      <c r="K484" s="30" t="inlineStr">
        <is>
          <t>.</t>
        </is>
      </c>
      <c r="L484" s="180" t="n">
        <v>981.1500000000001</v>
      </c>
      <c r="M484" s="181" t="n">
        <v>68.95</v>
      </c>
      <c r="N484" s="181" t="n">
        <v>72.05</v>
      </c>
      <c r="O484" s="181" t="n">
        <v>73.78</v>
      </c>
      <c r="P484" s="181" t="n">
        <v>75.70999999999999</v>
      </c>
      <c r="Q484" s="181" t="n">
        <v>78.19</v>
      </c>
      <c r="R484" s="181" t="n">
        <v>80.23</v>
      </c>
      <c r="S484" s="181" t="n">
        <v>83.33</v>
      </c>
      <c r="T484" s="181" t="n">
        <v>85.38</v>
      </c>
      <c r="U484" s="181" t="n">
        <v>87.3</v>
      </c>
      <c r="V484" s="181" t="n">
        <v>89.47</v>
      </c>
      <c r="W484" s="181" t="n">
        <v>91.83</v>
      </c>
      <c r="X484" s="182" t="n">
        <v>94.93000000000001</v>
      </c>
      <c r="Y484" s="183" t="inlineStr">
        <is>
          <t>.</t>
        </is>
      </c>
      <c r="Z484" s="184">
        <f>SUM(AA484:AL484)</f>
        <v/>
      </c>
      <c r="AA484" s="185" t="n">
        <v>0</v>
      </c>
      <c r="AB484" s="185" t="n">
        <v>0</v>
      </c>
      <c r="AC484" s="185" t="n">
        <v>0</v>
      </c>
      <c r="AD484" s="185" t="n">
        <v>0</v>
      </c>
      <c r="AE484" s="185" t="n">
        <v>0</v>
      </c>
      <c r="AF484" s="185" t="n">
        <v>596.7</v>
      </c>
      <c r="AG484" s="185" t="n">
        <v>0</v>
      </c>
      <c r="AH484" s="185" t="n">
        <v>0</v>
      </c>
      <c r="AI484" s="185" t="n">
        <v>0</v>
      </c>
      <c r="AJ484" s="185" t="n">
        <v>0</v>
      </c>
      <c r="AK484" s="185" t="n">
        <v>0</v>
      </c>
      <c r="AL484" s="186" t="n">
        <v>0</v>
      </c>
      <c r="AM484" s="30" t="inlineStr">
        <is>
          <t>.</t>
        </is>
      </c>
      <c r="AN484" s="187">
        <f>IF(L484=0,0,Z484/L484)</f>
        <v/>
      </c>
      <c r="AO484" s="57">
        <f>IF(AN484&gt;=1,"🟢",IF(AN484&gt;=0.7,"🟡",IF(AN484&gt;=0.4,"🟠","🔴")))</f>
        <v/>
      </c>
      <c r="AP484" s="185">
        <f>L484-Z484</f>
        <v/>
      </c>
      <c r="AQ484" s="55">
        <f>RANK(Z484,$Z$4:$Z$503,0)</f>
        <v/>
      </c>
      <c r="AR484" s="39" t="inlineStr">
        <is>
          <t>.</t>
        </is>
      </c>
      <c r="AS484" s="27" t="n"/>
      <c r="AT484" s="27" t="n"/>
      <c r="AU484" s="27" t="n"/>
      <c r="AV484" s="27" t="n"/>
      <c r="AW484" s="27" t="n"/>
      <c r="AX484" s="27" t="n"/>
      <c r="AY484" s="204" t="n"/>
      <c r="AZ484" s="204" t="n"/>
      <c r="BA484" s="38" t="inlineStr">
        <is>
          <t>.</t>
        </is>
      </c>
      <c r="BB484" s="190">
        <f>SUM(BC484:BN484)</f>
        <v/>
      </c>
      <c r="BC484" s="191">
        <f>L484*0.0702730030</f>
        <v/>
      </c>
      <c r="BD484" s="191">
        <f>L484*0.0734327604</f>
        <v/>
      </c>
      <c r="BE484" s="191">
        <f>L484*0.0752022245</f>
        <v/>
      </c>
      <c r="BF484" s="191">
        <f>L484*0.0771612740</f>
        <v/>
      </c>
      <c r="BG484" s="191">
        <f>L484*0.0796890799</f>
        <v/>
      </c>
      <c r="BH484" s="191">
        <f>L484*0.0817745197</f>
        <v/>
      </c>
      <c r="BI484" s="191">
        <f>L484*0.0849342770</f>
        <v/>
      </c>
      <c r="BJ484" s="191">
        <f>L484*0.0870197169</f>
        <v/>
      </c>
      <c r="BK484" s="191">
        <f>L484*0.0889787664</f>
        <v/>
      </c>
      <c r="BL484" s="191">
        <f>L484*0.0911905966</f>
        <v/>
      </c>
      <c r="BM484" s="191">
        <f>L484*0.0935920121</f>
        <v/>
      </c>
      <c r="BN484" s="192">
        <f>L484*0.0967517695</f>
        <v/>
      </c>
      <c r="BO484" s="36" t="inlineStr">
        <is>
          <t>.</t>
        </is>
      </c>
      <c r="BP484" s="193">
        <f>SUM(BQ484:CB484)</f>
        <v/>
      </c>
      <c r="BQ484" s="191">
        <f>MAX(0,BC484-AA484)</f>
        <v/>
      </c>
      <c r="BR484" s="191">
        <f>MAX(0,BD484-AB484)</f>
        <v/>
      </c>
      <c r="BS484" s="191">
        <f>MAX(0,BE484-AC484)</f>
        <v/>
      </c>
      <c r="BT484" s="191">
        <f>MAX(0,BF484-AD484)</f>
        <v/>
      </c>
      <c r="BU484" s="191">
        <f>MAX(0,BG484-AE484)</f>
        <v/>
      </c>
      <c r="BV484" s="191">
        <f>MAX(0,BH484-AF484)</f>
        <v/>
      </c>
      <c r="BW484" s="191">
        <f>MAX(0,BI484-AG484)</f>
        <v/>
      </c>
      <c r="BX484" s="191">
        <f>MAX(0,BJ484-AH484)</f>
        <v/>
      </c>
      <c r="BY484" s="191">
        <f>MAX(0,BK484-AI484)</f>
        <v/>
      </c>
      <c r="BZ484" s="191">
        <f>MAX(0,BL484-AJ484)</f>
        <v/>
      </c>
      <c r="CA484" s="191">
        <f>MAX(0,BM484-AK484)</f>
        <v/>
      </c>
      <c r="CB484" s="192">
        <f>MAX(0,BN484-AL484)</f>
        <v/>
      </c>
    </row>
    <row r="485">
      <c r="A485" s="64" t="n">
        <v>33760983000113</v>
      </c>
      <c r="B485" s="57" t="inlineStr">
        <is>
          <t>SILVANE KESSLER FLACH - ME</t>
        </is>
      </c>
      <c r="C485" s="57" t="inlineStr">
        <is>
          <t>DIVINA TERRA</t>
        </is>
      </c>
      <c r="D485" s="61" t="inlineStr">
        <is>
          <t>DAIANE STAVICKI</t>
        </is>
      </c>
      <c r="E485" s="30" t="inlineStr">
        <is>
          <t>.</t>
        </is>
      </c>
      <c r="F485" s="63" t="n">
        <v>85</v>
      </c>
      <c r="G485" s="179" t="n">
        <v>0.1</v>
      </c>
      <c r="H485" s="57" t="inlineStr">
        <is>
          <t>🔴 VERMELHO</t>
        </is>
      </c>
      <c r="I485" s="57" t="inlineStr">
        <is>
          <t>POSITIVAÇÃO</t>
        </is>
      </c>
      <c r="J485" s="61" t="inlineStr">
        <is>
          <t>Aumentar frequência + Expandir base</t>
        </is>
      </c>
      <c r="K485" s="30" t="inlineStr">
        <is>
          <t>.</t>
        </is>
      </c>
      <c r="L485" s="180" t="n">
        <v>959.9799999999999</v>
      </c>
      <c r="M485" s="181" t="n">
        <v>67.45999999999999</v>
      </c>
      <c r="N485" s="181" t="n">
        <v>70.48999999999999</v>
      </c>
      <c r="O485" s="181" t="n">
        <v>72.19</v>
      </c>
      <c r="P485" s="181" t="n">
        <v>74.06999999999999</v>
      </c>
      <c r="Q485" s="181" t="n">
        <v>76.5</v>
      </c>
      <c r="R485" s="181" t="n">
        <v>78.5</v>
      </c>
      <c r="S485" s="181" t="n">
        <v>81.54000000000001</v>
      </c>
      <c r="T485" s="181" t="n">
        <v>83.54000000000001</v>
      </c>
      <c r="U485" s="181" t="n">
        <v>85.42</v>
      </c>
      <c r="V485" s="181" t="n">
        <v>87.54000000000001</v>
      </c>
      <c r="W485" s="181" t="n">
        <v>89.84999999999999</v>
      </c>
      <c r="X485" s="182" t="n">
        <v>92.88</v>
      </c>
      <c r="Y485" s="183" t="inlineStr">
        <is>
          <t>.</t>
        </is>
      </c>
      <c r="Z485" s="184">
        <f>SUM(AA485:AL485)</f>
        <v/>
      </c>
      <c r="AA485" s="185" t="n">
        <v>0</v>
      </c>
      <c r="AB485" s="185" t="n">
        <v>965.04</v>
      </c>
      <c r="AC485" s="185" t="n">
        <v>0</v>
      </c>
      <c r="AD485" s="185" t="n">
        <v>0</v>
      </c>
      <c r="AE485" s="185" t="n">
        <v>0</v>
      </c>
      <c r="AF485" s="185" t="n">
        <v>0</v>
      </c>
      <c r="AG485" s="185" t="n">
        <v>0</v>
      </c>
      <c r="AH485" s="185" t="n">
        <v>0</v>
      </c>
      <c r="AI485" s="185" t="n">
        <v>0</v>
      </c>
      <c r="AJ485" s="185" t="n">
        <v>0</v>
      </c>
      <c r="AK485" s="185" t="n">
        <v>0</v>
      </c>
      <c r="AL485" s="186" t="n">
        <v>0</v>
      </c>
      <c r="AM485" s="30" t="inlineStr">
        <is>
          <t>.</t>
        </is>
      </c>
      <c r="AN485" s="187">
        <f>IF(L485=0,0,Z485/L485)</f>
        <v/>
      </c>
      <c r="AO485" s="57">
        <f>IF(AN485&gt;=1,"🟢",IF(AN485&gt;=0.7,"🟡",IF(AN485&gt;=0.4,"🟠","🔴")))</f>
        <v/>
      </c>
      <c r="AP485" s="185">
        <f>L485-Z485</f>
        <v/>
      </c>
      <c r="AQ485" s="55">
        <f>RANK(Z485,$Z$4:$Z$503,0)</f>
        <v/>
      </c>
      <c r="AR485" s="39" t="inlineStr">
        <is>
          <t>.</t>
        </is>
      </c>
      <c r="AS485" s="27" t="n"/>
      <c r="AT485" s="27" t="n"/>
      <c r="AU485" s="27" t="n"/>
      <c r="AV485" s="27" t="n"/>
      <c r="AW485" s="27" t="n"/>
      <c r="AX485" s="27" t="n"/>
      <c r="AY485" s="204" t="n"/>
      <c r="AZ485" s="204" t="n"/>
      <c r="BA485" s="38" t="inlineStr">
        <is>
          <t>.</t>
        </is>
      </c>
      <c r="BB485" s="190">
        <f>SUM(BC485:BN485)</f>
        <v/>
      </c>
      <c r="BC485" s="191">
        <f>L485*0.0702730030</f>
        <v/>
      </c>
      <c r="BD485" s="191">
        <f>L485*0.0734327604</f>
        <v/>
      </c>
      <c r="BE485" s="191">
        <f>L485*0.0752022245</f>
        <v/>
      </c>
      <c r="BF485" s="191">
        <f>L485*0.0771612740</f>
        <v/>
      </c>
      <c r="BG485" s="191">
        <f>L485*0.0796890799</f>
        <v/>
      </c>
      <c r="BH485" s="191">
        <f>L485*0.0817745197</f>
        <v/>
      </c>
      <c r="BI485" s="191">
        <f>L485*0.0849342770</f>
        <v/>
      </c>
      <c r="BJ485" s="191">
        <f>L485*0.0870197169</f>
        <v/>
      </c>
      <c r="BK485" s="191">
        <f>L485*0.0889787664</f>
        <v/>
      </c>
      <c r="BL485" s="191">
        <f>L485*0.0911905966</f>
        <v/>
      </c>
      <c r="BM485" s="191">
        <f>L485*0.0935920121</f>
        <v/>
      </c>
      <c r="BN485" s="192">
        <f>L485*0.0967517695</f>
        <v/>
      </c>
      <c r="BO485" s="36" t="inlineStr">
        <is>
          <t>.</t>
        </is>
      </c>
      <c r="BP485" s="193">
        <f>SUM(BQ485:CB485)</f>
        <v/>
      </c>
      <c r="BQ485" s="191">
        <f>MAX(0,BC485-AA485)</f>
        <v/>
      </c>
      <c r="BR485" s="191">
        <f>MAX(0,BD485-AB485)</f>
        <v/>
      </c>
      <c r="BS485" s="191">
        <f>MAX(0,BE485-AC485)</f>
        <v/>
      </c>
      <c r="BT485" s="191">
        <f>MAX(0,BF485-AD485)</f>
        <v/>
      </c>
      <c r="BU485" s="191">
        <f>MAX(0,BG485-AE485)</f>
        <v/>
      </c>
      <c r="BV485" s="191">
        <f>MAX(0,BH485-AF485)</f>
        <v/>
      </c>
      <c r="BW485" s="191">
        <f>MAX(0,BI485-AG485)</f>
        <v/>
      </c>
      <c r="BX485" s="191">
        <f>MAX(0,BJ485-AH485)</f>
        <v/>
      </c>
      <c r="BY485" s="191">
        <f>MAX(0,BK485-AI485)</f>
        <v/>
      </c>
      <c r="BZ485" s="191">
        <f>MAX(0,BL485-AJ485)</f>
        <v/>
      </c>
      <c r="CA485" s="191">
        <f>MAX(0,BM485-AK485)</f>
        <v/>
      </c>
      <c r="CB485" s="192">
        <f>MAX(0,BN485-AL485)</f>
        <v/>
      </c>
    </row>
    <row r="486">
      <c r="A486" s="64" t="n">
        <v>53401615000196</v>
      </c>
      <c r="B486" s="57" t="inlineStr">
        <is>
          <t>RIO BISTRO SAUDAVEL LTDA</t>
        </is>
      </c>
      <c r="C486" s="57" t="inlineStr">
        <is>
          <t>SEM GRUPO</t>
        </is>
      </c>
      <c r="D486" s="61" t="inlineStr">
        <is>
          <t>LARISSA PADILHA</t>
        </is>
      </c>
      <c r="E486" s="30" t="inlineStr">
        <is>
          <t>.</t>
        </is>
      </c>
      <c r="F486" s="63" t="inlineStr"/>
      <c r="G486" s="179" t="inlineStr"/>
      <c r="H486" s="57" t="inlineStr"/>
      <c r="I486" s="57" t="inlineStr"/>
      <c r="J486" s="61" t="inlineStr"/>
      <c r="K486" s="30" t="inlineStr">
        <is>
          <t>.</t>
        </is>
      </c>
      <c r="L486" s="180" t="n">
        <v>950.7700000000001</v>
      </c>
      <c r="M486" s="181" t="n">
        <v>66.81</v>
      </c>
      <c r="N486" s="181" t="n">
        <v>69.81999999999999</v>
      </c>
      <c r="O486" s="181" t="n">
        <v>71.5</v>
      </c>
      <c r="P486" s="181" t="n">
        <v>73.36</v>
      </c>
      <c r="Q486" s="181" t="n">
        <v>75.77</v>
      </c>
      <c r="R486" s="181" t="n">
        <v>77.75</v>
      </c>
      <c r="S486" s="181" t="n">
        <v>80.75</v>
      </c>
      <c r="T486" s="181" t="n">
        <v>82.73999999999999</v>
      </c>
      <c r="U486" s="181" t="n">
        <v>84.59999999999999</v>
      </c>
      <c r="V486" s="181" t="n">
        <v>86.7</v>
      </c>
      <c r="W486" s="181" t="n">
        <v>88.98</v>
      </c>
      <c r="X486" s="182" t="n">
        <v>91.98999999999999</v>
      </c>
      <c r="Y486" s="183" t="inlineStr">
        <is>
          <t>.</t>
        </is>
      </c>
      <c r="Z486" s="184">
        <f>SUM(AA486:AL486)</f>
        <v/>
      </c>
      <c r="AA486" s="185" t="n">
        <v>0</v>
      </c>
      <c r="AB486" s="185" t="n">
        <v>0</v>
      </c>
      <c r="AC486" s="185" t="n">
        <v>0</v>
      </c>
      <c r="AD486" s="185" t="n">
        <v>0</v>
      </c>
      <c r="AE486" s="185" t="n">
        <v>0</v>
      </c>
      <c r="AF486" s="185" t="n">
        <v>0</v>
      </c>
      <c r="AG486" s="185" t="n">
        <v>0</v>
      </c>
      <c r="AH486" s="185" t="n">
        <v>0</v>
      </c>
      <c r="AI486" s="185" t="n">
        <v>0</v>
      </c>
      <c r="AJ486" s="185" t="n">
        <v>0</v>
      </c>
      <c r="AK486" s="185" t="n">
        <v>0</v>
      </c>
      <c r="AL486" s="186" t="n">
        <v>501.88</v>
      </c>
      <c r="AM486" s="30" t="inlineStr">
        <is>
          <t>.</t>
        </is>
      </c>
      <c r="AN486" s="187">
        <f>IF(L486=0,0,Z486/L486)</f>
        <v/>
      </c>
      <c r="AO486" s="57">
        <f>IF(AN486&gt;=1,"🟢",IF(AN486&gt;=0.7,"🟡",IF(AN486&gt;=0.4,"🟠","🔴")))</f>
        <v/>
      </c>
      <c r="AP486" s="185">
        <f>L486-Z486</f>
        <v/>
      </c>
      <c r="AQ486" s="55">
        <f>RANK(Z486,$Z$4:$Z$503,0)</f>
        <v/>
      </c>
      <c r="AR486" s="39" t="inlineStr">
        <is>
          <t>.</t>
        </is>
      </c>
      <c r="AS486" s="27" t="n"/>
      <c r="AT486" s="27" t="n"/>
      <c r="AU486" s="27" t="n"/>
      <c r="AV486" s="27" t="n"/>
      <c r="AW486" s="27" t="n"/>
      <c r="AX486" s="27" t="n"/>
      <c r="AY486" s="204" t="n"/>
      <c r="AZ486" s="204" t="n"/>
      <c r="BA486" s="38" t="inlineStr">
        <is>
          <t>.</t>
        </is>
      </c>
      <c r="BB486" s="190">
        <f>SUM(BC486:BN486)</f>
        <v/>
      </c>
      <c r="BC486" s="191">
        <f>L486*0.0702730030</f>
        <v/>
      </c>
      <c r="BD486" s="191">
        <f>L486*0.0734327604</f>
        <v/>
      </c>
      <c r="BE486" s="191">
        <f>L486*0.0752022245</f>
        <v/>
      </c>
      <c r="BF486" s="191">
        <f>L486*0.0771612740</f>
        <v/>
      </c>
      <c r="BG486" s="191">
        <f>L486*0.0796890799</f>
        <v/>
      </c>
      <c r="BH486" s="191">
        <f>L486*0.0817745197</f>
        <v/>
      </c>
      <c r="BI486" s="191">
        <f>L486*0.0849342770</f>
        <v/>
      </c>
      <c r="BJ486" s="191">
        <f>L486*0.0870197169</f>
        <v/>
      </c>
      <c r="BK486" s="191">
        <f>L486*0.0889787664</f>
        <v/>
      </c>
      <c r="BL486" s="191">
        <f>L486*0.0911905966</f>
        <v/>
      </c>
      <c r="BM486" s="191">
        <f>L486*0.0935920121</f>
        <v/>
      </c>
      <c r="BN486" s="192">
        <f>L486*0.0967517695</f>
        <v/>
      </c>
      <c r="BO486" s="36" t="inlineStr">
        <is>
          <t>.</t>
        </is>
      </c>
      <c r="BP486" s="193">
        <f>SUM(BQ486:CB486)</f>
        <v/>
      </c>
      <c r="BQ486" s="191">
        <f>MAX(0,BC486-AA486)</f>
        <v/>
      </c>
      <c r="BR486" s="191">
        <f>MAX(0,BD486-AB486)</f>
        <v/>
      </c>
      <c r="BS486" s="191">
        <f>MAX(0,BE486-AC486)</f>
        <v/>
      </c>
      <c r="BT486" s="191">
        <f>MAX(0,BF486-AD486)</f>
        <v/>
      </c>
      <c r="BU486" s="191">
        <f>MAX(0,BG486-AE486)</f>
        <v/>
      </c>
      <c r="BV486" s="191">
        <f>MAX(0,BH486-AF486)</f>
        <v/>
      </c>
      <c r="BW486" s="191">
        <f>MAX(0,BI486-AG486)</f>
        <v/>
      </c>
      <c r="BX486" s="191">
        <f>MAX(0,BJ486-AH486)</f>
        <v/>
      </c>
      <c r="BY486" s="191">
        <f>MAX(0,BK486-AI486)</f>
        <v/>
      </c>
      <c r="BZ486" s="191">
        <f>MAX(0,BL486-AJ486)</f>
        <v/>
      </c>
      <c r="CA486" s="191">
        <f>MAX(0,BM486-AK486)</f>
        <v/>
      </c>
      <c r="CB486" s="192">
        <f>MAX(0,BN486-AL486)</f>
        <v/>
      </c>
    </row>
    <row r="487">
      <c r="A487" s="64" t="n">
        <v>34338664000187</v>
      </c>
      <c r="B487" s="57" t="inlineStr">
        <is>
          <t>NATURELI PRODUTOS NATURAIS LTDA - ME</t>
        </is>
      </c>
      <c r="C487" s="57" t="inlineStr">
        <is>
          <t>SEM GRUPO</t>
        </is>
      </c>
      <c r="D487" s="61" t="inlineStr">
        <is>
          <t>LARISSA PADILHA</t>
        </is>
      </c>
      <c r="E487" s="30" t="inlineStr">
        <is>
          <t>.</t>
        </is>
      </c>
      <c r="F487" s="63" t="inlineStr"/>
      <c r="G487" s="179" t="inlineStr"/>
      <c r="H487" s="57" t="inlineStr"/>
      <c r="I487" s="57" t="inlineStr"/>
      <c r="J487" s="61" t="inlineStr"/>
      <c r="K487" s="30" t="inlineStr">
        <is>
          <t>.</t>
        </is>
      </c>
      <c r="L487" s="180" t="n">
        <v>944.7599999999999</v>
      </c>
      <c r="M487" s="181" t="n">
        <v>66.39</v>
      </c>
      <c r="N487" s="181" t="n">
        <v>69.38</v>
      </c>
      <c r="O487" s="181" t="n">
        <v>71.05</v>
      </c>
      <c r="P487" s="181" t="n">
        <v>72.90000000000001</v>
      </c>
      <c r="Q487" s="181" t="n">
        <v>75.29000000000001</v>
      </c>
      <c r="R487" s="181" t="n">
        <v>77.26000000000001</v>
      </c>
      <c r="S487" s="181" t="n">
        <v>80.23999999999999</v>
      </c>
      <c r="T487" s="181" t="n">
        <v>82.20999999999999</v>
      </c>
      <c r="U487" s="181" t="n">
        <v>84.06</v>
      </c>
      <c r="V487" s="181" t="n">
        <v>86.15000000000001</v>
      </c>
      <c r="W487" s="181" t="n">
        <v>88.42</v>
      </c>
      <c r="X487" s="182" t="n">
        <v>91.41</v>
      </c>
      <c r="Y487" s="183" t="inlineStr">
        <is>
          <t>.</t>
        </is>
      </c>
      <c r="Z487" s="184">
        <f>SUM(AA487:AL487)</f>
        <v/>
      </c>
      <c r="AA487" s="185" t="n">
        <v>702.53</v>
      </c>
      <c r="AB487" s="185" t="n">
        <v>0</v>
      </c>
      <c r="AC487" s="185" t="n">
        <v>0</v>
      </c>
      <c r="AD487" s="185" t="n">
        <v>0</v>
      </c>
      <c r="AE487" s="185" t="n">
        <v>0</v>
      </c>
      <c r="AF487" s="185" t="n">
        <v>0</v>
      </c>
      <c r="AG487" s="185" t="n">
        <v>0</v>
      </c>
      <c r="AH487" s="185" t="n">
        <v>0</v>
      </c>
      <c r="AI487" s="185" t="n">
        <v>0</v>
      </c>
      <c r="AJ487" s="185" t="n">
        <v>0</v>
      </c>
      <c r="AK487" s="185" t="n">
        <v>0</v>
      </c>
      <c r="AL487" s="186" t="n">
        <v>0</v>
      </c>
      <c r="AM487" s="30" t="inlineStr">
        <is>
          <t>.</t>
        </is>
      </c>
      <c r="AN487" s="187">
        <f>IF(L487=0,0,Z487/L487)</f>
        <v/>
      </c>
      <c r="AO487" s="57">
        <f>IF(AN487&gt;=1,"🟢",IF(AN487&gt;=0.7,"🟡",IF(AN487&gt;=0.4,"🟠","🔴")))</f>
        <v/>
      </c>
      <c r="AP487" s="185">
        <f>L487-Z487</f>
        <v/>
      </c>
      <c r="AQ487" s="55">
        <f>RANK(Z487,$Z$4:$Z$503,0)</f>
        <v/>
      </c>
      <c r="AR487" s="39" t="inlineStr">
        <is>
          <t>.</t>
        </is>
      </c>
      <c r="AS487" s="27" t="n"/>
      <c r="AT487" s="27" t="n"/>
      <c r="AU487" s="27" t="n"/>
      <c r="AV487" s="27" t="n"/>
      <c r="AW487" s="27" t="n"/>
      <c r="AX487" s="27" t="n"/>
      <c r="AY487" s="204" t="n"/>
      <c r="AZ487" s="204" t="n"/>
      <c r="BA487" s="38" t="inlineStr">
        <is>
          <t>.</t>
        </is>
      </c>
      <c r="BB487" s="190">
        <f>SUM(BC487:BN487)</f>
        <v/>
      </c>
      <c r="BC487" s="191">
        <f>L487*0.0702730030</f>
        <v/>
      </c>
      <c r="BD487" s="191">
        <f>L487*0.0734327604</f>
        <v/>
      </c>
      <c r="BE487" s="191">
        <f>L487*0.0752022245</f>
        <v/>
      </c>
      <c r="BF487" s="191">
        <f>L487*0.0771612740</f>
        <v/>
      </c>
      <c r="BG487" s="191">
        <f>L487*0.0796890799</f>
        <v/>
      </c>
      <c r="BH487" s="191">
        <f>L487*0.0817745197</f>
        <v/>
      </c>
      <c r="BI487" s="191">
        <f>L487*0.0849342770</f>
        <v/>
      </c>
      <c r="BJ487" s="191">
        <f>L487*0.0870197169</f>
        <v/>
      </c>
      <c r="BK487" s="191">
        <f>L487*0.0889787664</f>
        <v/>
      </c>
      <c r="BL487" s="191">
        <f>L487*0.0911905966</f>
        <v/>
      </c>
      <c r="BM487" s="191">
        <f>L487*0.0935920121</f>
        <v/>
      </c>
      <c r="BN487" s="192">
        <f>L487*0.0967517695</f>
        <v/>
      </c>
      <c r="BO487" s="36" t="inlineStr">
        <is>
          <t>.</t>
        </is>
      </c>
      <c r="BP487" s="193">
        <f>SUM(BQ487:CB487)</f>
        <v/>
      </c>
      <c r="BQ487" s="191">
        <f>MAX(0,BC487-AA487)</f>
        <v/>
      </c>
      <c r="BR487" s="191">
        <f>MAX(0,BD487-AB487)</f>
        <v/>
      </c>
      <c r="BS487" s="191">
        <f>MAX(0,BE487-AC487)</f>
        <v/>
      </c>
      <c r="BT487" s="191">
        <f>MAX(0,BF487-AD487)</f>
        <v/>
      </c>
      <c r="BU487" s="191">
        <f>MAX(0,BG487-AE487)</f>
        <v/>
      </c>
      <c r="BV487" s="191">
        <f>MAX(0,BH487-AF487)</f>
        <v/>
      </c>
      <c r="BW487" s="191">
        <f>MAX(0,BI487-AG487)</f>
        <v/>
      </c>
      <c r="BX487" s="191">
        <f>MAX(0,BJ487-AH487)</f>
        <v/>
      </c>
      <c r="BY487" s="191">
        <f>MAX(0,BK487-AI487)</f>
        <v/>
      </c>
      <c r="BZ487" s="191">
        <f>MAX(0,BL487-AJ487)</f>
        <v/>
      </c>
      <c r="CA487" s="191">
        <f>MAX(0,BM487-AK487)</f>
        <v/>
      </c>
      <c r="CB487" s="192">
        <f>MAX(0,BN487-AL487)</f>
        <v/>
      </c>
    </row>
    <row r="488">
      <c r="A488" s="64" t="n">
        <v>1665966000100</v>
      </c>
      <c r="B488" s="57" t="inlineStr">
        <is>
          <t>CARAMELO E CHANTILY COMERCIO ALIMENTICIO</t>
        </is>
      </c>
      <c r="C488" s="57" t="inlineStr">
        <is>
          <t>SEM GRUPO</t>
        </is>
      </c>
      <c r="D488" s="61" t="inlineStr">
        <is>
          <t>HEMANUELE DITZEL (MANU)</t>
        </is>
      </c>
      <c r="E488" s="30" t="inlineStr">
        <is>
          <t>.</t>
        </is>
      </c>
      <c r="F488" s="63" t="inlineStr"/>
      <c r="G488" s="179" t="inlineStr"/>
      <c r="H488" s="57" t="inlineStr"/>
      <c r="I488" s="57" t="inlineStr"/>
      <c r="J488" s="61" t="inlineStr"/>
      <c r="K488" s="30" t="inlineStr">
        <is>
          <t>.</t>
        </is>
      </c>
      <c r="L488" s="180" t="n">
        <v>938.3199999999999</v>
      </c>
      <c r="M488" s="181" t="n">
        <v>65.94</v>
      </c>
      <c r="N488" s="181" t="n">
        <v>68.90000000000001</v>
      </c>
      <c r="O488" s="181" t="n">
        <v>70.56</v>
      </c>
      <c r="P488" s="181" t="n">
        <v>72.40000000000001</v>
      </c>
      <c r="Q488" s="181" t="n">
        <v>74.77</v>
      </c>
      <c r="R488" s="181" t="n">
        <v>76.73</v>
      </c>
      <c r="S488" s="181" t="n">
        <v>79.7</v>
      </c>
      <c r="T488" s="181" t="n">
        <v>81.65000000000001</v>
      </c>
      <c r="U488" s="181" t="n">
        <v>83.48999999999999</v>
      </c>
      <c r="V488" s="181" t="n">
        <v>85.56999999999999</v>
      </c>
      <c r="W488" s="181" t="n">
        <v>87.81999999999999</v>
      </c>
      <c r="X488" s="182" t="n">
        <v>90.79000000000001</v>
      </c>
      <c r="Y488" s="183" t="inlineStr">
        <is>
          <t>.</t>
        </is>
      </c>
      <c r="Z488" s="184">
        <f>SUM(AA488:AL488)</f>
        <v/>
      </c>
      <c r="AA488" s="185" t="n">
        <v>0</v>
      </c>
      <c r="AB488" s="185" t="n">
        <v>0</v>
      </c>
      <c r="AC488" s="185" t="n">
        <v>0</v>
      </c>
      <c r="AD488" s="185" t="n">
        <v>0</v>
      </c>
      <c r="AE488" s="185" t="n">
        <v>0</v>
      </c>
      <c r="AF488" s="185" t="n">
        <v>376.81</v>
      </c>
      <c r="AG488" s="185" t="n">
        <v>0</v>
      </c>
      <c r="AH488" s="185" t="n">
        <v>0</v>
      </c>
      <c r="AI488" s="185" t="n">
        <v>0</v>
      </c>
      <c r="AJ488" s="185" t="n">
        <v>0</v>
      </c>
      <c r="AK488" s="185" t="n">
        <v>0</v>
      </c>
      <c r="AL488" s="186" t="n">
        <v>0</v>
      </c>
      <c r="AM488" s="30" t="inlineStr">
        <is>
          <t>.</t>
        </is>
      </c>
      <c r="AN488" s="187">
        <f>IF(L488=0,0,Z488/L488)</f>
        <v/>
      </c>
      <c r="AO488" s="57">
        <f>IF(AN488&gt;=1,"🟢",IF(AN488&gt;=0.7,"🟡",IF(AN488&gt;=0.4,"🟠","🔴")))</f>
        <v/>
      </c>
      <c r="AP488" s="185">
        <f>L488-Z488</f>
        <v/>
      </c>
      <c r="AQ488" s="55">
        <f>RANK(Z488,$Z$4:$Z$503,0)</f>
        <v/>
      </c>
      <c r="AR488" s="39" t="inlineStr">
        <is>
          <t>.</t>
        </is>
      </c>
      <c r="AS488" s="27" t="n"/>
      <c r="AT488" s="27" t="n"/>
      <c r="AU488" s="27" t="n"/>
      <c r="AV488" s="27" t="n"/>
      <c r="AW488" s="27" t="n"/>
      <c r="AX488" s="27" t="n"/>
      <c r="AY488" s="204" t="n"/>
      <c r="AZ488" s="204" t="n"/>
      <c r="BA488" s="38" t="inlineStr">
        <is>
          <t>.</t>
        </is>
      </c>
      <c r="BB488" s="190">
        <f>SUM(BC488:BN488)</f>
        <v/>
      </c>
      <c r="BC488" s="191">
        <f>L488*0.0702730030</f>
        <v/>
      </c>
      <c r="BD488" s="191">
        <f>L488*0.0734327604</f>
        <v/>
      </c>
      <c r="BE488" s="191">
        <f>L488*0.0752022245</f>
        <v/>
      </c>
      <c r="BF488" s="191">
        <f>L488*0.0771612740</f>
        <v/>
      </c>
      <c r="BG488" s="191">
        <f>L488*0.0796890799</f>
        <v/>
      </c>
      <c r="BH488" s="191">
        <f>L488*0.0817745197</f>
        <v/>
      </c>
      <c r="BI488" s="191">
        <f>L488*0.0849342770</f>
        <v/>
      </c>
      <c r="BJ488" s="191">
        <f>L488*0.0870197169</f>
        <v/>
      </c>
      <c r="BK488" s="191">
        <f>L488*0.0889787664</f>
        <v/>
      </c>
      <c r="BL488" s="191">
        <f>L488*0.0911905966</f>
        <v/>
      </c>
      <c r="BM488" s="191">
        <f>L488*0.0935920121</f>
        <v/>
      </c>
      <c r="BN488" s="192">
        <f>L488*0.0967517695</f>
        <v/>
      </c>
      <c r="BO488" s="36" t="inlineStr">
        <is>
          <t>.</t>
        </is>
      </c>
      <c r="BP488" s="193">
        <f>SUM(BQ488:CB488)</f>
        <v/>
      </c>
      <c r="BQ488" s="191">
        <f>MAX(0,BC488-AA488)</f>
        <v/>
      </c>
      <c r="BR488" s="191">
        <f>MAX(0,BD488-AB488)</f>
        <v/>
      </c>
      <c r="BS488" s="191">
        <f>MAX(0,BE488-AC488)</f>
        <v/>
      </c>
      <c r="BT488" s="191">
        <f>MAX(0,BF488-AD488)</f>
        <v/>
      </c>
      <c r="BU488" s="191">
        <f>MAX(0,BG488-AE488)</f>
        <v/>
      </c>
      <c r="BV488" s="191">
        <f>MAX(0,BH488-AF488)</f>
        <v/>
      </c>
      <c r="BW488" s="191">
        <f>MAX(0,BI488-AG488)</f>
        <v/>
      </c>
      <c r="BX488" s="191">
        <f>MAX(0,BJ488-AH488)</f>
        <v/>
      </c>
      <c r="BY488" s="191">
        <f>MAX(0,BK488-AI488)</f>
        <v/>
      </c>
      <c r="BZ488" s="191">
        <f>MAX(0,BL488-AJ488)</f>
        <v/>
      </c>
      <c r="CA488" s="191">
        <f>MAX(0,BM488-AK488)</f>
        <v/>
      </c>
      <c r="CB488" s="192">
        <f>MAX(0,BN488-AL488)</f>
        <v/>
      </c>
    </row>
    <row r="489">
      <c r="A489" s="64" t="n">
        <v>43144817000146</v>
      </c>
      <c r="B489" s="57" t="inlineStr">
        <is>
          <t>P. RAMOS COMERCIO DE PRODUTOS ALIMENTICI</t>
        </is>
      </c>
      <c r="C489" s="57" t="inlineStr">
        <is>
          <t>SEM GRUPO</t>
        </is>
      </c>
      <c r="D489" s="61" t="inlineStr">
        <is>
          <t>LARISSA PADILHA</t>
        </is>
      </c>
      <c r="E489" s="30" t="inlineStr">
        <is>
          <t>.</t>
        </is>
      </c>
      <c r="F489" s="63" t="inlineStr"/>
      <c r="G489" s="179" t="inlineStr"/>
      <c r="H489" s="57" t="inlineStr"/>
      <c r="I489" s="57" t="inlineStr"/>
      <c r="J489" s="61" t="inlineStr"/>
      <c r="K489" s="30" t="inlineStr">
        <is>
          <t>.</t>
        </is>
      </c>
      <c r="L489" s="180" t="n">
        <v>732.95</v>
      </c>
      <c r="M489" s="181" t="n">
        <v>51.51</v>
      </c>
      <c r="N489" s="181" t="n">
        <v>53.82</v>
      </c>
      <c r="O489" s="181" t="n">
        <v>55.12</v>
      </c>
      <c r="P489" s="181" t="n">
        <v>56.55</v>
      </c>
      <c r="Q489" s="181" t="n">
        <v>58.41</v>
      </c>
      <c r="R489" s="181" t="n">
        <v>59.94</v>
      </c>
      <c r="S489" s="181" t="n">
        <v>62.25</v>
      </c>
      <c r="T489" s="181" t="n">
        <v>63.78</v>
      </c>
      <c r="U489" s="181" t="n">
        <v>65.22</v>
      </c>
      <c r="V489" s="181" t="n">
        <v>66.84</v>
      </c>
      <c r="W489" s="181" t="n">
        <v>68.59999999999999</v>
      </c>
      <c r="X489" s="182" t="n">
        <v>70.91</v>
      </c>
      <c r="Y489" s="183" t="inlineStr">
        <is>
          <t>.</t>
        </is>
      </c>
      <c r="Z489" s="184">
        <f>SUM(AA489:AL489)</f>
        <v/>
      </c>
      <c r="AA489" s="185" t="n">
        <v>0</v>
      </c>
      <c r="AB489" s="185" t="n">
        <v>0</v>
      </c>
      <c r="AC489" s="185" t="n">
        <v>0</v>
      </c>
      <c r="AD489" s="185" t="n">
        <v>0</v>
      </c>
      <c r="AE489" s="185" t="n">
        <v>0</v>
      </c>
      <c r="AF489" s="185" t="n">
        <v>0</v>
      </c>
      <c r="AG489" s="185" t="n">
        <v>0</v>
      </c>
      <c r="AH489" s="185" t="n">
        <v>0</v>
      </c>
      <c r="AI489" s="185" t="n">
        <v>0</v>
      </c>
      <c r="AJ489" s="185" t="n">
        <v>0</v>
      </c>
      <c r="AK489" s="185" t="n">
        <v>0</v>
      </c>
      <c r="AL489" s="186" t="n">
        <v>323.03</v>
      </c>
      <c r="AM489" s="30" t="inlineStr">
        <is>
          <t>.</t>
        </is>
      </c>
      <c r="AN489" s="187">
        <f>IF(L489=0,0,Z489/L489)</f>
        <v/>
      </c>
      <c r="AO489" s="57">
        <f>IF(AN489&gt;=1,"🟢",IF(AN489&gt;=0.7,"🟡",IF(AN489&gt;=0.4,"🟠","🔴")))</f>
        <v/>
      </c>
      <c r="AP489" s="185">
        <f>L489-Z489</f>
        <v/>
      </c>
      <c r="AQ489" s="55">
        <f>RANK(Z489,$Z$4:$Z$503,0)</f>
        <v/>
      </c>
      <c r="AR489" s="39" t="inlineStr">
        <is>
          <t>.</t>
        </is>
      </c>
      <c r="AS489" s="27" t="n"/>
      <c r="AT489" s="27" t="n"/>
      <c r="AU489" s="27" t="n"/>
      <c r="AV489" s="27" t="n"/>
      <c r="AW489" s="27" t="n"/>
      <c r="AX489" s="27" t="n"/>
      <c r="AY489" s="204" t="n"/>
      <c r="AZ489" s="204" t="n"/>
      <c r="BA489" s="38" t="inlineStr">
        <is>
          <t>.</t>
        </is>
      </c>
      <c r="BB489" s="190">
        <f>SUM(BC489:BN489)</f>
        <v/>
      </c>
      <c r="BC489" s="191">
        <f>L489*0.0702730030</f>
        <v/>
      </c>
      <c r="BD489" s="191">
        <f>L489*0.0734327604</f>
        <v/>
      </c>
      <c r="BE489" s="191">
        <f>L489*0.0752022245</f>
        <v/>
      </c>
      <c r="BF489" s="191">
        <f>L489*0.0771612740</f>
        <v/>
      </c>
      <c r="BG489" s="191">
        <f>L489*0.0796890799</f>
        <v/>
      </c>
      <c r="BH489" s="191">
        <f>L489*0.0817745197</f>
        <v/>
      </c>
      <c r="BI489" s="191">
        <f>L489*0.0849342770</f>
        <v/>
      </c>
      <c r="BJ489" s="191">
        <f>L489*0.0870197169</f>
        <v/>
      </c>
      <c r="BK489" s="191">
        <f>L489*0.0889787664</f>
        <v/>
      </c>
      <c r="BL489" s="191">
        <f>L489*0.0911905966</f>
        <v/>
      </c>
      <c r="BM489" s="191">
        <f>L489*0.0935920121</f>
        <v/>
      </c>
      <c r="BN489" s="192">
        <f>L489*0.0967517695</f>
        <v/>
      </c>
      <c r="BO489" s="36" t="inlineStr">
        <is>
          <t>.</t>
        </is>
      </c>
      <c r="BP489" s="193">
        <f>SUM(BQ489:CB489)</f>
        <v/>
      </c>
      <c r="BQ489" s="191">
        <f>MAX(0,BC489-AA489)</f>
        <v/>
      </c>
      <c r="BR489" s="191">
        <f>MAX(0,BD489-AB489)</f>
        <v/>
      </c>
      <c r="BS489" s="191">
        <f>MAX(0,BE489-AC489)</f>
        <v/>
      </c>
      <c r="BT489" s="191">
        <f>MAX(0,BF489-AD489)</f>
        <v/>
      </c>
      <c r="BU489" s="191">
        <f>MAX(0,BG489-AE489)</f>
        <v/>
      </c>
      <c r="BV489" s="191">
        <f>MAX(0,BH489-AF489)</f>
        <v/>
      </c>
      <c r="BW489" s="191">
        <f>MAX(0,BI489-AG489)</f>
        <v/>
      </c>
      <c r="BX489" s="191">
        <f>MAX(0,BJ489-AH489)</f>
        <v/>
      </c>
      <c r="BY489" s="191">
        <f>MAX(0,BK489-AI489)</f>
        <v/>
      </c>
      <c r="BZ489" s="191">
        <f>MAX(0,BL489-AJ489)</f>
        <v/>
      </c>
      <c r="CA489" s="191">
        <f>MAX(0,BM489-AK489)</f>
        <v/>
      </c>
      <c r="CB489" s="192">
        <f>MAX(0,BN489-AL489)</f>
        <v/>
      </c>
    </row>
    <row r="490">
      <c r="A490" s="64" t="n">
        <v>26839789000162</v>
      </c>
      <c r="B490" s="57" t="inlineStr">
        <is>
          <t>EMPORIO NUTREE GRAOS LTDA - ME</t>
        </is>
      </c>
      <c r="C490" s="57" t="inlineStr">
        <is>
          <t>SEM GRUPO</t>
        </is>
      </c>
      <c r="D490" s="61" t="inlineStr">
        <is>
          <t>LARISSA PADILHA</t>
        </is>
      </c>
      <c r="E490" s="30" t="inlineStr">
        <is>
          <t>.</t>
        </is>
      </c>
      <c r="F490" s="63" t="inlineStr"/>
      <c r="G490" s="179" t="inlineStr"/>
      <c r="H490" s="57" t="inlineStr"/>
      <c r="I490" s="57" t="inlineStr"/>
      <c r="J490" s="61" t="inlineStr"/>
      <c r="K490" s="30" t="inlineStr">
        <is>
          <t>.</t>
        </is>
      </c>
      <c r="L490" s="180" t="n">
        <v>715.53</v>
      </c>
      <c r="M490" s="181" t="n">
        <v>50.28</v>
      </c>
      <c r="N490" s="181" t="n">
        <v>52.54</v>
      </c>
      <c r="O490" s="181" t="n">
        <v>53.81</v>
      </c>
      <c r="P490" s="181" t="n">
        <v>55.21</v>
      </c>
      <c r="Q490" s="181" t="n">
        <v>57.02</v>
      </c>
      <c r="R490" s="181" t="n">
        <v>58.51</v>
      </c>
      <c r="S490" s="181" t="n">
        <v>60.77</v>
      </c>
      <c r="T490" s="181" t="n">
        <v>62.27</v>
      </c>
      <c r="U490" s="181" t="n">
        <v>63.67</v>
      </c>
      <c r="V490" s="181" t="n">
        <v>65.25</v>
      </c>
      <c r="W490" s="181" t="n">
        <v>66.97</v>
      </c>
      <c r="X490" s="182" t="n">
        <v>69.23</v>
      </c>
      <c r="Y490" s="183" t="inlineStr">
        <is>
          <t>.</t>
        </is>
      </c>
      <c r="Z490" s="184">
        <f>SUM(AA490:AL490)</f>
        <v/>
      </c>
      <c r="AA490" s="185" t="n">
        <v>532.08</v>
      </c>
      <c r="AB490" s="185" t="n">
        <v>0</v>
      </c>
      <c r="AC490" s="185" t="n">
        <v>0</v>
      </c>
      <c r="AD490" s="185" t="n">
        <v>0</v>
      </c>
      <c r="AE490" s="185" t="n">
        <v>0</v>
      </c>
      <c r="AF490" s="185" t="n">
        <v>0</v>
      </c>
      <c r="AG490" s="185" t="n">
        <v>0</v>
      </c>
      <c r="AH490" s="185" t="n">
        <v>0</v>
      </c>
      <c r="AI490" s="185" t="n">
        <v>0</v>
      </c>
      <c r="AJ490" s="185" t="n">
        <v>0</v>
      </c>
      <c r="AK490" s="185" t="n">
        <v>0</v>
      </c>
      <c r="AL490" s="186" t="n">
        <v>0</v>
      </c>
      <c r="AM490" s="30" t="inlineStr">
        <is>
          <t>.</t>
        </is>
      </c>
      <c r="AN490" s="187">
        <f>IF(L490=0,0,Z490/L490)</f>
        <v/>
      </c>
      <c r="AO490" s="57">
        <f>IF(AN490&gt;=1,"🟢",IF(AN490&gt;=0.7,"🟡",IF(AN490&gt;=0.4,"🟠","🔴")))</f>
        <v/>
      </c>
      <c r="AP490" s="185">
        <f>L490-Z490</f>
        <v/>
      </c>
      <c r="AQ490" s="55">
        <f>RANK(Z490,$Z$4:$Z$503,0)</f>
        <v/>
      </c>
      <c r="AR490" s="39" t="inlineStr">
        <is>
          <t>.</t>
        </is>
      </c>
      <c r="AS490" s="27" t="n"/>
      <c r="AT490" s="27" t="n"/>
      <c r="AU490" s="27" t="n"/>
      <c r="AV490" s="27" t="n"/>
      <c r="AW490" s="27" t="n"/>
      <c r="AX490" s="27" t="n"/>
      <c r="AY490" s="204" t="n"/>
      <c r="AZ490" s="204" t="n"/>
      <c r="BA490" s="38" t="inlineStr">
        <is>
          <t>.</t>
        </is>
      </c>
      <c r="BB490" s="190">
        <f>SUM(BC490:BN490)</f>
        <v/>
      </c>
      <c r="BC490" s="191">
        <f>L490*0.0702730030</f>
        <v/>
      </c>
      <c r="BD490" s="191">
        <f>L490*0.0734327604</f>
        <v/>
      </c>
      <c r="BE490" s="191">
        <f>L490*0.0752022245</f>
        <v/>
      </c>
      <c r="BF490" s="191">
        <f>L490*0.0771612740</f>
        <v/>
      </c>
      <c r="BG490" s="191">
        <f>L490*0.0796890799</f>
        <v/>
      </c>
      <c r="BH490" s="191">
        <f>L490*0.0817745197</f>
        <v/>
      </c>
      <c r="BI490" s="191">
        <f>L490*0.0849342770</f>
        <v/>
      </c>
      <c r="BJ490" s="191">
        <f>L490*0.0870197169</f>
        <v/>
      </c>
      <c r="BK490" s="191">
        <f>L490*0.0889787664</f>
        <v/>
      </c>
      <c r="BL490" s="191">
        <f>L490*0.0911905966</f>
        <v/>
      </c>
      <c r="BM490" s="191">
        <f>L490*0.0935920121</f>
        <v/>
      </c>
      <c r="BN490" s="192">
        <f>L490*0.0967517695</f>
        <v/>
      </c>
      <c r="BO490" s="36" t="inlineStr">
        <is>
          <t>.</t>
        </is>
      </c>
      <c r="BP490" s="193">
        <f>SUM(BQ490:CB490)</f>
        <v/>
      </c>
      <c r="BQ490" s="191">
        <f>MAX(0,BC490-AA490)</f>
        <v/>
      </c>
      <c r="BR490" s="191">
        <f>MAX(0,BD490-AB490)</f>
        <v/>
      </c>
      <c r="BS490" s="191">
        <f>MAX(0,BE490-AC490)</f>
        <v/>
      </c>
      <c r="BT490" s="191">
        <f>MAX(0,BF490-AD490)</f>
        <v/>
      </c>
      <c r="BU490" s="191">
        <f>MAX(0,BG490-AE490)</f>
        <v/>
      </c>
      <c r="BV490" s="191">
        <f>MAX(0,BH490-AF490)</f>
        <v/>
      </c>
      <c r="BW490" s="191">
        <f>MAX(0,BI490-AG490)</f>
        <v/>
      </c>
      <c r="BX490" s="191">
        <f>MAX(0,BJ490-AH490)</f>
        <v/>
      </c>
      <c r="BY490" s="191">
        <f>MAX(0,BK490-AI490)</f>
        <v/>
      </c>
      <c r="BZ490" s="191">
        <f>MAX(0,BL490-AJ490)</f>
        <v/>
      </c>
      <c r="CA490" s="191">
        <f>MAX(0,BM490-AK490)</f>
        <v/>
      </c>
      <c r="CB490" s="192">
        <f>MAX(0,BN490-AL490)</f>
        <v/>
      </c>
    </row>
    <row r="491">
      <c r="A491" s="64" t="n">
        <v>24778921000148</v>
      </c>
      <c r="B491" s="57" t="inlineStr">
        <is>
          <t>QUINOA NATURAL ALIMENTOS E SAUDAVEISLTDA</t>
        </is>
      </c>
      <c r="C491" s="57" t="inlineStr">
        <is>
          <t>SEM GRUPO</t>
        </is>
      </c>
      <c r="D491" s="61" t="inlineStr">
        <is>
          <t>LARISSA PADILHA</t>
        </is>
      </c>
      <c r="E491" s="30" t="inlineStr">
        <is>
          <t>.</t>
        </is>
      </c>
      <c r="F491" s="63" t="inlineStr"/>
      <c r="G491" s="179" t="inlineStr"/>
      <c r="H491" s="57" t="inlineStr"/>
      <c r="I491" s="57" t="inlineStr"/>
      <c r="J491" s="61" t="inlineStr"/>
      <c r="K491" s="30" t="inlineStr">
        <is>
          <t>.</t>
        </is>
      </c>
      <c r="L491" s="180" t="n">
        <v>667.8100000000001</v>
      </c>
      <c r="M491" s="181" t="n">
        <v>46.93</v>
      </c>
      <c r="N491" s="181" t="n">
        <v>49.04</v>
      </c>
      <c r="O491" s="181" t="n">
        <v>50.22</v>
      </c>
      <c r="P491" s="181" t="n">
        <v>51.53</v>
      </c>
      <c r="Q491" s="181" t="n">
        <v>53.22</v>
      </c>
      <c r="R491" s="181" t="n">
        <v>54.61</v>
      </c>
      <c r="S491" s="181" t="n">
        <v>56.72</v>
      </c>
      <c r="T491" s="181" t="n">
        <v>58.11</v>
      </c>
      <c r="U491" s="181" t="n">
        <v>59.42</v>
      </c>
      <c r="V491" s="181" t="n">
        <v>60.9</v>
      </c>
      <c r="W491" s="181" t="n">
        <v>62.5</v>
      </c>
      <c r="X491" s="182" t="n">
        <v>64.61</v>
      </c>
      <c r="Y491" s="183" t="inlineStr">
        <is>
          <t>.</t>
        </is>
      </c>
      <c r="Z491" s="184">
        <f>SUM(AA491:AL491)</f>
        <v/>
      </c>
      <c r="AA491" s="185" t="n">
        <v>0</v>
      </c>
      <c r="AB491" s="185" t="n">
        <v>0</v>
      </c>
      <c r="AC491" s="185" t="n">
        <v>0</v>
      </c>
      <c r="AD491" s="185" t="n">
        <v>0</v>
      </c>
      <c r="AE491" s="185" t="n">
        <v>0</v>
      </c>
      <c r="AF491" s="185" t="n">
        <v>0</v>
      </c>
      <c r="AG491" s="185" t="n">
        <v>0</v>
      </c>
      <c r="AH491" s="185" t="n">
        <v>0</v>
      </c>
      <c r="AI491" s="185" t="n">
        <v>0</v>
      </c>
      <c r="AJ491" s="185" t="n">
        <v>379.89</v>
      </c>
      <c r="AK491" s="185" t="n">
        <v>0</v>
      </c>
      <c r="AL491" s="186" t="n">
        <v>0</v>
      </c>
      <c r="AM491" s="30" t="inlineStr">
        <is>
          <t>.</t>
        </is>
      </c>
      <c r="AN491" s="187">
        <f>IF(L491=0,0,Z491/L491)</f>
        <v/>
      </c>
      <c r="AO491" s="57">
        <f>IF(AN491&gt;=1,"🟢",IF(AN491&gt;=0.7,"🟡",IF(AN491&gt;=0.4,"🟠","🔴")))</f>
        <v/>
      </c>
      <c r="AP491" s="185">
        <f>L491-Z491</f>
        <v/>
      </c>
      <c r="AQ491" s="55">
        <f>RANK(Z491,$Z$4:$Z$503,0)</f>
        <v/>
      </c>
      <c r="AR491" s="39" t="inlineStr">
        <is>
          <t>.</t>
        </is>
      </c>
      <c r="AS491" s="27" t="n"/>
      <c r="AT491" s="27" t="n"/>
      <c r="AU491" s="27" t="n"/>
      <c r="AV491" s="27" t="n"/>
      <c r="AW491" s="27" t="n"/>
      <c r="AX491" s="27" t="n"/>
      <c r="AY491" s="204" t="n"/>
      <c r="AZ491" s="204" t="n"/>
      <c r="BA491" s="38" t="inlineStr">
        <is>
          <t>.</t>
        </is>
      </c>
      <c r="BB491" s="190">
        <f>SUM(BC491:BN491)</f>
        <v/>
      </c>
      <c r="BC491" s="191">
        <f>L491*0.0702730030</f>
        <v/>
      </c>
      <c r="BD491" s="191">
        <f>L491*0.0734327604</f>
        <v/>
      </c>
      <c r="BE491" s="191">
        <f>L491*0.0752022245</f>
        <v/>
      </c>
      <c r="BF491" s="191">
        <f>L491*0.0771612740</f>
        <v/>
      </c>
      <c r="BG491" s="191">
        <f>L491*0.0796890799</f>
        <v/>
      </c>
      <c r="BH491" s="191">
        <f>L491*0.0817745197</f>
        <v/>
      </c>
      <c r="BI491" s="191">
        <f>L491*0.0849342770</f>
        <v/>
      </c>
      <c r="BJ491" s="191">
        <f>L491*0.0870197169</f>
        <v/>
      </c>
      <c r="BK491" s="191">
        <f>L491*0.0889787664</f>
        <v/>
      </c>
      <c r="BL491" s="191">
        <f>L491*0.0911905966</f>
        <v/>
      </c>
      <c r="BM491" s="191">
        <f>L491*0.0935920121</f>
        <v/>
      </c>
      <c r="BN491" s="192">
        <f>L491*0.0967517695</f>
        <v/>
      </c>
      <c r="BO491" s="36" t="inlineStr">
        <is>
          <t>.</t>
        </is>
      </c>
      <c r="BP491" s="193">
        <f>SUM(BQ491:CB491)</f>
        <v/>
      </c>
      <c r="BQ491" s="191">
        <f>MAX(0,BC491-AA491)</f>
        <v/>
      </c>
      <c r="BR491" s="191">
        <f>MAX(0,BD491-AB491)</f>
        <v/>
      </c>
      <c r="BS491" s="191">
        <f>MAX(0,BE491-AC491)</f>
        <v/>
      </c>
      <c r="BT491" s="191">
        <f>MAX(0,BF491-AD491)</f>
        <v/>
      </c>
      <c r="BU491" s="191">
        <f>MAX(0,BG491-AE491)</f>
        <v/>
      </c>
      <c r="BV491" s="191">
        <f>MAX(0,BH491-AF491)</f>
        <v/>
      </c>
      <c r="BW491" s="191">
        <f>MAX(0,BI491-AG491)</f>
        <v/>
      </c>
      <c r="BX491" s="191">
        <f>MAX(0,BJ491-AH491)</f>
        <v/>
      </c>
      <c r="BY491" s="191">
        <f>MAX(0,BK491-AI491)</f>
        <v/>
      </c>
      <c r="BZ491" s="191">
        <f>MAX(0,BL491-AJ491)</f>
        <v/>
      </c>
      <c r="CA491" s="191">
        <f>MAX(0,BM491-AK491)</f>
        <v/>
      </c>
      <c r="CB491" s="192">
        <f>MAX(0,BN491-AL491)</f>
        <v/>
      </c>
    </row>
    <row r="492">
      <c r="A492" s="64" t="n">
        <v>54116382000142</v>
      </c>
      <c r="B492" s="57" t="inlineStr">
        <is>
          <t>RK COMERCIO DE NUTRICAO LTDA - EPP</t>
        </is>
      </c>
      <c r="C492" s="57" t="inlineStr">
        <is>
          <t>FITLAND</t>
        </is>
      </c>
      <c r="D492" s="61" t="inlineStr">
        <is>
          <t>JULIO GADRET</t>
        </is>
      </c>
      <c r="E492" s="30" t="inlineStr">
        <is>
          <t>.</t>
        </is>
      </c>
      <c r="F492" s="63" t="n">
        <v>89</v>
      </c>
      <c r="G492" s="179" t="n">
        <v>0.298</v>
      </c>
      <c r="H492" s="57" t="inlineStr">
        <is>
          <t>🔴 VERMELHO</t>
        </is>
      </c>
      <c r="I492" s="57" t="inlineStr">
        <is>
          <t>POSITIVAÇÃO</t>
        </is>
      </c>
      <c r="J492" s="61" t="inlineStr">
        <is>
          <t>Aumentar frequência + Expandir base</t>
        </is>
      </c>
      <c r="K492" s="30" t="inlineStr">
        <is>
          <t>.</t>
        </is>
      </c>
      <c r="L492" s="180" t="n">
        <v>478.9300000000001</v>
      </c>
      <c r="M492" s="181" t="n">
        <v>33.66</v>
      </c>
      <c r="N492" s="181" t="n">
        <v>35.17</v>
      </c>
      <c r="O492" s="181" t="n">
        <v>36.02</v>
      </c>
      <c r="P492" s="181" t="n">
        <v>36.95</v>
      </c>
      <c r="Q492" s="181" t="n">
        <v>38.17</v>
      </c>
      <c r="R492" s="181" t="n">
        <v>39.16</v>
      </c>
      <c r="S492" s="181" t="n">
        <v>40.68</v>
      </c>
      <c r="T492" s="181" t="n">
        <v>41.68</v>
      </c>
      <c r="U492" s="181" t="n">
        <v>42.61</v>
      </c>
      <c r="V492" s="181" t="n">
        <v>43.67</v>
      </c>
      <c r="W492" s="181" t="n">
        <v>44.82</v>
      </c>
      <c r="X492" s="182" t="n">
        <v>46.34</v>
      </c>
      <c r="Y492" s="183" t="inlineStr">
        <is>
          <t>.</t>
        </is>
      </c>
      <c r="Z492" s="184">
        <f>SUM(AA492:AL492)</f>
        <v/>
      </c>
      <c r="AA492" s="185" t="n">
        <v>356.13</v>
      </c>
      <c r="AB492" s="185" t="n">
        <v>0</v>
      </c>
      <c r="AC492" s="185" t="n">
        <v>0</v>
      </c>
      <c r="AD492" s="185" t="n">
        <v>0</v>
      </c>
      <c r="AE492" s="185" t="n">
        <v>0</v>
      </c>
      <c r="AF492" s="185" t="n">
        <v>0</v>
      </c>
      <c r="AG492" s="185" t="n">
        <v>0</v>
      </c>
      <c r="AH492" s="185" t="n">
        <v>0</v>
      </c>
      <c r="AI492" s="185" t="n">
        <v>0</v>
      </c>
      <c r="AJ492" s="185" t="n">
        <v>0</v>
      </c>
      <c r="AK492" s="185" t="n">
        <v>0</v>
      </c>
      <c r="AL492" s="186" t="n">
        <v>0</v>
      </c>
      <c r="AM492" s="30" t="inlineStr">
        <is>
          <t>.</t>
        </is>
      </c>
      <c r="AN492" s="187">
        <f>IF(L492=0,0,Z492/L492)</f>
        <v/>
      </c>
      <c r="AO492" s="57">
        <f>IF(AN492&gt;=1,"🟢",IF(AN492&gt;=0.7,"🟡",IF(AN492&gt;=0.4,"🟠","🔴")))</f>
        <v/>
      </c>
      <c r="AP492" s="185">
        <f>L492-Z492</f>
        <v/>
      </c>
      <c r="AQ492" s="55">
        <f>RANK(Z492,$Z$4:$Z$503,0)</f>
        <v/>
      </c>
      <c r="AR492" s="39" t="inlineStr">
        <is>
          <t>.</t>
        </is>
      </c>
      <c r="AS492" s="27" t="n"/>
      <c r="AT492" s="27" t="n"/>
      <c r="AU492" s="27" t="n"/>
      <c r="AV492" s="27" t="n"/>
      <c r="AW492" s="27" t="n"/>
      <c r="AX492" s="27" t="n"/>
      <c r="AY492" s="204" t="n"/>
      <c r="AZ492" s="204" t="n"/>
      <c r="BA492" s="38" t="inlineStr">
        <is>
          <t>.</t>
        </is>
      </c>
      <c r="BB492" s="190">
        <f>SUM(BC492:BN492)</f>
        <v/>
      </c>
      <c r="BC492" s="191">
        <f>L492*0.0702730030</f>
        <v/>
      </c>
      <c r="BD492" s="191">
        <f>L492*0.0734327604</f>
        <v/>
      </c>
      <c r="BE492" s="191">
        <f>L492*0.0752022245</f>
        <v/>
      </c>
      <c r="BF492" s="191">
        <f>L492*0.0771612740</f>
        <v/>
      </c>
      <c r="BG492" s="191">
        <f>L492*0.0796890799</f>
        <v/>
      </c>
      <c r="BH492" s="191">
        <f>L492*0.0817745197</f>
        <v/>
      </c>
      <c r="BI492" s="191">
        <f>L492*0.0849342770</f>
        <v/>
      </c>
      <c r="BJ492" s="191">
        <f>L492*0.0870197169</f>
        <v/>
      </c>
      <c r="BK492" s="191">
        <f>L492*0.0889787664</f>
        <v/>
      </c>
      <c r="BL492" s="191">
        <f>L492*0.0911905966</f>
        <v/>
      </c>
      <c r="BM492" s="191">
        <f>L492*0.0935920121</f>
        <v/>
      </c>
      <c r="BN492" s="192">
        <f>L492*0.0967517695</f>
        <v/>
      </c>
      <c r="BO492" s="36" t="inlineStr">
        <is>
          <t>.</t>
        </is>
      </c>
      <c r="BP492" s="193">
        <f>SUM(BQ492:CB492)</f>
        <v/>
      </c>
      <c r="BQ492" s="191">
        <f>MAX(0,BC492-AA492)</f>
        <v/>
      </c>
      <c r="BR492" s="191">
        <f>MAX(0,BD492-AB492)</f>
        <v/>
      </c>
      <c r="BS492" s="191">
        <f>MAX(0,BE492-AC492)</f>
        <v/>
      </c>
      <c r="BT492" s="191">
        <f>MAX(0,BF492-AD492)</f>
        <v/>
      </c>
      <c r="BU492" s="191">
        <f>MAX(0,BG492-AE492)</f>
        <v/>
      </c>
      <c r="BV492" s="191">
        <f>MAX(0,BH492-AF492)</f>
        <v/>
      </c>
      <c r="BW492" s="191">
        <f>MAX(0,BI492-AG492)</f>
        <v/>
      </c>
      <c r="BX492" s="191">
        <f>MAX(0,BJ492-AH492)</f>
        <v/>
      </c>
      <c r="BY492" s="191">
        <f>MAX(0,BK492-AI492)</f>
        <v/>
      </c>
      <c r="BZ492" s="191">
        <f>MAX(0,BL492-AJ492)</f>
        <v/>
      </c>
      <c r="CA492" s="191">
        <f>MAX(0,BM492-AK492)</f>
        <v/>
      </c>
      <c r="CB492" s="192">
        <f>MAX(0,BN492-AL492)</f>
        <v/>
      </c>
    </row>
    <row r="493">
      <c r="A493" s="64" t="n">
        <v>57107436000100</v>
      </c>
      <c r="B493" s="57" t="inlineStr">
        <is>
          <t>MANIA FIT LTDA - EPP</t>
        </is>
      </c>
      <c r="C493" s="57" t="inlineStr">
        <is>
          <t>FITLAND</t>
        </is>
      </c>
      <c r="D493" s="61" t="inlineStr">
        <is>
          <t>JULIO GADRET</t>
        </is>
      </c>
      <c r="E493" s="30" t="inlineStr">
        <is>
          <t>.</t>
        </is>
      </c>
      <c r="F493" s="63" t="n">
        <v>89</v>
      </c>
      <c r="G493" s="179" t="n">
        <v>0.298</v>
      </c>
      <c r="H493" s="57" t="inlineStr">
        <is>
          <t>🔴 VERMELHO</t>
        </is>
      </c>
      <c r="I493" s="57" t="inlineStr">
        <is>
          <t>POSITIVAÇÃO</t>
        </is>
      </c>
      <c r="J493" s="61" t="inlineStr">
        <is>
          <t>Aumentar frequência + Expandir base</t>
        </is>
      </c>
      <c r="K493" s="30" t="inlineStr">
        <is>
          <t>.</t>
        </is>
      </c>
      <c r="L493" s="180" t="n">
        <v>318.96</v>
      </c>
      <c r="M493" s="181" t="n">
        <v>22.41</v>
      </c>
      <c r="N493" s="181" t="n">
        <v>23.42</v>
      </c>
      <c r="O493" s="181" t="n">
        <v>23.99</v>
      </c>
      <c r="P493" s="181" t="n">
        <v>24.61</v>
      </c>
      <c r="Q493" s="181" t="n">
        <v>25.42</v>
      </c>
      <c r="R493" s="181" t="n">
        <v>26.08</v>
      </c>
      <c r="S493" s="181" t="n">
        <v>27.09</v>
      </c>
      <c r="T493" s="181" t="n">
        <v>27.76</v>
      </c>
      <c r="U493" s="181" t="n">
        <v>28.38</v>
      </c>
      <c r="V493" s="181" t="n">
        <v>29.09</v>
      </c>
      <c r="W493" s="181" t="n">
        <v>29.85</v>
      </c>
      <c r="X493" s="182" t="n">
        <v>30.86</v>
      </c>
      <c r="Y493" s="183" t="inlineStr">
        <is>
          <t>.</t>
        </is>
      </c>
      <c r="Z493" s="184">
        <f>SUM(AA493:AL493)</f>
        <v/>
      </c>
      <c r="AA493" s="185" t="n">
        <v>237.18</v>
      </c>
      <c r="AB493" s="185" t="n">
        <v>0</v>
      </c>
      <c r="AC493" s="185" t="n">
        <v>0</v>
      </c>
      <c r="AD493" s="185" t="n">
        <v>0</v>
      </c>
      <c r="AE493" s="185" t="n">
        <v>0</v>
      </c>
      <c r="AF493" s="185" t="n">
        <v>0</v>
      </c>
      <c r="AG493" s="185" t="n">
        <v>0</v>
      </c>
      <c r="AH493" s="185" t="n">
        <v>0</v>
      </c>
      <c r="AI493" s="185" t="n">
        <v>0</v>
      </c>
      <c r="AJ493" s="185" t="n">
        <v>0</v>
      </c>
      <c r="AK493" s="185" t="n">
        <v>0</v>
      </c>
      <c r="AL493" s="186" t="n">
        <v>0</v>
      </c>
      <c r="AM493" s="30" t="inlineStr">
        <is>
          <t>.</t>
        </is>
      </c>
      <c r="AN493" s="187">
        <f>IF(L493=0,0,Z493/L493)</f>
        <v/>
      </c>
      <c r="AO493" s="57">
        <f>IF(AN493&gt;=1,"🟢",IF(AN493&gt;=0.7,"🟡",IF(AN493&gt;=0.4,"🟠","🔴")))</f>
        <v/>
      </c>
      <c r="AP493" s="185">
        <f>L493-Z493</f>
        <v/>
      </c>
      <c r="AQ493" s="55">
        <f>RANK(Z493,$Z$4:$Z$503,0)</f>
        <v/>
      </c>
      <c r="AR493" s="39" t="inlineStr">
        <is>
          <t>.</t>
        </is>
      </c>
      <c r="AS493" s="27" t="n"/>
      <c r="AT493" s="27" t="n"/>
      <c r="AU493" s="27" t="n"/>
      <c r="AV493" s="27" t="n"/>
      <c r="AW493" s="27" t="n"/>
      <c r="AX493" s="27" t="n"/>
      <c r="AY493" s="204" t="n"/>
      <c r="AZ493" s="204" t="n"/>
      <c r="BA493" s="38" t="inlineStr">
        <is>
          <t>.</t>
        </is>
      </c>
      <c r="BB493" s="190">
        <f>SUM(BC493:BN493)</f>
        <v/>
      </c>
      <c r="BC493" s="191">
        <f>L493*0.0702730030</f>
        <v/>
      </c>
      <c r="BD493" s="191">
        <f>L493*0.0734327604</f>
        <v/>
      </c>
      <c r="BE493" s="191">
        <f>L493*0.0752022245</f>
        <v/>
      </c>
      <c r="BF493" s="191">
        <f>L493*0.0771612740</f>
        <v/>
      </c>
      <c r="BG493" s="191">
        <f>L493*0.0796890799</f>
        <v/>
      </c>
      <c r="BH493" s="191">
        <f>L493*0.0817745197</f>
        <v/>
      </c>
      <c r="BI493" s="191">
        <f>L493*0.0849342770</f>
        <v/>
      </c>
      <c r="BJ493" s="191">
        <f>L493*0.0870197169</f>
        <v/>
      </c>
      <c r="BK493" s="191">
        <f>L493*0.0889787664</f>
        <v/>
      </c>
      <c r="BL493" s="191">
        <f>L493*0.0911905966</f>
        <v/>
      </c>
      <c r="BM493" s="191">
        <f>L493*0.0935920121</f>
        <v/>
      </c>
      <c r="BN493" s="192">
        <f>L493*0.0967517695</f>
        <v/>
      </c>
      <c r="BO493" s="36" t="inlineStr">
        <is>
          <t>.</t>
        </is>
      </c>
      <c r="BP493" s="193">
        <f>SUM(BQ493:CB493)</f>
        <v/>
      </c>
      <c r="BQ493" s="191">
        <f>MAX(0,BC493-AA493)</f>
        <v/>
      </c>
      <c r="BR493" s="191">
        <f>MAX(0,BD493-AB493)</f>
        <v/>
      </c>
      <c r="BS493" s="191">
        <f>MAX(0,BE493-AC493)</f>
        <v/>
      </c>
      <c r="BT493" s="191">
        <f>MAX(0,BF493-AD493)</f>
        <v/>
      </c>
      <c r="BU493" s="191">
        <f>MAX(0,BG493-AE493)</f>
        <v/>
      </c>
      <c r="BV493" s="191">
        <f>MAX(0,BH493-AF493)</f>
        <v/>
      </c>
      <c r="BW493" s="191">
        <f>MAX(0,BI493-AG493)</f>
        <v/>
      </c>
      <c r="BX493" s="191">
        <f>MAX(0,BJ493-AH493)</f>
        <v/>
      </c>
      <c r="BY493" s="191">
        <f>MAX(0,BK493-AI493)</f>
        <v/>
      </c>
      <c r="BZ493" s="191">
        <f>MAX(0,BL493-AJ493)</f>
        <v/>
      </c>
      <c r="CA493" s="191">
        <f>MAX(0,BM493-AK493)</f>
        <v/>
      </c>
      <c r="CB493" s="192">
        <f>MAX(0,BN493-AL493)</f>
        <v/>
      </c>
    </row>
    <row r="494">
      <c r="A494" s="64" t="n">
        <v>23395636000185</v>
      </c>
      <c r="B494" s="57" t="inlineStr">
        <is>
          <t>BIOMUNDO BELEM PRODUTOS NATURAIS LTDA -</t>
        </is>
      </c>
      <c r="C494" s="57" t="inlineStr">
        <is>
          <t>BIO MUNDO</t>
        </is>
      </c>
      <c r="D494" s="61" t="inlineStr">
        <is>
          <t>DAIANE STAVICKI</t>
        </is>
      </c>
      <c r="E494" s="30" t="inlineStr">
        <is>
          <t>.</t>
        </is>
      </c>
      <c r="F494" s="63" t="n">
        <v>167</v>
      </c>
      <c r="G494" s="179" t="n">
        <v>0.014</v>
      </c>
      <c r="H494" s="57" t="inlineStr">
        <is>
          <t>🔴 VERMELHO</t>
        </is>
      </c>
      <c r="I494" s="57" t="inlineStr">
        <is>
          <t>ATIVAÇÃO</t>
        </is>
      </c>
      <c r="J494" s="61" t="inlineStr">
        <is>
          <t>Reativar inativos + Prospectar</t>
        </is>
      </c>
      <c r="K494" s="30" t="inlineStr">
        <is>
          <t>.</t>
        </is>
      </c>
      <c r="L494" s="180" t="n">
        <v>0</v>
      </c>
      <c r="M494" s="181" t="n">
        <v>0</v>
      </c>
      <c r="N494" s="181" t="n">
        <v>0</v>
      </c>
      <c r="O494" s="181" t="n">
        <v>0</v>
      </c>
      <c r="P494" s="181" t="n">
        <v>0</v>
      </c>
      <c r="Q494" s="181" t="n">
        <v>0</v>
      </c>
      <c r="R494" s="181" t="n">
        <v>0</v>
      </c>
      <c r="S494" s="181" t="n">
        <v>0</v>
      </c>
      <c r="T494" s="181" t="n">
        <v>0</v>
      </c>
      <c r="U494" s="181" t="n">
        <v>0</v>
      </c>
      <c r="V494" s="181" t="n">
        <v>0</v>
      </c>
      <c r="W494" s="181" t="n">
        <v>0</v>
      </c>
      <c r="X494" s="182" t="n">
        <v>0</v>
      </c>
      <c r="Y494" s="183" t="inlineStr">
        <is>
          <t>.</t>
        </is>
      </c>
      <c r="Z494" s="184">
        <f>SUM(AA494:AL494)</f>
        <v/>
      </c>
      <c r="AA494" s="185" t="n">
        <v>0</v>
      </c>
      <c r="AB494" s="185" t="n">
        <v>0</v>
      </c>
      <c r="AC494" s="185" t="n">
        <v>0</v>
      </c>
      <c r="AD494" s="185" t="n">
        <v>0</v>
      </c>
      <c r="AE494" s="185" t="n">
        <v>0</v>
      </c>
      <c r="AF494" s="185" t="n">
        <v>0</v>
      </c>
      <c r="AG494" s="185" t="n">
        <v>0</v>
      </c>
      <c r="AH494" s="185" t="n">
        <v>0</v>
      </c>
      <c r="AI494" s="185" t="n">
        <v>0</v>
      </c>
      <c r="AJ494" s="185" t="n">
        <v>0</v>
      </c>
      <c r="AK494" s="185" t="n">
        <v>0</v>
      </c>
      <c r="AL494" s="186" t="n">
        <v>0</v>
      </c>
      <c r="AM494" s="30" t="inlineStr">
        <is>
          <t>.</t>
        </is>
      </c>
      <c r="AN494" s="187">
        <f>IF(L494=0,0,Z494/L494)</f>
        <v/>
      </c>
      <c r="AO494" s="57">
        <f>IF(AN494&gt;=1,"🟢",IF(AN494&gt;=0.7,"🟡",IF(AN494&gt;=0.4,"🟠","🔴")))</f>
        <v/>
      </c>
      <c r="AP494" s="185">
        <f>L494-Z494</f>
        <v/>
      </c>
      <c r="AQ494" s="55">
        <f>RANK(Z494,$Z$4:$Z$503,0)</f>
        <v/>
      </c>
      <c r="AR494" s="39" t="inlineStr">
        <is>
          <t>.</t>
        </is>
      </c>
      <c r="AS494" s="27" t="n"/>
      <c r="AT494" s="27" t="n"/>
      <c r="AU494" s="27" t="n"/>
      <c r="AV494" s="27" t="n"/>
      <c r="AW494" s="27" t="n"/>
      <c r="AX494" s="27" t="n"/>
      <c r="AY494" s="204" t="n"/>
      <c r="AZ494" s="204" t="n"/>
      <c r="BA494" s="38" t="inlineStr">
        <is>
          <t>.</t>
        </is>
      </c>
      <c r="BB494" s="190">
        <f>SUM(BC494:BN494)</f>
        <v/>
      </c>
      <c r="BC494" s="191">
        <f>L494*0.0702730030</f>
        <v/>
      </c>
      <c r="BD494" s="191">
        <f>L494*0.0734327604</f>
        <v/>
      </c>
      <c r="BE494" s="191">
        <f>L494*0.0752022245</f>
        <v/>
      </c>
      <c r="BF494" s="191">
        <f>L494*0.0771612740</f>
        <v/>
      </c>
      <c r="BG494" s="191">
        <f>L494*0.0796890799</f>
        <v/>
      </c>
      <c r="BH494" s="191">
        <f>L494*0.0817745197</f>
        <v/>
      </c>
      <c r="BI494" s="191">
        <f>L494*0.0849342770</f>
        <v/>
      </c>
      <c r="BJ494" s="191">
        <f>L494*0.0870197169</f>
        <v/>
      </c>
      <c r="BK494" s="191">
        <f>L494*0.0889787664</f>
        <v/>
      </c>
      <c r="BL494" s="191">
        <f>L494*0.0911905966</f>
        <v/>
      </c>
      <c r="BM494" s="191">
        <f>L494*0.0935920121</f>
        <v/>
      </c>
      <c r="BN494" s="192">
        <f>L494*0.0967517695</f>
        <v/>
      </c>
      <c r="BO494" s="36" t="inlineStr">
        <is>
          <t>.</t>
        </is>
      </c>
      <c r="BP494" s="193">
        <f>SUM(BQ494:CB494)</f>
        <v/>
      </c>
      <c r="BQ494" s="191">
        <f>MAX(0,BC494-AA494)</f>
        <v/>
      </c>
      <c r="BR494" s="191">
        <f>MAX(0,BD494-AB494)</f>
        <v/>
      </c>
      <c r="BS494" s="191">
        <f>MAX(0,BE494-AC494)</f>
        <v/>
      </c>
      <c r="BT494" s="191">
        <f>MAX(0,BF494-AD494)</f>
        <v/>
      </c>
      <c r="BU494" s="191">
        <f>MAX(0,BG494-AE494)</f>
        <v/>
      </c>
      <c r="BV494" s="191">
        <f>MAX(0,BH494-AF494)</f>
        <v/>
      </c>
      <c r="BW494" s="191">
        <f>MAX(0,BI494-AG494)</f>
        <v/>
      </c>
      <c r="BX494" s="191">
        <f>MAX(0,BJ494-AH494)</f>
        <v/>
      </c>
      <c r="BY494" s="191">
        <f>MAX(0,BK494-AI494)</f>
        <v/>
      </c>
      <c r="BZ494" s="191">
        <f>MAX(0,BL494-AJ494)</f>
        <v/>
      </c>
      <c r="CA494" s="191">
        <f>MAX(0,BM494-AK494)</f>
        <v/>
      </c>
      <c r="CB494" s="192">
        <f>MAX(0,BN494-AL494)</f>
        <v/>
      </c>
    </row>
    <row r="495">
      <c r="A495" s="64" t="n">
        <v>15737471000154</v>
      </c>
      <c r="B495" s="57" t="inlineStr">
        <is>
          <t>DIVELLI COMERCIO DE ALIMENTOS LTDA</t>
        </is>
      </c>
      <c r="C495" s="57" t="inlineStr">
        <is>
          <t>DIVINA TERRA</t>
        </is>
      </c>
      <c r="D495" s="61" t="inlineStr">
        <is>
          <t>DAIANE STAVICKI</t>
        </is>
      </c>
      <c r="E495" s="30" t="inlineStr">
        <is>
          <t>.</t>
        </is>
      </c>
      <c r="F495" s="63" t="n">
        <v>85</v>
      </c>
      <c r="G495" s="179" t="n">
        <v>0.1</v>
      </c>
      <c r="H495" s="57" t="inlineStr">
        <is>
          <t>🔴 VERMELHO</t>
        </is>
      </c>
      <c r="I495" s="57" t="inlineStr">
        <is>
          <t>POSITIVAÇÃO</t>
        </is>
      </c>
      <c r="J495" s="61" t="inlineStr">
        <is>
          <t>Aumentar frequência + Expandir base</t>
        </is>
      </c>
      <c r="K495" s="30" t="inlineStr">
        <is>
          <t>.</t>
        </is>
      </c>
      <c r="L495" s="180" t="n">
        <v>0</v>
      </c>
      <c r="M495" s="181" t="n">
        <v>0</v>
      </c>
      <c r="N495" s="181" t="n">
        <v>0</v>
      </c>
      <c r="O495" s="181" t="n">
        <v>0</v>
      </c>
      <c r="P495" s="181" t="n">
        <v>0</v>
      </c>
      <c r="Q495" s="181" t="n">
        <v>0</v>
      </c>
      <c r="R495" s="181" t="n">
        <v>0</v>
      </c>
      <c r="S495" s="181" t="n">
        <v>0</v>
      </c>
      <c r="T495" s="181" t="n">
        <v>0</v>
      </c>
      <c r="U495" s="181" t="n">
        <v>0</v>
      </c>
      <c r="V495" s="181" t="n">
        <v>0</v>
      </c>
      <c r="W495" s="181" t="n">
        <v>0</v>
      </c>
      <c r="X495" s="182" t="n">
        <v>0</v>
      </c>
      <c r="Y495" s="183" t="inlineStr">
        <is>
          <t>.</t>
        </is>
      </c>
      <c r="Z495" s="184">
        <f>SUM(AA495:AL495)</f>
        <v/>
      </c>
      <c r="AA495" s="185" t="n">
        <v>0</v>
      </c>
      <c r="AB495" s="185" t="n">
        <v>0</v>
      </c>
      <c r="AC495" s="185" t="n">
        <v>0</v>
      </c>
      <c r="AD495" s="185" t="n">
        <v>0</v>
      </c>
      <c r="AE495" s="185" t="n">
        <v>0</v>
      </c>
      <c r="AF495" s="185" t="n">
        <v>0</v>
      </c>
      <c r="AG495" s="185" t="n">
        <v>0</v>
      </c>
      <c r="AH495" s="185" t="n">
        <v>0</v>
      </c>
      <c r="AI495" s="185" t="n">
        <v>0</v>
      </c>
      <c r="AJ495" s="185" t="n">
        <v>0</v>
      </c>
      <c r="AK495" s="185" t="n">
        <v>0</v>
      </c>
      <c r="AL495" s="186" t="n">
        <v>0</v>
      </c>
      <c r="AM495" s="30" t="inlineStr">
        <is>
          <t>.</t>
        </is>
      </c>
      <c r="AN495" s="187">
        <f>IF(L495=0,0,Z495/L495)</f>
        <v/>
      </c>
      <c r="AO495" s="57">
        <f>IF(AN495&gt;=1,"🟢",IF(AN495&gt;=0.7,"🟡",IF(AN495&gt;=0.4,"🟠","🔴")))</f>
        <v/>
      </c>
      <c r="AP495" s="185">
        <f>L495-Z495</f>
        <v/>
      </c>
      <c r="AQ495" s="55">
        <f>RANK(Z495,$Z$4:$Z$503,0)</f>
        <v/>
      </c>
      <c r="AR495" s="39" t="inlineStr">
        <is>
          <t>.</t>
        </is>
      </c>
      <c r="AS495" s="27" t="n"/>
      <c r="AT495" s="27" t="n"/>
      <c r="AU495" s="27" t="n"/>
      <c r="AV495" s="27" t="n"/>
      <c r="AW495" s="27" t="n"/>
      <c r="AX495" s="27" t="n"/>
      <c r="AY495" s="204" t="n"/>
      <c r="AZ495" s="204" t="n"/>
      <c r="BA495" s="38" t="inlineStr">
        <is>
          <t>.</t>
        </is>
      </c>
      <c r="BB495" s="190">
        <f>SUM(BC495:BN495)</f>
        <v/>
      </c>
      <c r="BC495" s="191">
        <f>L495*0.0702730030</f>
        <v/>
      </c>
      <c r="BD495" s="191">
        <f>L495*0.0734327604</f>
        <v/>
      </c>
      <c r="BE495" s="191">
        <f>L495*0.0752022245</f>
        <v/>
      </c>
      <c r="BF495" s="191">
        <f>L495*0.0771612740</f>
        <v/>
      </c>
      <c r="BG495" s="191">
        <f>L495*0.0796890799</f>
        <v/>
      </c>
      <c r="BH495" s="191">
        <f>L495*0.0817745197</f>
        <v/>
      </c>
      <c r="BI495" s="191">
        <f>L495*0.0849342770</f>
        <v/>
      </c>
      <c r="BJ495" s="191">
        <f>L495*0.0870197169</f>
        <v/>
      </c>
      <c r="BK495" s="191">
        <f>L495*0.0889787664</f>
        <v/>
      </c>
      <c r="BL495" s="191">
        <f>L495*0.0911905966</f>
        <v/>
      </c>
      <c r="BM495" s="191">
        <f>L495*0.0935920121</f>
        <v/>
      </c>
      <c r="BN495" s="192">
        <f>L495*0.0967517695</f>
        <v/>
      </c>
      <c r="BO495" s="36" t="inlineStr">
        <is>
          <t>.</t>
        </is>
      </c>
      <c r="BP495" s="193">
        <f>SUM(BQ495:CB495)</f>
        <v/>
      </c>
      <c r="BQ495" s="191">
        <f>MAX(0,BC495-AA495)</f>
        <v/>
      </c>
      <c r="BR495" s="191">
        <f>MAX(0,BD495-AB495)</f>
        <v/>
      </c>
      <c r="BS495" s="191">
        <f>MAX(0,BE495-AC495)</f>
        <v/>
      </c>
      <c r="BT495" s="191">
        <f>MAX(0,BF495-AD495)</f>
        <v/>
      </c>
      <c r="BU495" s="191">
        <f>MAX(0,BG495-AE495)</f>
        <v/>
      </c>
      <c r="BV495" s="191">
        <f>MAX(0,BH495-AF495)</f>
        <v/>
      </c>
      <c r="BW495" s="191">
        <f>MAX(0,BI495-AG495)</f>
        <v/>
      </c>
      <c r="BX495" s="191">
        <f>MAX(0,BJ495-AH495)</f>
        <v/>
      </c>
      <c r="BY495" s="191">
        <f>MAX(0,BK495-AI495)</f>
        <v/>
      </c>
      <c r="BZ495" s="191">
        <f>MAX(0,BL495-AJ495)</f>
        <v/>
      </c>
      <c r="CA495" s="191">
        <f>MAX(0,BM495-AK495)</f>
        <v/>
      </c>
      <c r="CB495" s="192">
        <f>MAX(0,BN495-AL495)</f>
        <v/>
      </c>
    </row>
    <row r="496">
      <c r="A496" s="64" t="n">
        <v>23395636000509</v>
      </c>
      <c r="B496" s="57" t="inlineStr">
        <is>
          <t>BIOMUNDO BELEM PRODUTOS NATURAIS LTDA -E</t>
        </is>
      </c>
      <c r="C496" s="57" t="inlineStr">
        <is>
          <t>BIO MUNDO</t>
        </is>
      </c>
      <c r="D496" s="61" t="inlineStr">
        <is>
          <t>DAIANE STAVICKI</t>
        </is>
      </c>
      <c r="E496" s="30" t="inlineStr">
        <is>
          <t>.</t>
        </is>
      </c>
      <c r="F496" s="63" t="n">
        <v>167</v>
      </c>
      <c r="G496" s="179" t="n">
        <v>0.014</v>
      </c>
      <c r="H496" s="57" t="inlineStr">
        <is>
          <t>🔴 VERMELHO</t>
        </is>
      </c>
      <c r="I496" s="57" t="inlineStr">
        <is>
          <t>ATIVAÇÃO</t>
        </is>
      </c>
      <c r="J496" s="61" t="inlineStr">
        <is>
          <t>Reativar inativos + Prospectar</t>
        </is>
      </c>
      <c r="K496" s="30" t="inlineStr">
        <is>
          <t>.</t>
        </is>
      </c>
      <c r="L496" s="180" t="n">
        <v>0</v>
      </c>
      <c r="M496" s="181" t="n">
        <v>0</v>
      </c>
      <c r="N496" s="181" t="n">
        <v>0</v>
      </c>
      <c r="O496" s="181" t="n">
        <v>0</v>
      </c>
      <c r="P496" s="181" t="n">
        <v>0</v>
      </c>
      <c r="Q496" s="181" t="n">
        <v>0</v>
      </c>
      <c r="R496" s="181" t="n">
        <v>0</v>
      </c>
      <c r="S496" s="181" t="n">
        <v>0</v>
      </c>
      <c r="T496" s="181" t="n">
        <v>0</v>
      </c>
      <c r="U496" s="181" t="n">
        <v>0</v>
      </c>
      <c r="V496" s="181" t="n">
        <v>0</v>
      </c>
      <c r="W496" s="181" t="n">
        <v>0</v>
      </c>
      <c r="X496" s="182" t="n">
        <v>0</v>
      </c>
      <c r="Y496" s="183" t="inlineStr">
        <is>
          <t>.</t>
        </is>
      </c>
      <c r="Z496" s="184">
        <f>SUM(AA496:AL496)</f>
        <v/>
      </c>
      <c r="AA496" s="185" t="n">
        <v>0</v>
      </c>
      <c r="AB496" s="185" t="n">
        <v>0</v>
      </c>
      <c r="AC496" s="185" t="n">
        <v>0</v>
      </c>
      <c r="AD496" s="185" t="n">
        <v>0</v>
      </c>
      <c r="AE496" s="185" t="n">
        <v>0</v>
      </c>
      <c r="AF496" s="185" t="n">
        <v>0</v>
      </c>
      <c r="AG496" s="185" t="n">
        <v>0</v>
      </c>
      <c r="AH496" s="185" t="n">
        <v>0</v>
      </c>
      <c r="AI496" s="185" t="n">
        <v>0</v>
      </c>
      <c r="AJ496" s="185" t="n">
        <v>0</v>
      </c>
      <c r="AK496" s="185" t="n">
        <v>0</v>
      </c>
      <c r="AL496" s="186" t="n">
        <v>0</v>
      </c>
      <c r="AM496" s="30" t="inlineStr">
        <is>
          <t>.</t>
        </is>
      </c>
      <c r="AN496" s="187">
        <f>IF(L496=0,0,Z496/L496)</f>
        <v/>
      </c>
      <c r="AO496" s="57">
        <f>IF(AN496&gt;=1,"🟢",IF(AN496&gt;=0.7,"🟡",IF(AN496&gt;=0.4,"🟠","🔴")))</f>
        <v/>
      </c>
      <c r="AP496" s="185">
        <f>L496-Z496</f>
        <v/>
      </c>
      <c r="AQ496" s="55">
        <f>RANK(Z496,$Z$4:$Z$503,0)</f>
        <v/>
      </c>
      <c r="AR496" s="39" t="inlineStr">
        <is>
          <t>.</t>
        </is>
      </c>
      <c r="AS496" s="27" t="n"/>
      <c r="AT496" s="27" t="n"/>
      <c r="AU496" s="27" t="n"/>
      <c r="AV496" s="27" t="n"/>
      <c r="AW496" s="27" t="n"/>
      <c r="AX496" s="27" t="n"/>
      <c r="AY496" s="204" t="n"/>
      <c r="AZ496" s="204" t="n"/>
      <c r="BA496" s="38" t="inlineStr">
        <is>
          <t>.</t>
        </is>
      </c>
      <c r="BB496" s="190">
        <f>SUM(BC496:BN496)</f>
        <v/>
      </c>
      <c r="BC496" s="191">
        <f>L496*0.0702730030</f>
        <v/>
      </c>
      <c r="BD496" s="191">
        <f>L496*0.0734327604</f>
        <v/>
      </c>
      <c r="BE496" s="191">
        <f>L496*0.0752022245</f>
        <v/>
      </c>
      <c r="BF496" s="191">
        <f>L496*0.0771612740</f>
        <v/>
      </c>
      <c r="BG496" s="191">
        <f>L496*0.0796890799</f>
        <v/>
      </c>
      <c r="BH496" s="191">
        <f>L496*0.0817745197</f>
        <v/>
      </c>
      <c r="BI496" s="191">
        <f>L496*0.0849342770</f>
        <v/>
      </c>
      <c r="BJ496" s="191">
        <f>L496*0.0870197169</f>
        <v/>
      </c>
      <c r="BK496" s="191">
        <f>L496*0.0889787664</f>
        <v/>
      </c>
      <c r="BL496" s="191">
        <f>L496*0.0911905966</f>
        <v/>
      </c>
      <c r="BM496" s="191">
        <f>L496*0.0935920121</f>
        <v/>
      </c>
      <c r="BN496" s="192">
        <f>L496*0.0967517695</f>
        <v/>
      </c>
      <c r="BO496" s="36" t="inlineStr">
        <is>
          <t>.</t>
        </is>
      </c>
      <c r="BP496" s="193">
        <f>SUM(BQ496:CB496)</f>
        <v/>
      </c>
      <c r="BQ496" s="191">
        <f>MAX(0,BC496-AA496)</f>
        <v/>
      </c>
      <c r="BR496" s="191">
        <f>MAX(0,BD496-AB496)</f>
        <v/>
      </c>
      <c r="BS496" s="191">
        <f>MAX(0,BE496-AC496)</f>
        <v/>
      </c>
      <c r="BT496" s="191">
        <f>MAX(0,BF496-AD496)</f>
        <v/>
      </c>
      <c r="BU496" s="191">
        <f>MAX(0,BG496-AE496)</f>
        <v/>
      </c>
      <c r="BV496" s="191">
        <f>MAX(0,BH496-AF496)</f>
        <v/>
      </c>
      <c r="BW496" s="191">
        <f>MAX(0,BI496-AG496)</f>
        <v/>
      </c>
      <c r="BX496" s="191">
        <f>MAX(0,BJ496-AH496)</f>
        <v/>
      </c>
      <c r="BY496" s="191">
        <f>MAX(0,BK496-AI496)</f>
        <v/>
      </c>
      <c r="BZ496" s="191">
        <f>MAX(0,BL496-AJ496)</f>
        <v/>
      </c>
      <c r="CA496" s="191">
        <f>MAX(0,BM496-AK496)</f>
        <v/>
      </c>
      <c r="CB496" s="192">
        <f>MAX(0,BN496-AL496)</f>
        <v/>
      </c>
    </row>
    <row r="497">
      <c r="A497" s="64" t="n">
        <v>52728269000192</v>
      </c>
      <c r="B497" s="57" t="inlineStr">
        <is>
          <t>BIO MUNDO FLAMBOYANT LTDA - ME</t>
        </is>
      </c>
      <c r="C497" s="57" t="inlineStr">
        <is>
          <t>BIO MUNDO</t>
        </is>
      </c>
      <c r="D497" s="61" t="inlineStr">
        <is>
          <t>DAIANE STAVICKI</t>
        </is>
      </c>
      <c r="E497" s="30" t="inlineStr">
        <is>
          <t>.</t>
        </is>
      </c>
      <c r="F497" s="63" t="n">
        <v>167</v>
      </c>
      <c r="G497" s="179" t="n">
        <v>0.014</v>
      </c>
      <c r="H497" s="57" t="inlineStr">
        <is>
          <t>🔴 VERMELHO</t>
        </is>
      </c>
      <c r="I497" s="57" t="inlineStr">
        <is>
          <t>ATIVAÇÃO</t>
        </is>
      </c>
      <c r="J497" s="61" t="inlineStr">
        <is>
          <t>Reativar inativos + Prospectar</t>
        </is>
      </c>
      <c r="K497" s="30" t="inlineStr">
        <is>
          <t>.</t>
        </is>
      </c>
      <c r="L497" s="180" t="n">
        <v>0</v>
      </c>
      <c r="M497" s="181" t="n">
        <v>0</v>
      </c>
      <c r="N497" s="181" t="n">
        <v>0</v>
      </c>
      <c r="O497" s="181" t="n">
        <v>0</v>
      </c>
      <c r="P497" s="181" t="n">
        <v>0</v>
      </c>
      <c r="Q497" s="181" t="n">
        <v>0</v>
      </c>
      <c r="R497" s="181" t="n">
        <v>0</v>
      </c>
      <c r="S497" s="181" t="n">
        <v>0</v>
      </c>
      <c r="T497" s="181" t="n">
        <v>0</v>
      </c>
      <c r="U497" s="181" t="n">
        <v>0</v>
      </c>
      <c r="V497" s="181" t="n">
        <v>0</v>
      </c>
      <c r="W497" s="181" t="n">
        <v>0</v>
      </c>
      <c r="X497" s="182" t="n">
        <v>0</v>
      </c>
      <c r="Y497" s="183" t="inlineStr">
        <is>
          <t>.</t>
        </is>
      </c>
      <c r="Z497" s="184">
        <f>SUM(AA497:AL497)</f>
        <v/>
      </c>
      <c r="AA497" s="185" t="n">
        <v>0</v>
      </c>
      <c r="AB497" s="185" t="n">
        <v>0</v>
      </c>
      <c r="AC497" s="185" t="n">
        <v>0</v>
      </c>
      <c r="AD497" s="185" t="n">
        <v>0</v>
      </c>
      <c r="AE497" s="185" t="n">
        <v>0</v>
      </c>
      <c r="AF497" s="185" t="n">
        <v>0</v>
      </c>
      <c r="AG497" s="185" t="n">
        <v>0</v>
      </c>
      <c r="AH497" s="185" t="n">
        <v>0</v>
      </c>
      <c r="AI497" s="185" t="n">
        <v>0</v>
      </c>
      <c r="AJ497" s="185" t="n">
        <v>0</v>
      </c>
      <c r="AK497" s="185" t="n">
        <v>0</v>
      </c>
      <c r="AL497" s="186" t="n">
        <v>0</v>
      </c>
      <c r="AM497" s="222" t="n">
        <v>764.8099999999999</v>
      </c>
      <c r="AN497" s="187">
        <f>IF(L497=0,0,Z497/L497)</f>
        <v/>
      </c>
      <c r="AO497" s="57">
        <f>IF(AN497&gt;=1,"🟢",IF(AN497&gt;=0.7,"🟡",IF(AN497&gt;=0.4,"🟠","🔴")))</f>
        <v/>
      </c>
      <c r="AP497" s="185">
        <f>L497-Z497</f>
        <v/>
      </c>
      <c r="AQ497" s="55">
        <f>RANK(Z497,$Z$4:$Z$503,0)</f>
        <v/>
      </c>
      <c r="AR497" s="39" t="inlineStr">
        <is>
          <t>.</t>
        </is>
      </c>
      <c r="AS497" s="27" t="n"/>
      <c r="AT497" s="27" t="n"/>
      <c r="AU497" s="27" t="n"/>
      <c r="AV497" s="27" t="n"/>
      <c r="AW497" s="27" t="n"/>
      <c r="AX497" s="27" t="n"/>
      <c r="AY497" s="204" t="n"/>
      <c r="AZ497" s="204" t="n"/>
      <c r="BA497" s="38" t="inlineStr">
        <is>
          <t>.</t>
        </is>
      </c>
      <c r="BB497" s="190">
        <f>SUM(BC497:BN497)</f>
        <v/>
      </c>
      <c r="BC497" s="191">
        <f>L497*0.0702730030</f>
        <v/>
      </c>
      <c r="BD497" s="191">
        <f>L497*0.0734327604</f>
        <v/>
      </c>
      <c r="BE497" s="191">
        <f>L497*0.0752022245</f>
        <v/>
      </c>
      <c r="BF497" s="191">
        <f>L497*0.0771612740</f>
        <v/>
      </c>
      <c r="BG497" s="191">
        <f>L497*0.0796890799</f>
        <v/>
      </c>
      <c r="BH497" s="191">
        <f>L497*0.0817745197</f>
        <v/>
      </c>
      <c r="BI497" s="191">
        <f>L497*0.0849342770</f>
        <v/>
      </c>
      <c r="BJ497" s="191">
        <f>L497*0.0870197169</f>
        <v/>
      </c>
      <c r="BK497" s="191">
        <f>L497*0.0889787664</f>
        <v/>
      </c>
      <c r="BL497" s="191">
        <f>L497*0.0911905966</f>
        <v/>
      </c>
      <c r="BM497" s="191">
        <f>L497*0.0935920121</f>
        <v/>
      </c>
      <c r="BN497" s="192">
        <f>L497*0.0967517695</f>
        <v/>
      </c>
      <c r="BO497" s="36" t="inlineStr">
        <is>
          <t>.</t>
        </is>
      </c>
      <c r="BP497" s="193">
        <f>SUM(BQ497:CB497)</f>
        <v/>
      </c>
      <c r="BQ497" s="191">
        <f>MAX(0,BC497-AA497)</f>
        <v/>
      </c>
      <c r="BR497" s="191">
        <f>MAX(0,BD497-AB497)</f>
        <v/>
      </c>
      <c r="BS497" s="191">
        <f>MAX(0,BE497-AC497)</f>
        <v/>
      </c>
      <c r="BT497" s="191">
        <f>MAX(0,BF497-AD497)</f>
        <v/>
      </c>
      <c r="BU497" s="191">
        <f>MAX(0,BG497-AE497)</f>
        <v/>
      </c>
      <c r="BV497" s="191">
        <f>MAX(0,BH497-AF497)</f>
        <v/>
      </c>
      <c r="BW497" s="191">
        <f>MAX(0,BI497-AG497)</f>
        <v/>
      </c>
      <c r="BX497" s="191">
        <f>MAX(0,BJ497-AH497)</f>
        <v/>
      </c>
      <c r="BY497" s="191">
        <f>MAX(0,BK497-AI497)</f>
        <v/>
      </c>
      <c r="BZ497" s="191">
        <f>MAX(0,BL497-AJ497)</f>
        <v/>
      </c>
      <c r="CA497" s="191">
        <f>MAX(0,BM497-AK497)</f>
        <v/>
      </c>
      <c r="CB497" s="192">
        <f>MAX(0,BN497-AL497)</f>
        <v/>
      </c>
    </row>
    <row r="498">
      <c r="A498" s="64" t="n">
        <v>41371321000180</v>
      </c>
      <c r="B498" s="57" t="inlineStr">
        <is>
          <t>MOREIRA SAUDAVEIS LTDA - ME</t>
        </is>
      </c>
      <c r="C498" s="57" t="inlineStr">
        <is>
          <t>DIVINA TERRA</t>
        </is>
      </c>
      <c r="D498" s="61" t="inlineStr">
        <is>
          <t>DAIANE STAVICKI</t>
        </is>
      </c>
      <c r="E498" s="30" t="inlineStr">
        <is>
          <t>.</t>
        </is>
      </c>
      <c r="F498" s="63" t="n">
        <v>85</v>
      </c>
      <c r="G498" s="179" t="n">
        <v>0.1</v>
      </c>
      <c r="H498" s="57" t="inlineStr">
        <is>
          <t>🔴 VERMELHO</t>
        </is>
      </c>
      <c r="I498" s="57" t="inlineStr">
        <is>
          <t>POSITIVAÇÃO</t>
        </is>
      </c>
      <c r="J498" s="61" t="inlineStr">
        <is>
          <t>Aumentar frequência + Expandir base</t>
        </is>
      </c>
      <c r="K498" s="30" t="inlineStr">
        <is>
          <t>.</t>
        </is>
      </c>
      <c r="L498" s="180" t="n">
        <v>0</v>
      </c>
      <c r="M498" s="181" t="n">
        <v>0</v>
      </c>
      <c r="N498" s="181" t="n">
        <v>0</v>
      </c>
      <c r="O498" s="181" t="n">
        <v>0</v>
      </c>
      <c r="P498" s="181" t="n">
        <v>0</v>
      </c>
      <c r="Q498" s="181" t="n">
        <v>0</v>
      </c>
      <c r="R498" s="181" t="n">
        <v>0</v>
      </c>
      <c r="S498" s="181" t="n">
        <v>0</v>
      </c>
      <c r="T498" s="181" t="n">
        <v>0</v>
      </c>
      <c r="U498" s="181" t="n">
        <v>0</v>
      </c>
      <c r="V498" s="181" t="n">
        <v>0</v>
      </c>
      <c r="W498" s="181" t="n">
        <v>0</v>
      </c>
      <c r="X498" s="182" t="n">
        <v>0</v>
      </c>
      <c r="Y498" s="183" t="inlineStr">
        <is>
          <t>.</t>
        </is>
      </c>
      <c r="Z498" s="184">
        <f>SUM(AA498:AL498)</f>
        <v/>
      </c>
      <c r="AA498" s="185" t="n">
        <v>0</v>
      </c>
      <c r="AB498" s="185" t="n">
        <v>0</v>
      </c>
      <c r="AC498" s="185" t="n">
        <v>0</v>
      </c>
      <c r="AD498" s="185" t="n">
        <v>0</v>
      </c>
      <c r="AE498" s="185" t="n">
        <v>0</v>
      </c>
      <c r="AF498" s="185" t="n">
        <v>0</v>
      </c>
      <c r="AG498" s="185" t="n">
        <v>0</v>
      </c>
      <c r="AH498" s="185" t="n">
        <v>0</v>
      </c>
      <c r="AI498" s="185" t="n">
        <v>0</v>
      </c>
      <c r="AJ498" s="185" t="n">
        <v>0</v>
      </c>
      <c r="AK498" s="185" t="n">
        <v>0</v>
      </c>
      <c r="AL498" s="186" t="n">
        <v>0</v>
      </c>
      <c r="AM498" s="30" t="inlineStr">
        <is>
          <t>.</t>
        </is>
      </c>
      <c r="AN498" s="187">
        <f>IF(L498=0,0,Z498/L498)</f>
        <v/>
      </c>
      <c r="AO498" s="57">
        <f>IF(AN498&gt;=1,"🟢",IF(AN498&gt;=0.7,"🟡",IF(AN498&gt;=0.4,"🟠","🔴")))</f>
        <v/>
      </c>
      <c r="AP498" s="185">
        <f>L498-Z498</f>
        <v/>
      </c>
      <c r="AQ498" s="55">
        <f>RANK(Z498,$Z$4:$Z$503,0)</f>
        <v/>
      </c>
      <c r="AR498" s="39" t="inlineStr">
        <is>
          <t>.</t>
        </is>
      </c>
      <c r="AS498" s="27" t="n"/>
      <c r="AT498" s="27" t="n"/>
      <c r="AU498" s="27" t="n"/>
      <c r="AV498" s="27" t="n"/>
      <c r="AW498" s="27" t="n"/>
      <c r="AX498" s="27" t="n"/>
      <c r="AY498" s="204" t="n"/>
      <c r="AZ498" s="204" t="n"/>
      <c r="BA498" s="38" t="inlineStr">
        <is>
          <t>.</t>
        </is>
      </c>
      <c r="BB498" s="190">
        <f>SUM(BC498:BN498)</f>
        <v/>
      </c>
      <c r="BC498" s="191">
        <f>L498*0.0702730030</f>
        <v/>
      </c>
      <c r="BD498" s="191">
        <f>L498*0.0734327604</f>
        <v/>
      </c>
      <c r="BE498" s="191">
        <f>L498*0.0752022245</f>
        <v/>
      </c>
      <c r="BF498" s="191">
        <f>L498*0.0771612740</f>
        <v/>
      </c>
      <c r="BG498" s="191">
        <f>L498*0.0796890799</f>
        <v/>
      </c>
      <c r="BH498" s="191">
        <f>L498*0.0817745197</f>
        <v/>
      </c>
      <c r="BI498" s="191">
        <f>L498*0.0849342770</f>
        <v/>
      </c>
      <c r="BJ498" s="191">
        <f>L498*0.0870197169</f>
        <v/>
      </c>
      <c r="BK498" s="191">
        <f>L498*0.0889787664</f>
        <v/>
      </c>
      <c r="BL498" s="191">
        <f>L498*0.0911905966</f>
        <v/>
      </c>
      <c r="BM498" s="191">
        <f>L498*0.0935920121</f>
        <v/>
      </c>
      <c r="BN498" s="192">
        <f>L498*0.0967517695</f>
        <v/>
      </c>
      <c r="BO498" s="36" t="inlineStr">
        <is>
          <t>.</t>
        </is>
      </c>
      <c r="BP498" s="193">
        <f>SUM(BQ498:CB498)</f>
        <v/>
      </c>
      <c r="BQ498" s="191">
        <f>MAX(0,BC498-AA498)</f>
        <v/>
      </c>
      <c r="BR498" s="191">
        <f>MAX(0,BD498-AB498)</f>
        <v/>
      </c>
      <c r="BS498" s="191">
        <f>MAX(0,BE498-AC498)</f>
        <v/>
      </c>
      <c r="BT498" s="191">
        <f>MAX(0,BF498-AD498)</f>
        <v/>
      </c>
      <c r="BU498" s="191">
        <f>MAX(0,BG498-AE498)</f>
        <v/>
      </c>
      <c r="BV498" s="191">
        <f>MAX(0,BH498-AF498)</f>
        <v/>
      </c>
      <c r="BW498" s="191">
        <f>MAX(0,BI498-AG498)</f>
        <v/>
      </c>
      <c r="BX498" s="191">
        <f>MAX(0,BJ498-AH498)</f>
        <v/>
      </c>
      <c r="BY498" s="191">
        <f>MAX(0,BK498-AI498)</f>
        <v/>
      </c>
      <c r="BZ498" s="191">
        <f>MAX(0,BL498-AJ498)</f>
        <v/>
      </c>
      <c r="CA498" s="191">
        <f>MAX(0,BM498-AK498)</f>
        <v/>
      </c>
      <c r="CB498" s="192">
        <f>MAX(0,BN498-AL498)</f>
        <v/>
      </c>
    </row>
    <row r="499">
      <c r="A499" s="64" t="n">
        <v>38287062000107</v>
      </c>
      <c r="B499" s="57" t="inlineStr">
        <is>
          <t>A C R COMERCIO DE PRODUTOS NATURAIS LTDA</t>
        </is>
      </c>
      <c r="C499" s="57" t="inlineStr">
        <is>
          <t>VIDA LEVE</t>
        </is>
      </c>
      <c r="D499" s="61" t="inlineStr">
        <is>
          <t>DAIANE STAVICKI</t>
        </is>
      </c>
      <c r="E499" s="30" t="inlineStr">
        <is>
          <t>.</t>
        </is>
      </c>
      <c r="F499" s="63" t="n">
        <v>81</v>
      </c>
      <c r="G499" s="179" t="n">
        <v>0.08</v>
      </c>
      <c r="H499" s="57" t="inlineStr">
        <is>
          <t>🔴 VERMELHO</t>
        </is>
      </c>
      <c r="I499" s="57" t="inlineStr">
        <is>
          <t>ATIVAÇÃO</t>
        </is>
      </c>
      <c r="J499" s="61" t="inlineStr">
        <is>
          <t>Reativar inativos + Prospectar</t>
        </is>
      </c>
      <c r="K499" s="30" t="inlineStr">
        <is>
          <t>.</t>
        </is>
      </c>
      <c r="L499" s="180" t="n">
        <v>0</v>
      </c>
      <c r="M499" s="181" t="n">
        <v>0</v>
      </c>
      <c r="N499" s="181" t="n">
        <v>0</v>
      </c>
      <c r="O499" s="181" t="n">
        <v>0</v>
      </c>
      <c r="P499" s="181" t="n">
        <v>0</v>
      </c>
      <c r="Q499" s="181" t="n">
        <v>0</v>
      </c>
      <c r="R499" s="181" t="n">
        <v>0</v>
      </c>
      <c r="S499" s="181" t="n">
        <v>0</v>
      </c>
      <c r="T499" s="181" t="n">
        <v>0</v>
      </c>
      <c r="U499" s="181" t="n">
        <v>0</v>
      </c>
      <c r="V499" s="181" t="n">
        <v>0</v>
      </c>
      <c r="W499" s="181" t="n">
        <v>0</v>
      </c>
      <c r="X499" s="182" t="n">
        <v>0</v>
      </c>
      <c r="Y499" s="183" t="inlineStr">
        <is>
          <t>.</t>
        </is>
      </c>
      <c r="Z499" s="184">
        <f>SUM(AA499:AL499)</f>
        <v/>
      </c>
      <c r="AA499" s="185" t="n">
        <v>0</v>
      </c>
      <c r="AB499" s="185" t="n">
        <v>0</v>
      </c>
      <c r="AC499" s="185" t="n">
        <v>0</v>
      </c>
      <c r="AD499" s="185" t="n">
        <v>0</v>
      </c>
      <c r="AE499" s="185" t="n">
        <v>0</v>
      </c>
      <c r="AF499" s="185" t="n">
        <v>0</v>
      </c>
      <c r="AG499" s="185" t="n">
        <v>0</v>
      </c>
      <c r="AH499" s="185" t="n">
        <v>0</v>
      </c>
      <c r="AI499" s="185" t="n">
        <v>0</v>
      </c>
      <c r="AJ499" s="185" t="n">
        <v>0</v>
      </c>
      <c r="AK499" s="185" t="n">
        <v>0</v>
      </c>
      <c r="AL499" s="186" t="n">
        <v>0</v>
      </c>
      <c r="AM499" s="30" t="inlineStr">
        <is>
          <t>.</t>
        </is>
      </c>
      <c r="AN499" s="187">
        <f>IF(L499=0,0,Z499/L499)</f>
        <v/>
      </c>
      <c r="AO499" s="57">
        <f>IF(AN499&gt;=1,"🟢",IF(AN499&gt;=0.7,"🟡",IF(AN499&gt;=0.4,"🟠","🔴")))</f>
        <v/>
      </c>
      <c r="AP499" s="185">
        <f>L499-Z499</f>
        <v/>
      </c>
      <c r="AQ499" s="55">
        <f>RANK(Z499,$Z$4:$Z$503,0)</f>
        <v/>
      </c>
      <c r="AR499" s="39" t="inlineStr">
        <is>
          <t>.</t>
        </is>
      </c>
      <c r="AS499" s="27" t="n"/>
      <c r="AT499" s="27" t="n"/>
      <c r="AU499" s="27" t="n"/>
      <c r="AV499" s="27" t="n"/>
      <c r="AW499" s="27" t="n"/>
      <c r="AX499" s="27" t="n"/>
      <c r="AY499" s="204" t="n"/>
      <c r="AZ499" s="204" t="n"/>
      <c r="BA499" s="38" t="inlineStr">
        <is>
          <t>.</t>
        </is>
      </c>
      <c r="BB499" s="190">
        <f>SUM(BC499:BN499)</f>
        <v/>
      </c>
      <c r="BC499" s="191">
        <f>L499*0.0702730030</f>
        <v/>
      </c>
      <c r="BD499" s="191">
        <f>L499*0.0734327604</f>
        <v/>
      </c>
      <c r="BE499" s="191">
        <f>L499*0.0752022245</f>
        <v/>
      </c>
      <c r="BF499" s="191">
        <f>L499*0.0771612740</f>
        <v/>
      </c>
      <c r="BG499" s="191">
        <f>L499*0.0796890799</f>
        <v/>
      </c>
      <c r="BH499" s="191">
        <f>L499*0.0817745197</f>
        <v/>
      </c>
      <c r="BI499" s="191">
        <f>L499*0.0849342770</f>
        <v/>
      </c>
      <c r="BJ499" s="191">
        <f>L499*0.0870197169</f>
        <v/>
      </c>
      <c r="BK499" s="191">
        <f>L499*0.0889787664</f>
        <v/>
      </c>
      <c r="BL499" s="191">
        <f>L499*0.0911905966</f>
        <v/>
      </c>
      <c r="BM499" s="191">
        <f>L499*0.0935920121</f>
        <v/>
      </c>
      <c r="BN499" s="192">
        <f>L499*0.0967517695</f>
        <v/>
      </c>
      <c r="BO499" s="36" t="inlineStr">
        <is>
          <t>.</t>
        </is>
      </c>
      <c r="BP499" s="193">
        <f>SUM(BQ499:CB499)</f>
        <v/>
      </c>
      <c r="BQ499" s="191">
        <f>MAX(0,BC499-AA499)</f>
        <v/>
      </c>
      <c r="BR499" s="191">
        <f>MAX(0,BD499-AB499)</f>
        <v/>
      </c>
      <c r="BS499" s="191">
        <f>MAX(0,BE499-AC499)</f>
        <v/>
      </c>
      <c r="BT499" s="191">
        <f>MAX(0,BF499-AD499)</f>
        <v/>
      </c>
      <c r="BU499" s="191">
        <f>MAX(0,BG499-AE499)</f>
        <v/>
      </c>
      <c r="BV499" s="191">
        <f>MAX(0,BH499-AF499)</f>
        <v/>
      </c>
      <c r="BW499" s="191">
        <f>MAX(0,BI499-AG499)</f>
        <v/>
      </c>
      <c r="BX499" s="191">
        <f>MAX(0,BJ499-AH499)</f>
        <v/>
      </c>
      <c r="BY499" s="191">
        <f>MAX(0,BK499-AI499)</f>
        <v/>
      </c>
      <c r="BZ499" s="191">
        <f>MAX(0,BL499-AJ499)</f>
        <v/>
      </c>
      <c r="CA499" s="191">
        <f>MAX(0,BM499-AK499)</f>
        <v/>
      </c>
      <c r="CB499" s="192">
        <f>MAX(0,BN499-AL499)</f>
        <v/>
      </c>
    </row>
    <row r="500">
      <c r="A500" s="64" t="n">
        <v>23584490000116</v>
      </c>
      <c r="B500" s="57" t="inlineStr">
        <is>
          <t>TEMIS PUCINELLI PENNA - ME</t>
        </is>
      </c>
      <c r="C500" s="57" t="inlineStr">
        <is>
          <t>CIA DA SAUDE</t>
        </is>
      </c>
      <c r="D500" s="61" t="inlineStr">
        <is>
          <t>JULIO GADRET</t>
        </is>
      </c>
      <c r="E500" s="30" t="inlineStr">
        <is>
          <t>.</t>
        </is>
      </c>
      <c r="F500" s="63" t="n">
        <v>163</v>
      </c>
      <c r="G500" s="179" t="n">
        <v>0.026</v>
      </c>
      <c r="H500" s="57" t="inlineStr">
        <is>
          <t>🔴 VERMELHO</t>
        </is>
      </c>
      <c r="I500" s="57" t="inlineStr">
        <is>
          <t>ATIVAÇÃO</t>
        </is>
      </c>
      <c r="J500" s="61" t="inlineStr">
        <is>
          <t>Reativar inativos + Prospectar</t>
        </is>
      </c>
      <c r="K500" s="30" t="inlineStr">
        <is>
          <t>.</t>
        </is>
      </c>
      <c r="L500" s="180" t="n">
        <v>0</v>
      </c>
      <c r="M500" s="181" t="n">
        <v>0</v>
      </c>
      <c r="N500" s="181" t="n">
        <v>0</v>
      </c>
      <c r="O500" s="181" t="n">
        <v>0</v>
      </c>
      <c r="P500" s="181" t="n">
        <v>0</v>
      </c>
      <c r="Q500" s="181" t="n">
        <v>0</v>
      </c>
      <c r="R500" s="181" t="n">
        <v>0</v>
      </c>
      <c r="S500" s="181" t="n">
        <v>0</v>
      </c>
      <c r="T500" s="181" t="n">
        <v>0</v>
      </c>
      <c r="U500" s="181" t="n">
        <v>0</v>
      </c>
      <c r="V500" s="181" t="n">
        <v>0</v>
      </c>
      <c r="W500" s="181" t="n">
        <v>0</v>
      </c>
      <c r="X500" s="182" t="n">
        <v>0</v>
      </c>
      <c r="Y500" s="183" t="inlineStr">
        <is>
          <t>.</t>
        </is>
      </c>
      <c r="Z500" s="184">
        <f>SUM(AA500:AL500)</f>
        <v/>
      </c>
      <c r="AA500" s="185" t="n">
        <v>0</v>
      </c>
      <c r="AB500" s="185" t="n">
        <v>0</v>
      </c>
      <c r="AC500" s="185" t="n">
        <v>0</v>
      </c>
      <c r="AD500" s="185" t="n">
        <v>0</v>
      </c>
      <c r="AE500" s="185" t="n">
        <v>0</v>
      </c>
      <c r="AF500" s="185" t="n">
        <v>0</v>
      </c>
      <c r="AG500" s="185" t="n">
        <v>0</v>
      </c>
      <c r="AH500" s="185" t="n">
        <v>0</v>
      </c>
      <c r="AI500" s="185" t="n">
        <v>0</v>
      </c>
      <c r="AJ500" s="185" t="n">
        <v>0</v>
      </c>
      <c r="AK500" s="185" t="n">
        <v>0</v>
      </c>
      <c r="AL500" s="186" t="n">
        <v>0</v>
      </c>
      <c r="AM500" s="30" t="inlineStr">
        <is>
          <t>.</t>
        </is>
      </c>
      <c r="AN500" s="187">
        <f>IF(L500=0,0,Z500/L500)</f>
        <v/>
      </c>
      <c r="AO500" s="57">
        <f>IF(AN500&gt;=1,"🟢",IF(AN500&gt;=0.7,"🟡",IF(AN500&gt;=0.4,"🟠","🔴")))</f>
        <v/>
      </c>
      <c r="AP500" s="185">
        <f>L500-Z500</f>
        <v/>
      </c>
      <c r="AQ500" s="55">
        <f>RANK(Z500,$Z$4:$Z$503,0)</f>
        <v/>
      </c>
      <c r="AR500" s="39" t="inlineStr">
        <is>
          <t>.</t>
        </is>
      </c>
      <c r="AS500" s="27" t="n"/>
      <c r="AT500" s="27" t="n"/>
      <c r="AU500" s="27" t="n"/>
      <c r="AV500" s="27" t="n"/>
      <c r="AW500" s="27" t="n"/>
      <c r="AX500" s="27" t="n"/>
      <c r="AY500" s="204" t="n"/>
      <c r="AZ500" s="204" t="n"/>
      <c r="BA500" s="38" t="inlineStr">
        <is>
          <t>.</t>
        </is>
      </c>
      <c r="BB500" s="190">
        <f>SUM(BC500:BN500)</f>
        <v/>
      </c>
      <c r="BC500" s="191">
        <f>L500*0.0702730030</f>
        <v/>
      </c>
      <c r="BD500" s="191">
        <f>L500*0.0734327604</f>
        <v/>
      </c>
      <c r="BE500" s="191">
        <f>L500*0.0752022245</f>
        <v/>
      </c>
      <c r="BF500" s="191">
        <f>L500*0.0771612740</f>
        <v/>
      </c>
      <c r="BG500" s="191">
        <f>L500*0.0796890799</f>
        <v/>
      </c>
      <c r="BH500" s="191">
        <f>L500*0.0817745197</f>
        <v/>
      </c>
      <c r="BI500" s="191">
        <f>L500*0.0849342770</f>
        <v/>
      </c>
      <c r="BJ500" s="191">
        <f>L500*0.0870197169</f>
        <v/>
      </c>
      <c r="BK500" s="191">
        <f>L500*0.0889787664</f>
        <v/>
      </c>
      <c r="BL500" s="191">
        <f>L500*0.0911905966</f>
        <v/>
      </c>
      <c r="BM500" s="191">
        <f>L500*0.0935920121</f>
        <v/>
      </c>
      <c r="BN500" s="192">
        <f>L500*0.0967517695</f>
        <v/>
      </c>
      <c r="BO500" s="36" t="inlineStr">
        <is>
          <t>.</t>
        </is>
      </c>
      <c r="BP500" s="193">
        <f>SUM(BQ500:CB500)</f>
        <v/>
      </c>
      <c r="BQ500" s="191">
        <f>MAX(0,BC500-AA500)</f>
        <v/>
      </c>
      <c r="BR500" s="191">
        <f>MAX(0,BD500-AB500)</f>
        <v/>
      </c>
      <c r="BS500" s="191">
        <f>MAX(0,BE500-AC500)</f>
        <v/>
      </c>
      <c r="BT500" s="191">
        <f>MAX(0,BF500-AD500)</f>
        <v/>
      </c>
      <c r="BU500" s="191">
        <f>MAX(0,BG500-AE500)</f>
        <v/>
      </c>
      <c r="BV500" s="191">
        <f>MAX(0,BH500-AF500)</f>
        <v/>
      </c>
      <c r="BW500" s="191">
        <f>MAX(0,BI500-AG500)</f>
        <v/>
      </c>
      <c r="BX500" s="191">
        <f>MAX(0,BJ500-AH500)</f>
        <v/>
      </c>
      <c r="BY500" s="191">
        <f>MAX(0,BK500-AI500)</f>
        <v/>
      </c>
      <c r="BZ500" s="191">
        <f>MAX(0,BL500-AJ500)</f>
        <v/>
      </c>
      <c r="CA500" s="191">
        <f>MAX(0,BM500-AK500)</f>
        <v/>
      </c>
      <c r="CB500" s="192">
        <f>MAX(0,BN500-AL500)</f>
        <v/>
      </c>
    </row>
    <row r="501">
      <c r="A501" s="64" t="n">
        <v>32288356000169</v>
      </c>
      <c r="B501" s="57" t="inlineStr">
        <is>
          <t>NATURITA PRODUTOS NATURAIS LTDA - ME</t>
        </is>
      </c>
      <c r="C501" s="57" t="inlineStr">
        <is>
          <t>CIA DA SAUDE</t>
        </is>
      </c>
      <c r="D501" s="61" t="inlineStr">
        <is>
          <t>JULIO GADRET</t>
        </is>
      </c>
      <c r="E501" s="30" t="inlineStr">
        <is>
          <t>.</t>
        </is>
      </c>
      <c r="F501" s="63" t="n">
        <v>163</v>
      </c>
      <c r="G501" s="179" t="n">
        <v>0.026</v>
      </c>
      <c r="H501" s="57" t="inlineStr">
        <is>
          <t>🔴 VERMELHO</t>
        </is>
      </c>
      <c r="I501" s="57" t="inlineStr">
        <is>
          <t>ATIVAÇÃO</t>
        </is>
      </c>
      <c r="J501" s="61" t="inlineStr">
        <is>
          <t>Reativar inativos + Prospectar</t>
        </is>
      </c>
      <c r="K501" s="30" t="inlineStr">
        <is>
          <t>.</t>
        </is>
      </c>
      <c r="L501" s="180" t="n">
        <v>0</v>
      </c>
      <c r="M501" s="181" t="n">
        <v>0</v>
      </c>
      <c r="N501" s="181" t="n">
        <v>0</v>
      </c>
      <c r="O501" s="181" t="n">
        <v>0</v>
      </c>
      <c r="P501" s="181" t="n">
        <v>0</v>
      </c>
      <c r="Q501" s="181" t="n">
        <v>0</v>
      </c>
      <c r="R501" s="181" t="n">
        <v>0</v>
      </c>
      <c r="S501" s="181" t="n">
        <v>0</v>
      </c>
      <c r="T501" s="181" t="n">
        <v>0</v>
      </c>
      <c r="U501" s="181" t="n">
        <v>0</v>
      </c>
      <c r="V501" s="181" t="n">
        <v>0</v>
      </c>
      <c r="W501" s="181" t="n">
        <v>0</v>
      </c>
      <c r="X501" s="182" t="n">
        <v>0</v>
      </c>
      <c r="Y501" s="183" t="inlineStr">
        <is>
          <t>.</t>
        </is>
      </c>
      <c r="Z501" s="184">
        <f>SUM(AA501:AL501)</f>
        <v/>
      </c>
      <c r="AA501" s="185" t="n">
        <v>0</v>
      </c>
      <c r="AB501" s="185" t="n">
        <v>0</v>
      </c>
      <c r="AC501" s="185" t="n">
        <v>0</v>
      </c>
      <c r="AD501" s="185" t="n">
        <v>0</v>
      </c>
      <c r="AE501" s="185" t="n">
        <v>0</v>
      </c>
      <c r="AF501" s="185" t="n">
        <v>0</v>
      </c>
      <c r="AG501" s="185" t="n">
        <v>0</v>
      </c>
      <c r="AH501" s="185" t="n">
        <v>0</v>
      </c>
      <c r="AI501" s="185" t="n">
        <v>0</v>
      </c>
      <c r="AJ501" s="185" t="n">
        <v>0</v>
      </c>
      <c r="AK501" s="185" t="n">
        <v>0</v>
      </c>
      <c r="AL501" s="186" t="n">
        <v>0</v>
      </c>
      <c r="AM501" s="30" t="inlineStr">
        <is>
          <t>.</t>
        </is>
      </c>
      <c r="AN501" s="187">
        <f>IF(L501=0,0,Z501/L501)</f>
        <v/>
      </c>
      <c r="AO501" s="57">
        <f>IF(AN501&gt;=1,"🟢",IF(AN501&gt;=0.7,"🟡",IF(AN501&gt;=0.4,"🟠","🔴")))</f>
        <v/>
      </c>
      <c r="AP501" s="185">
        <f>L501-Z501</f>
        <v/>
      </c>
      <c r="AQ501" s="55">
        <f>RANK(Z501,$Z$4:$Z$503,0)</f>
        <v/>
      </c>
      <c r="AR501" s="39" t="inlineStr">
        <is>
          <t>.</t>
        </is>
      </c>
      <c r="AS501" s="27" t="n"/>
      <c r="AT501" s="27" t="n"/>
      <c r="AU501" s="27" t="n"/>
      <c r="AV501" s="27" t="n"/>
      <c r="AW501" s="27" t="n"/>
      <c r="AX501" s="27" t="n"/>
      <c r="AY501" s="204" t="n"/>
      <c r="AZ501" s="204" t="n"/>
      <c r="BA501" s="38" t="inlineStr">
        <is>
          <t>.</t>
        </is>
      </c>
      <c r="BB501" s="190">
        <f>SUM(BC501:BN501)</f>
        <v/>
      </c>
      <c r="BC501" s="191">
        <f>L501*0.0702730030</f>
        <v/>
      </c>
      <c r="BD501" s="191">
        <f>L501*0.0734327604</f>
        <v/>
      </c>
      <c r="BE501" s="191">
        <f>L501*0.0752022245</f>
        <v/>
      </c>
      <c r="BF501" s="191">
        <f>L501*0.0771612740</f>
        <v/>
      </c>
      <c r="BG501" s="191">
        <f>L501*0.0796890799</f>
        <v/>
      </c>
      <c r="BH501" s="191">
        <f>L501*0.0817745197</f>
        <v/>
      </c>
      <c r="BI501" s="191">
        <f>L501*0.0849342770</f>
        <v/>
      </c>
      <c r="BJ501" s="191">
        <f>L501*0.0870197169</f>
        <v/>
      </c>
      <c r="BK501" s="191">
        <f>L501*0.0889787664</f>
        <v/>
      </c>
      <c r="BL501" s="191">
        <f>L501*0.0911905966</f>
        <v/>
      </c>
      <c r="BM501" s="191">
        <f>L501*0.0935920121</f>
        <v/>
      </c>
      <c r="BN501" s="192">
        <f>L501*0.0967517695</f>
        <v/>
      </c>
      <c r="BO501" s="36" t="inlineStr">
        <is>
          <t>.</t>
        </is>
      </c>
      <c r="BP501" s="193">
        <f>SUM(BQ501:CB501)</f>
        <v/>
      </c>
      <c r="BQ501" s="191">
        <f>MAX(0,BC501-AA501)</f>
        <v/>
      </c>
      <c r="BR501" s="191">
        <f>MAX(0,BD501-AB501)</f>
        <v/>
      </c>
      <c r="BS501" s="191">
        <f>MAX(0,BE501-AC501)</f>
        <v/>
      </c>
      <c r="BT501" s="191">
        <f>MAX(0,BF501-AD501)</f>
        <v/>
      </c>
      <c r="BU501" s="191">
        <f>MAX(0,BG501-AE501)</f>
        <v/>
      </c>
      <c r="BV501" s="191">
        <f>MAX(0,BH501-AF501)</f>
        <v/>
      </c>
      <c r="BW501" s="191">
        <f>MAX(0,BI501-AG501)</f>
        <v/>
      </c>
      <c r="BX501" s="191">
        <f>MAX(0,BJ501-AH501)</f>
        <v/>
      </c>
      <c r="BY501" s="191">
        <f>MAX(0,BK501-AI501)</f>
        <v/>
      </c>
      <c r="BZ501" s="191">
        <f>MAX(0,BL501-AJ501)</f>
        <v/>
      </c>
      <c r="CA501" s="191">
        <f>MAX(0,BM501-AK501)</f>
        <v/>
      </c>
      <c r="CB501" s="192">
        <f>MAX(0,BN501-AL501)</f>
        <v/>
      </c>
    </row>
    <row r="502">
      <c r="A502" s="64" t="n">
        <v>45540775000198</v>
      </c>
      <c r="B502" s="57" t="inlineStr">
        <is>
          <t>T R ARRUDA COMERCIO DE PRODUTOS SAUDAVEI</t>
        </is>
      </c>
      <c r="C502" s="57" t="inlineStr">
        <is>
          <t>DIVINA TERRA</t>
        </is>
      </c>
      <c r="D502" s="61" t="inlineStr">
        <is>
          <t>DAIANE STAVICKI</t>
        </is>
      </c>
      <c r="E502" s="30" t="inlineStr">
        <is>
          <t>.</t>
        </is>
      </c>
      <c r="F502" s="63" t="n">
        <v>85</v>
      </c>
      <c r="G502" s="179" t="n">
        <v>0.1</v>
      </c>
      <c r="H502" s="57" t="inlineStr">
        <is>
          <t>🔴 VERMELHO</t>
        </is>
      </c>
      <c r="I502" s="57" t="inlineStr">
        <is>
          <t>POSITIVAÇÃO</t>
        </is>
      </c>
      <c r="J502" s="61" t="inlineStr">
        <is>
          <t>Aumentar frequência + Expandir base</t>
        </is>
      </c>
      <c r="K502" s="30" t="inlineStr">
        <is>
          <t>.</t>
        </is>
      </c>
      <c r="L502" s="180" t="n">
        <v>0</v>
      </c>
      <c r="M502" s="181" t="n">
        <v>0</v>
      </c>
      <c r="N502" s="181" t="n">
        <v>0</v>
      </c>
      <c r="O502" s="181" t="n">
        <v>0</v>
      </c>
      <c r="P502" s="181" t="n">
        <v>0</v>
      </c>
      <c r="Q502" s="181" t="n">
        <v>0</v>
      </c>
      <c r="R502" s="181" t="n">
        <v>0</v>
      </c>
      <c r="S502" s="181" t="n">
        <v>0</v>
      </c>
      <c r="T502" s="181" t="n">
        <v>0</v>
      </c>
      <c r="U502" s="181" t="n">
        <v>0</v>
      </c>
      <c r="V502" s="181" t="n">
        <v>0</v>
      </c>
      <c r="W502" s="181" t="n">
        <v>0</v>
      </c>
      <c r="X502" s="182" t="n">
        <v>0</v>
      </c>
      <c r="Y502" s="183" t="inlineStr">
        <is>
          <t>.</t>
        </is>
      </c>
      <c r="Z502" s="184">
        <f>SUM(AA502:AL502)</f>
        <v/>
      </c>
      <c r="AA502" s="185" t="n">
        <v>0</v>
      </c>
      <c r="AB502" s="185" t="n">
        <v>0</v>
      </c>
      <c r="AC502" s="185" t="n">
        <v>0</v>
      </c>
      <c r="AD502" s="185" t="n">
        <v>0</v>
      </c>
      <c r="AE502" s="185" t="n">
        <v>0</v>
      </c>
      <c r="AF502" s="185" t="n">
        <v>0</v>
      </c>
      <c r="AG502" s="185" t="n">
        <v>0</v>
      </c>
      <c r="AH502" s="185" t="n">
        <v>0</v>
      </c>
      <c r="AI502" s="185" t="n">
        <v>0</v>
      </c>
      <c r="AJ502" s="185" t="n">
        <v>0</v>
      </c>
      <c r="AK502" s="185" t="n">
        <v>0</v>
      </c>
      <c r="AL502" s="186" t="n">
        <v>0</v>
      </c>
      <c r="AM502" s="30" t="inlineStr">
        <is>
          <t>.</t>
        </is>
      </c>
      <c r="AN502" s="187">
        <f>IF(L502=0,0,Z502/L502)</f>
        <v/>
      </c>
      <c r="AO502" s="57">
        <f>IF(AN502&gt;=1,"🟢",IF(AN502&gt;=0.7,"🟡",IF(AN502&gt;=0.4,"🟠","🔴")))</f>
        <v/>
      </c>
      <c r="AP502" s="185">
        <f>L502-Z502</f>
        <v/>
      </c>
      <c r="AQ502" s="55">
        <f>RANK(Z502,$Z$4:$Z$503,0)</f>
        <v/>
      </c>
      <c r="AR502" s="39" t="inlineStr">
        <is>
          <t>.</t>
        </is>
      </c>
      <c r="AS502" s="27" t="n"/>
      <c r="AT502" s="27" t="n"/>
      <c r="AU502" s="27" t="n"/>
      <c r="AV502" s="27" t="n"/>
      <c r="AW502" s="27" t="n"/>
      <c r="AX502" s="27" t="n"/>
      <c r="AY502" s="204" t="n"/>
      <c r="AZ502" s="204" t="n"/>
      <c r="BA502" s="38" t="inlineStr">
        <is>
          <t>.</t>
        </is>
      </c>
      <c r="BB502" s="190">
        <f>SUM(BC502:BN502)</f>
        <v/>
      </c>
      <c r="BC502" s="191">
        <f>L502*0.0702730030</f>
        <v/>
      </c>
      <c r="BD502" s="191">
        <f>L502*0.0734327604</f>
        <v/>
      </c>
      <c r="BE502" s="191">
        <f>L502*0.0752022245</f>
        <v/>
      </c>
      <c r="BF502" s="191">
        <f>L502*0.0771612740</f>
        <v/>
      </c>
      <c r="BG502" s="191">
        <f>L502*0.0796890799</f>
        <v/>
      </c>
      <c r="BH502" s="191">
        <f>L502*0.0817745197</f>
        <v/>
      </c>
      <c r="BI502" s="191">
        <f>L502*0.0849342770</f>
        <v/>
      </c>
      <c r="BJ502" s="191">
        <f>L502*0.0870197169</f>
        <v/>
      </c>
      <c r="BK502" s="191">
        <f>L502*0.0889787664</f>
        <v/>
      </c>
      <c r="BL502" s="191">
        <f>L502*0.0911905966</f>
        <v/>
      </c>
      <c r="BM502" s="191">
        <f>L502*0.0935920121</f>
        <v/>
      </c>
      <c r="BN502" s="192">
        <f>L502*0.0967517695</f>
        <v/>
      </c>
      <c r="BO502" s="36" t="inlineStr">
        <is>
          <t>.</t>
        </is>
      </c>
      <c r="BP502" s="193">
        <f>SUM(BQ502:CB502)</f>
        <v/>
      </c>
      <c r="BQ502" s="191">
        <f>MAX(0,BC502-AA502)</f>
        <v/>
      </c>
      <c r="BR502" s="191">
        <f>MAX(0,BD502-AB502)</f>
        <v/>
      </c>
      <c r="BS502" s="191">
        <f>MAX(0,BE502-AC502)</f>
        <v/>
      </c>
      <c r="BT502" s="191">
        <f>MAX(0,BF502-AD502)</f>
        <v/>
      </c>
      <c r="BU502" s="191">
        <f>MAX(0,BG502-AE502)</f>
        <v/>
      </c>
      <c r="BV502" s="191">
        <f>MAX(0,BH502-AF502)</f>
        <v/>
      </c>
      <c r="BW502" s="191">
        <f>MAX(0,BI502-AG502)</f>
        <v/>
      </c>
      <c r="BX502" s="191">
        <f>MAX(0,BJ502-AH502)</f>
        <v/>
      </c>
      <c r="BY502" s="191">
        <f>MAX(0,BK502-AI502)</f>
        <v/>
      </c>
      <c r="BZ502" s="191">
        <f>MAX(0,BL502-AJ502)</f>
        <v/>
      </c>
      <c r="CA502" s="191">
        <f>MAX(0,BM502-AK502)</f>
        <v/>
      </c>
      <c r="CB502" s="192">
        <f>MAX(0,BN502-AL502)</f>
        <v/>
      </c>
    </row>
    <row r="503">
      <c r="A503" s="50" t="n">
        <v>51144831000178</v>
      </c>
      <c r="B503" s="42" t="inlineStr">
        <is>
          <t>TG EMPORIO DE GRAOS LTDA</t>
        </is>
      </c>
      <c r="C503" s="42" t="inlineStr">
        <is>
          <t>TUDO EM GRAOS</t>
        </is>
      </c>
      <c r="D503" s="47" t="inlineStr">
        <is>
          <t>DAIANE STAVICKI</t>
        </is>
      </c>
      <c r="E503" s="30" t="inlineStr">
        <is>
          <t>.</t>
        </is>
      </c>
      <c r="F503" s="49" t="n">
        <v>25</v>
      </c>
      <c r="G503" s="207" t="n">
        <v>0.062</v>
      </c>
      <c r="H503" s="42" t="inlineStr">
        <is>
          <t>🔴 VERMELHO</t>
        </is>
      </c>
      <c r="I503" s="42" t="inlineStr">
        <is>
          <t>ATIVAÇÃO</t>
        </is>
      </c>
      <c r="J503" s="47" t="inlineStr">
        <is>
          <t>Reativar inativos + Prospectar</t>
        </is>
      </c>
      <c r="K503" s="30" t="inlineStr">
        <is>
          <t>.</t>
        </is>
      </c>
      <c r="L503" s="208" t="n">
        <v>0</v>
      </c>
      <c r="M503" s="209" t="n">
        <v>0</v>
      </c>
      <c r="N503" s="209" t="n">
        <v>0</v>
      </c>
      <c r="O503" s="209" t="n">
        <v>0</v>
      </c>
      <c r="P503" s="209" t="n">
        <v>0</v>
      </c>
      <c r="Q503" s="209" t="n">
        <v>0</v>
      </c>
      <c r="R503" s="209" t="n">
        <v>0</v>
      </c>
      <c r="S503" s="209" t="n">
        <v>0</v>
      </c>
      <c r="T503" s="209" t="n">
        <v>0</v>
      </c>
      <c r="U503" s="209" t="n">
        <v>0</v>
      </c>
      <c r="V503" s="209" t="n">
        <v>0</v>
      </c>
      <c r="W503" s="209" t="n">
        <v>0</v>
      </c>
      <c r="X503" s="210" t="n">
        <v>0</v>
      </c>
      <c r="Y503" s="183" t="inlineStr">
        <is>
          <t>.</t>
        </is>
      </c>
      <c r="Z503" s="211">
        <f>SUM(AA503:AL503)</f>
        <v/>
      </c>
      <c r="AA503" s="212" t="n">
        <v>0</v>
      </c>
      <c r="AB503" s="212" t="n">
        <v>0</v>
      </c>
      <c r="AC503" s="212" t="n">
        <v>0</v>
      </c>
      <c r="AD503" s="212" t="n">
        <v>0</v>
      </c>
      <c r="AE503" s="212" t="n">
        <v>0</v>
      </c>
      <c r="AF503" s="212" t="n">
        <v>0</v>
      </c>
      <c r="AG503" s="212" t="n">
        <v>0</v>
      </c>
      <c r="AH503" s="212" t="n">
        <v>0</v>
      </c>
      <c r="AI503" s="212" t="n">
        <v>0</v>
      </c>
      <c r="AJ503" s="212" t="n">
        <v>0</v>
      </c>
      <c r="AK503" s="212" t="n">
        <v>0</v>
      </c>
      <c r="AL503" s="213" t="n">
        <v>0</v>
      </c>
      <c r="AM503" s="30" t="inlineStr">
        <is>
          <t>.</t>
        </is>
      </c>
      <c r="AN503" s="214">
        <f>IF(L503=0,0,Z503/L503)</f>
        <v/>
      </c>
      <c r="AO503" s="42">
        <f>IF(AN503&gt;=1,"🟢",IF(AN503&gt;=0.7,"🟡",IF(AN503&gt;=0.4,"🟠","🔴")))</f>
        <v/>
      </c>
      <c r="AP503" s="212">
        <f>L503-Z503</f>
        <v/>
      </c>
      <c r="AQ503" s="40">
        <f>RANK(Z503,$Z$4:$Z$503,0)</f>
        <v/>
      </c>
      <c r="AR503" s="39" t="inlineStr">
        <is>
          <t>.</t>
        </is>
      </c>
      <c r="AS503" s="27" t="n"/>
      <c r="AT503" s="27" t="n"/>
      <c r="AU503" s="27" t="n"/>
      <c r="AV503" s="27" t="n"/>
      <c r="AW503" s="27" t="n"/>
      <c r="AX503" s="27" t="n"/>
      <c r="AY503" s="204" t="n"/>
      <c r="AZ503" s="204" t="n"/>
      <c r="BA503" s="38" t="inlineStr">
        <is>
          <t>.</t>
        </is>
      </c>
      <c r="BB503" s="215">
        <f>SUM(BC503:BN503)</f>
        <v/>
      </c>
      <c r="BC503" s="216">
        <f>L503*0.0702730030</f>
        <v/>
      </c>
      <c r="BD503" s="216">
        <f>L503*0.0734327604</f>
        <v/>
      </c>
      <c r="BE503" s="216">
        <f>L503*0.0752022245</f>
        <v/>
      </c>
      <c r="BF503" s="216">
        <f>L503*0.0771612740</f>
        <v/>
      </c>
      <c r="BG503" s="216">
        <f>L503*0.0796890799</f>
        <v/>
      </c>
      <c r="BH503" s="216">
        <f>L503*0.0817745197</f>
        <v/>
      </c>
      <c r="BI503" s="216">
        <f>L503*0.0849342770</f>
        <v/>
      </c>
      <c r="BJ503" s="216">
        <f>L503*0.0870197169</f>
        <v/>
      </c>
      <c r="BK503" s="216">
        <f>L503*0.0889787664</f>
        <v/>
      </c>
      <c r="BL503" s="216">
        <f>L503*0.0911905966</f>
        <v/>
      </c>
      <c r="BM503" s="216">
        <f>L503*0.0935920121</f>
        <v/>
      </c>
      <c r="BN503" s="217">
        <f>L503*0.0967517695</f>
        <v/>
      </c>
      <c r="BO503" s="36" t="inlineStr">
        <is>
          <t>.</t>
        </is>
      </c>
      <c r="BP503" s="218">
        <f>SUM(BQ503:CB503)</f>
        <v/>
      </c>
      <c r="BQ503" s="216">
        <f>MAX(0,BC503-AA503)</f>
        <v/>
      </c>
      <c r="BR503" s="216">
        <f>MAX(0,BD503-AB503)</f>
        <v/>
      </c>
      <c r="BS503" s="216">
        <f>MAX(0,BE503-AC503)</f>
        <v/>
      </c>
      <c r="BT503" s="216">
        <f>MAX(0,BF503-AD503)</f>
        <v/>
      </c>
      <c r="BU503" s="216">
        <f>MAX(0,BG503-AE503)</f>
        <v/>
      </c>
      <c r="BV503" s="216">
        <f>MAX(0,BH503-AF503)</f>
        <v/>
      </c>
      <c r="BW503" s="216">
        <f>MAX(0,BI503-AG503)</f>
        <v/>
      </c>
      <c r="BX503" s="216">
        <f>MAX(0,BJ503-AH503)</f>
        <v/>
      </c>
      <c r="BY503" s="216">
        <f>MAX(0,BK503-AI503)</f>
        <v/>
      </c>
      <c r="BZ503" s="216">
        <f>MAX(0,BL503-AJ503)</f>
        <v/>
      </c>
      <c r="CA503" s="216">
        <f>MAX(0,BM503-AK503)</f>
        <v/>
      </c>
      <c r="CB503" s="217">
        <f>MAX(0,BN503-AL503)</f>
        <v/>
      </c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204" t="n"/>
      <c r="AA504" s="204" t="n"/>
      <c r="AB504" s="219" t="n"/>
      <c r="AC504" s="219" t="n"/>
      <c r="AD504" s="219" t="n"/>
      <c r="AE504" s="219" t="n"/>
      <c r="AF504" s="219" t="n"/>
      <c r="AG504" s="219" t="n"/>
      <c r="AH504" s="219" t="n"/>
      <c r="AI504" s="219" t="n"/>
      <c r="AJ504" s="219" t="n"/>
      <c r="AK504" s="219" t="n"/>
      <c r="AL504" s="219" t="n"/>
      <c r="AM504" s="30" t="inlineStr">
        <is>
          <t>.</t>
        </is>
      </c>
      <c r="AN504" s="29" t="n"/>
      <c r="AO504" s="27" t="n"/>
      <c r="AP504" s="204" t="n"/>
      <c r="AQ504" s="28" t="n"/>
      <c r="AR504" s="27" t="n"/>
      <c r="AS504" s="27" t="n"/>
      <c r="AT504" s="27" t="n"/>
      <c r="AU504" s="27" t="n"/>
      <c r="AV504" s="27" t="n"/>
      <c r="AW504" s="27" t="n"/>
      <c r="AX504" s="27" t="n"/>
      <c r="AY504" s="204" t="n"/>
      <c r="AZ504" s="204" t="n"/>
      <c r="BA504" s="27" t="n"/>
      <c r="BB504" s="204" t="n"/>
      <c r="BC504" s="204" t="n"/>
      <c r="BD504" s="204" t="n"/>
      <c r="BE504" s="204" t="n"/>
      <c r="BF504" s="204" t="n"/>
      <c r="BG504" s="204" t="n"/>
      <c r="BH504" s="204" t="n"/>
      <c r="BI504" s="204" t="n"/>
      <c r="BJ504" s="204" t="n"/>
      <c r="BK504" s="204" t="n"/>
      <c r="BL504" s="204" t="n"/>
      <c r="BM504" s="204" t="n"/>
      <c r="BN504" s="204" t="n"/>
      <c r="BO504" s="27" t="n"/>
      <c r="BP504" s="220" t="n"/>
      <c r="BQ504" s="204" t="n"/>
      <c r="BR504" s="204" t="n"/>
      <c r="BS504" s="204" t="n"/>
      <c r="BT504" s="204" t="n"/>
      <c r="BU504" s="204" t="n"/>
      <c r="BV504" s="204" t="n"/>
      <c r="BW504" s="204" t="n"/>
      <c r="BX504" s="204" t="n"/>
      <c r="BY504" s="204" t="n"/>
      <c r="BZ504" s="204" t="n"/>
      <c r="CA504" s="204" t="n"/>
      <c r="CB504" s="204" t="n"/>
    </row>
  </sheetData>
  <mergeCells count="2">
    <mergeCell ref="BB2:BN2"/>
    <mergeCell ref="BP2:C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1">
    <outlinePr summaryBelow="1" summaryRight="1"/>
    <pageSetUpPr/>
  </sheetPr>
  <dimension ref="A1:O98"/>
  <sheetViews>
    <sheetView showGridLines="0" tabSelected="1" topLeftCell="A5" zoomScaleNormal="100" workbookViewId="0">
      <selection activeCell="O8" sqref="O8"/>
    </sheetView>
  </sheetViews>
  <sheetFormatPr baseColWidth="8" defaultColWidth="9.42578125" defaultRowHeight="15" customHeight="1"/>
  <cols>
    <col width="32" customWidth="1" min="1" max="1"/>
    <col width="14" customWidth="1" min="2" max="3"/>
    <col width="16" customWidth="1" min="4" max="6"/>
    <col width="14" customWidth="1" min="7" max="8"/>
    <col width="10" customWidth="1" min="9" max="13"/>
    <col width="16" customWidth="1" min="14" max="14"/>
  </cols>
  <sheetData>
    <row r="1">
      <c r="A1" s="10" t="inlineStr">
        <is>
          <t>SINALEIRO INTERNO — VITAO ALIMENTOS</t>
        </is>
      </c>
      <c r="H1" s="9" t="inlineStr">
        <is>
          <t>DADOS REAIS SAP / FEV 2026</t>
        </is>
      </c>
    </row>
    <row r="3">
      <c r="A3" s="10" t="inlineStr">
        <is>
          <t>CARTEIRA INTERNA</t>
        </is>
      </c>
      <c r="C3" s="10" t="inlineStr">
        <is>
          <t>CLIENTES</t>
        </is>
      </c>
      <c r="D3" s="10" t="inlineStr">
        <is>
          <t>FATURAMENTO</t>
        </is>
      </c>
      <c r="E3" s="10" t="inlineStr">
        <is>
          <t>POTENCIAL (META)</t>
        </is>
      </c>
      <c r="F3" s="10" t="inlineStr">
        <is>
          <t>GAP</t>
        </is>
      </c>
      <c r="G3" s="10" t="inlineStr">
        <is>
          <t>PENETRAÇÃO</t>
        </is>
      </c>
      <c r="I3" s="10" t="inlineStr">
        <is>
          <t>VERDE</t>
        </is>
      </c>
      <c r="J3" s="10" t="inlineStr">
        <is>
          <t>AMARELO</t>
        </is>
      </c>
      <c r="K3" s="10" t="inlineStr">
        <is>
          <t>VERMELHO</t>
        </is>
      </c>
      <c r="L3" s="10" t="inlineStr">
        <is>
          <t>ROXO</t>
        </is>
      </c>
    </row>
    <row r="4">
      <c r="A4" s="10" t="inlineStr">
        <is>
          <t>TOTAL</t>
        </is>
      </c>
      <c r="C4" s="1" t="n">
        <v>661</v>
      </c>
      <c r="D4" s="4" t="n">
        <v>1914745.74</v>
      </c>
      <c r="E4" s="4" t="n">
        <v>4761598.81</v>
      </c>
      <c r="F4" s="4" t="n">
        <v>2846853.07</v>
      </c>
      <c r="G4" s="6" t="n">
        <v>0.4021</v>
      </c>
      <c r="I4" s="1" t="n">
        <v>129</v>
      </c>
      <c r="J4" s="1" t="n">
        <v>65</v>
      </c>
      <c r="K4" s="1" t="n">
        <v>298</v>
      </c>
      <c r="L4" s="1" t="n">
        <v>169</v>
      </c>
    </row>
    <row r="6">
      <c r="A6" s="10" t="inlineStr">
        <is>
          <t>VENDA MÊS A MÊS 2025 (REAL MERCOS)</t>
        </is>
      </c>
    </row>
    <row r="7">
      <c r="A7" s="10" t="inlineStr">
        <is>
          <t>Mês</t>
        </is>
      </c>
      <c r="B7" s="10" t="inlineStr">
        <is>
          <t>Jan</t>
        </is>
      </c>
      <c r="C7" s="10" t="inlineStr">
        <is>
          <t>Fev</t>
        </is>
      </c>
      <c r="D7" s="10" t="inlineStr">
        <is>
          <t>Març</t>
        </is>
      </c>
      <c r="E7" s="10" t="inlineStr">
        <is>
          <t>Abr</t>
        </is>
      </c>
      <c r="F7" s="10" t="inlineStr">
        <is>
          <t>Mai</t>
        </is>
      </c>
      <c r="G7" s="10" t="inlineStr">
        <is>
          <t>Jun</t>
        </is>
      </c>
      <c r="H7" s="10" t="inlineStr">
        <is>
          <t>Jul</t>
        </is>
      </c>
      <c r="I7" s="10" t="inlineStr">
        <is>
          <t>Ago</t>
        </is>
      </c>
      <c r="J7" s="10" t="inlineStr">
        <is>
          <t>Set</t>
        </is>
      </c>
      <c r="K7" s="10" t="inlineStr">
        <is>
          <t>Out</t>
        </is>
      </c>
      <c r="L7" s="10" t="inlineStr">
        <is>
          <t>Nov</t>
        </is>
      </c>
      <c r="M7" s="10" t="inlineStr">
        <is>
          <t>Dez</t>
        </is>
      </c>
      <c r="N7" s="10" t="inlineStr">
        <is>
          <t>TOTAL</t>
        </is>
      </c>
    </row>
    <row r="8">
      <c r="A8" s="9" t="inlineStr">
        <is>
          <t>R$ Faturado</t>
        </is>
      </c>
      <c r="B8" s="4" t="n">
        <v>86531.06</v>
      </c>
      <c r="C8" s="4" t="n">
        <v>76008.96000000001</v>
      </c>
      <c r="D8" s="4" t="n">
        <v>224904.26</v>
      </c>
      <c r="E8" s="4" t="n">
        <v>341935.26</v>
      </c>
      <c r="F8" s="4" t="n">
        <v>459801.18</v>
      </c>
      <c r="G8" s="4" t="n">
        <v>443881.66</v>
      </c>
      <c r="H8" s="4" t="n">
        <v>321213.96</v>
      </c>
      <c r="I8" s="4" t="n">
        <v>438728.1</v>
      </c>
      <c r="J8" s="4" t="n">
        <v>403250.36</v>
      </c>
      <c r="K8" s="4" t="n">
        <v>550032.36</v>
      </c>
      <c r="L8" s="4" t="n">
        <v>555347.4</v>
      </c>
      <c r="M8" s="4" t="n">
        <v>379940.98</v>
      </c>
      <c r="N8" s="3" t="n">
        <v>4281575.54</v>
      </c>
      <c r="O8" s="151" t="inlineStr">
        <is>
          <t xml:space="preserve">ateção esse numero ta errado ´precisa corrigir o faturamento </t>
        </is>
      </c>
    </row>
    <row r="9">
      <c r="A9" s="9" t="inlineStr">
        <is>
          <t>Nº Clientes</t>
        </is>
      </c>
      <c r="B9" s="1" t="n">
        <v>33</v>
      </c>
      <c r="C9" s="1" t="n">
        <v>27</v>
      </c>
      <c r="D9" s="1" t="n">
        <v>55</v>
      </c>
      <c r="E9" s="1" t="n">
        <v>66</v>
      </c>
      <c r="F9" s="1" t="n">
        <v>80</v>
      </c>
      <c r="G9" s="1" t="n">
        <v>105</v>
      </c>
      <c r="H9" s="1" t="n">
        <v>81</v>
      </c>
      <c r="I9" s="1" t="n">
        <v>119</v>
      </c>
      <c r="J9" s="1" t="n">
        <v>96</v>
      </c>
      <c r="K9" s="1" t="n">
        <v>119</v>
      </c>
      <c r="L9" s="1" t="n">
        <v>97</v>
      </c>
      <c r="M9" s="1" t="n">
        <v>93</v>
      </c>
    </row>
    <row r="11">
      <c r="A11" s="10" t="inlineStr">
        <is>
          <t>FAT 2025 vs META 2026 (SAP)</t>
        </is>
      </c>
    </row>
    <row r="12">
      <c r="A12" s="10" t="inlineStr"/>
      <c r="B12" s="10" t="inlineStr">
        <is>
          <t>JAN</t>
        </is>
      </c>
      <c r="C12" s="10" t="inlineStr">
        <is>
          <t>FEV</t>
        </is>
      </c>
      <c r="D12" s="10" t="inlineStr">
        <is>
          <t>MAR</t>
        </is>
      </c>
      <c r="E12" s="10" t="inlineStr">
        <is>
          <t>ABR</t>
        </is>
      </c>
      <c r="F12" s="10" t="inlineStr">
        <is>
          <t>MAI</t>
        </is>
      </c>
      <c r="G12" s="10" t="inlineStr">
        <is>
          <t>JUN</t>
        </is>
      </c>
      <c r="H12" s="10" t="inlineStr">
        <is>
          <t>JUL</t>
        </is>
      </c>
      <c r="I12" s="10" t="inlineStr">
        <is>
          <t>AGO</t>
        </is>
      </c>
      <c r="J12" s="10" t="inlineStr">
        <is>
          <t>SET</t>
        </is>
      </c>
      <c r="K12" s="10" t="inlineStr">
        <is>
          <t>OUT</t>
        </is>
      </c>
      <c r="L12" s="10" t="inlineStr">
        <is>
          <t>NOV</t>
        </is>
      </c>
      <c r="M12" s="10" t="inlineStr">
        <is>
          <t>DEZ</t>
        </is>
      </c>
      <c r="N12" s="10" t="inlineStr">
        <is>
          <t>TOTAL</t>
        </is>
      </c>
    </row>
    <row r="13">
      <c r="A13" s="9" t="inlineStr">
        <is>
          <t>FAT 2025 (REAL)</t>
        </is>
      </c>
      <c r="B13" s="4" t="n">
        <v>43265</v>
      </c>
      <c r="C13" s="4" t="n">
        <v>38004</v>
      </c>
      <c r="D13" s="4" t="n">
        <v>113363</v>
      </c>
      <c r="E13" s="4" t="n">
        <v>17994</v>
      </c>
      <c r="F13" s="4" t="n">
        <v>233485</v>
      </c>
      <c r="G13" s="4" t="n">
        <v>223750</v>
      </c>
      <c r="H13" s="4" t="n">
        <v>161139</v>
      </c>
      <c r="I13" s="4" t="n">
        <v>220074</v>
      </c>
      <c r="J13" s="4" t="n">
        <v>202758</v>
      </c>
      <c r="K13" s="4" t="n">
        <v>275460</v>
      </c>
      <c r="L13" s="4" t="n">
        <v>0</v>
      </c>
      <c r="M13" s="4" t="n">
        <v>0</v>
      </c>
      <c r="N13" s="3" t="n">
        <v>1529292</v>
      </c>
    </row>
    <row r="14">
      <c r="A14" s="9" t="inlineStr">
        <is>
          <t>META 2026</t>
        </is>
      </c>
      <c r="B14" s="4" t="n">
        <v>333600</v>
      </c>
      <c r="C14" s="4" t="n">
        <v>348600</v>
      </c>
      <c r="D14" s="4" t="n">
        <v>357000</v>
      </c>
      <c r="E14" s="4" t="n">
        <v>366300</v>
      </c>
      <c r="F14" s="4" t="n">
        <v>378300</v>
      </c>
      <c r="G14" s="4" t="n">
        <v>388200</v>
      </c>
      <c r="H14" s="4" t="n">
        <v>403200</v>
      </c>
      <c r="I14" s="4" t="n">
        <v>413100</v>
      </c>
      <c r="J14" s="4" t="n">
        <v>422400</v>
      </c>
      <c r="K14" s="4" t="n">
        <v>432900</v>
      </c>
      <c r="L14" s="4" t="n">
        <v>444300</v>
      </c>
      <c r="M14" s="4" t="n">
        <v>459300</v>
      </c>
      <c r="N14" s="3" t="n">
        <v>4747200</v>
      </c>
    </row>
    <row r="15">
      <c r="A15" s="9" t="inlineStr">
        <is>
          <t>% ATINGIMENTO</t>
        </is>
      </c>
      <c r="B15" s="6" t="n">
        <v>0.129691</v>
      </c>
      <c r="C15" s="6" t="n">
        <v>0.109019</v>
      </c>
      <c r="D15" s="6" t="n">
        <v>0.317543</v>
      </c>
      <c r="E15" s="6" t="n">
        <v>0.049124</v>
      </c>
      <c r="F15" s="6" t="n">
        <v>0.617195</v>
      </c>
      <c r="G15" s="6" t="n">
        <v>0.5763779999999999</v>
      </c>
      <c r="H15" s="6" t="n">
        <v>0.39965</v>
      </c>
      <c r="I15" s="6" t="n">
        <v>0.532738</v>
      </c>
      <c r="J15" s="6" t="n">
        <v>0.480014</v>
      </c>
      <c r="K15" s="6" t="n">
        <v>0.636313</v>
      </c>
      <c r="L15" s="6" t="n">
        <v>0</v>
      </c>
      <c r="M15" s="6" t="n">
        <v>0</v>
      </c>
    </row>
    <row r="17">
      <c r="A17" s="10" t="inlineStr">
        <is>
          <t>POR UF</t>
        </is>
      </c>
    </row>
    <row r="18">
      <c r="A18" s="10" t="inlineStr">
        <is>
          <t>UF</t>
        </is>
      </c>
      <c r="B18" s="10" t="inlineStr">
        <is>
          <t>Qtd</t>
        </is>
      </c>
      <c r="C18" s="10" t="inlineStr">
        <is>
          <t>Realizado</t>
        </is>
      </c>
      <c r="D18" s="10" t="inlineStr">
        <is>
          <t>Potencial</t>
        </is>
      </c>
      <c r="E18" s="10" t="inlineStr">
        <is>
          <t>VERDE</t>
        </is>
      </c>
      <c r="F18" s="10" t="inlineStr">
        <is>
          <t>AMARELO</t>
        </is>
      </c>
      <c r="G18" s="10" t="inlineStr">
        <is>
          <t>VERMELHO</t>
        </is>
      </c>
      <c r="H18" s="10" t="inlineStr">
        <is>
          <t>ROXO</t>
        </is>
      </c>
    </row>
    <row r="19">
      <c r="A19" s="9" t="inlineStr">
        <is>
          <t>SC</t>
        </is>
      </c>
      <c r="B19" s="1" t="n">
        <v>203</v>
      </c>
      <c r="C19" s="4" t="n">
        <v>396870.95</v>
      </c>
      <c r="D19" s="4" t="n">
        <v>1750070.01</v>
      </c>
      <c r="E19" s="1" t="n">
        <v>108</v>
      </c>
      <c r="F19" s="1" t="n">
        <v>19</v>
      </c>
      <c r="G19" s="1" t="n">
        <v>0</v>
      </c>
      <c r="H19" s="1" t="n">
        <v>76</v>
      </c>
    </row>
    <row r="20">
      <c r="A20" s="9" t="inlineStr">
        <is>
          <t>SP</t>
        </is>
      </c>
      <c r="B20" s="1" t="n">
        <v>99</v>
      </c>
      <c r="C20" s="4" t="n">
        <v>320538.29</v>
      </c>
      <c r="D20" s="4" t="n">
        <v>615473.87</v>
      </c>
      <c r="E20" s="1" t="n">
        <v>74</v>
      </c>
      <c r="F20" s="1" t="n">
        <v>10</v>
      </c>
      <c r="G20" s="1" t="n">
        <v>0</v>
      </c>
      <c r="H20" s="1" t="n">
        <v>15</v>
      </c>
    </row>
    <row r="21">
      <c r="A21" s="9" t="inlineStr">
        <is>
          <t>PR</t>
        </is>
      </c>
      <c r="B21" s="1" t="n">
        <v>85</v>
      </c>
      <c r="C21" s="4" t="n">
        <v>308408.1</v>
      </c>
      <c r="D21" s="4" t="n">
        <v>563427.09</v>
      </c>
      <c r="E21" s="1" t="n">
        <v>72</v>
      </c>
      <c r="F21" s="1" t="n">
        <v>5</v>
      </c>
      <c r="G21" s="1" t="n">
        <v>0</v>
      </c>
      <c r="H21" s="1" t="n">
        <v>8</v>
      </c>
    </row>
    <row r="22">
      <c r="A22" s="9" t="inlineStr">
        <is>
          <t>MG</t>
        </is>
      </c>
      <c r="B22" s="1" t="n">
        <v>34</v>
      </c>
      <c r="C22" s="4" t="n">
        <v>152787.93</v>
      </c>
      <c r="D22" s="4" t="n">
        <v>211121.9</v>
      </c>
      <c r="E22" s="1" t="n">
        <v>27</v>
      </c>
      <c r="F22" s="1" t="n">
        <v>3</v>
      </c>
      <c r="G22" s="1" t="n">
        <v>0</v>
      </c>
      <c r="H22" s="1" t="n">
        <v>4</v>
      </c>
    </row>
    <row r="23">
      <c r="A23" s="9" t="inlineStr">
        <is>
          <t>RS</t>
        </is>
      </c>
      <c r="B23" s="1" t="n">
        <v>73</v>
      </c>
      <c r="C23" s="4" t="n">
        <v>125853.27</v>
      </c>
      <c r="D23" s="4" t="n">
        <v>530465.41</v>
      </c>
      <c r="E23" s="1" t="n">
        <v>42</v>
      </c>
      <c r="F23" s="1" t="n">
        <v>4</v>
      </c>
      <c r="G23" s="1" t="n">
        <v>0</v>
      </c>
      <c r="H23" s="1" t="n">
        <v>27</v>
      </c>
    </row>
    <row r="24">
      <c r="A24" s="9" t="inlineStr">
        <is>
          <t>PE</t>
        </is>
      </c>
      <c r="B24" s="1" t="n">
        <v>16</v>
      </c>
      <c r="C24" s="4" t="n">
        <v>123572.49</v>
      </c>
      <c r="D24" s="4" t="n">
        <v>90513.75</v>
      </c>
      <c r="E24" s="1" t="n">
        <v>13</v>
      </c>
      <c r="F24" s="1" t="n">
        <v>2</v>
      </c>
      <c r="G24" s="1" t="n">
        <v>0</v>
      </c>
      <c r="H24" s="1" t="n">
        <v>1</v>
      </c>
    </row>
    <row r="25">
      <c r="A25" s="9" t="inlineStr">
        <is>
          <t>MT</t>
        </is>
      </c>
      <c r="B25" s="1" t="n">
        <v>14</v>
      </c>
      <c r="C25" s="4" t="n">
        <v>121416.34</v>
      </c>
      <c r="D25" s="4" t="n">
        <v>94271.58</v>
      </c>
      <c r="E25" s="1" t="n">
        <v>11</v>
      </c>
      <c r="F25" s="1" t="n">
        <v>0</v>
      </c>
      <c r="G25" s="1" t="n">
        <v>0</v>
      </c>
      <c r="H25" s="1" t="n">
        <v>3</v>
      </c>
    </row>
    <row r="26">
      <c r="A26" s="9" t="inlineStr">
        <is>
          <t>GO</t>
        </is>
      </c>
      <c r="B26" s="1" t="n">
        <v>20</v>
      </c>
      <c r="C26" s="4" t="n">
        <v>80281.33</v>
      </c>
      <c r="D26" s="4" t="n">
        <v>118891.75</v>
      </c>
      <c r="E26" s="1" t="n">
        <v>13</v>
      </c>
      <c r="F26" s="1" t="n">
        <v>4</v>
      </c>
      <c r="G26" s="1" t="n">
        <v>0</v>
      </c>
      <c r="H26" s="1" t="n">
        <v>3</v>
      </c>
    </row>
    <row r="27">
      <c r="A27" s="9" t="inlineStr">
        <is>
          <t>RJ</t>
        </is>
      </c>
      <c r="B27" s="1" t="n">
        <v>30</v>
      </c>
      <c r="C27" s="4" t="n">
        <v>75528.99000000001</v>
      </c>
      <c r="D27" s="4" t="n">
        <v>199206.75</v>
      </c>
      <c r="E27" s="1" t="n">
        <v>18</v>
      </c>
      <c r="F27" s="1" t="n">
        <v>7</v>
      </c>
      <c r="G27" s="1" t="n">
        <v>0</v>
      </c>
      <c r="H27" s="1" t="n">
        <v>5</v>
      </c>
    </row>
    <row r="28">
      <c r="A28" s="9" t="inlineStr">
        <is>
          <t>PA</t>
        </is>
      </c>
      <c r="B28" s="1" t="n">
        <v>13</v>
      </c>
      <c r="C28" s="4" t="n">
        <v>47948.75</v>
      </c>
      <c r="D28" s="4" t="n">
        <v>91572.08</v>
      </c>
      <c r="E28" s="1" t="n">
        <v>7</v>
      </c>
      <c r="F28" s="1" t="n">
        <v>0</v>
      </c>
      <c r="G28" s="1" t="n">
        <v>0</v>
      </c>
      <c r="H28" s="1" t="n">
        <v>6</v>
      </c>
    </row>
    <row r="29">
      <c r="A29" s="9" t="inlineStr">
        <is>
          <t>BA</t>
        </is>
      </c>
      <c r="B29" s="1" t="n">
        <v>17</v>
      </c>
      <c r="C29" s="4" t="n">
        <v>41930.08</v>
      </c>
      <c r="D29" s="4" t="n">
        <v>128061.9</v>
      </c>
      <c r="E29" s="1" t="n">
        <v>10</v>
      </c>
      <c r="F29" s="1" t="n">
        <v>4</v>
      </c>
      <c r="G29" s="1" t="n">
        <v>0</v>
      </c>
      <c r="H29" s="1" t="n">
        <v>3</v>
      </c>
    </row>
    <row r="30">
      <c r="A30" s="9" t="inlineStr">
        <is>
          <t>ES</t>
        </is>
      </c>
      <c r="B30" s="1" t="n">
        <v>9</v>
      </c>
      <c r="C30" s="4" t="n">
        <v>24031.41</v>
      </c>
      <c r="D30" s="4" t="n">
        <v>52440.58</v>
      </c>
      <c r="E30" s="1" t="n">
        <v>6</v>
      </c>
      <c r="F30" s="1" t="n">
        <v>1</v>
      </c>
      <c r="G30" s="1" t="n">
        <v>0</v>
      </c>
      <c r="H30" s="1" t="n">
        <v>2</v>
      </c>
    </row>
    <row r="31">
      <c r="A31" s="9" t="inlineStr">
        <is>
          <t>MA</t>
        </is>
      </c>
      <c r="B31" s="1" t="n">
        <v>10</v>
      </c>
      <c r="C31" s="4" t="n">
        <v>23121.98</v>
      </c>
      <c r="D31" s="4" t="n">
        <v>67574.25</v>
      </c>
      <c r="E31" s="1" t="n">
        <v>5</v>
      </c>
      <c r="F31" s="1" t="n">
        <v>2</v>
      </c>
      <c r="G31" s="1" t="n">
        <v>0</v>
      </c>
      <c r="H31" s="1" t="n">
        <v>3</v>
      </c>
    </row>
    <row r="32">
      <c r="A32" s="9" t="inlineStr">
        <is>
          <t>MS</t>
        </is>
      </c>
      <c r="B32" s="1" t="n">
        <v>5</v>
      </c>
      <c r="C32" s="4" t="n">
        <v>21937.98</v>
      </c>
      <c r="D32" s="4" t="n">
        <v>28077.5</v>
      </c>
      <c r="E32" s="1" t="n">
        <v>5</v>
      </c>
      <c r="F32" s="1" t="n">
        <v>0</v>
      </c>
      <c r="G32" s="1" t="n">
        <v>0</v>
      </c>
      <c r="H32" s="1" t="n">
        <v>0</v>
      </c>
    </row>
    <row r="33">
      <c r="A33" s="9" t="inlineStr">
        <is>
          <t>TO</t>
        </is>
      </c>
      <c r="B33" s="1" t="n">
        <v>6</v>
      </c>
      <c r="C33" s="4" t="n">
        <v>14426.88</v>
      </c>
      <c r="D33" s="4" t="n">
        <v>39893.79</v>
      </c>
      <c r="E33" s="1" t="n">
        <v>3</v>
      </c>
      <c r="F33" s="1" t="n">
        <v>0</v>
      </c>
      <c r="G33" s="1" t="n">
        <v>0</v>
      </c>
      <c r="H33" s="1" t="n">
        <v>3</v>
      </c>
    </row>
    <row r="34">
      <c r="A34" s="9" t="inlineStr">
        <is>
          <t>DF</t>
        </is>
      </c>
      <c r="B34" s="1" t="n">
        <v>8</v>
      </c>
      <c r="C34" s="4" t="n">
        <v>13732.71</v>
      </c>
      <c r="D34" s="4" t="n">
        <v>50139.08</v>
      </c>
      <c r="E34" s="1" t="n">
        <v>3</v>
      </c>
      <c r="F34" s="1" t="n">
        <v>1</v>
      </c>
      <c r="G34" s="1" t="n">
        <v>0</v>
      </c>
      <c r="H34" s="1" t="n">
        <v>4</v>
      </c>
    </row>
    <row r="35">
      <c r="A35" s="9" t="inlineStr">
        <is>
          <t>PI</t>
        </is>
      </c>
      <c r="B35" s="1" t="n">
        <v>6</v>
      </c>
      <c r="C35" s="4" t="n">
        <v>7446.5</v>
      </c>
      <c r="D35" s="4" t="n">
        <v>44034.65</v>
      </c>
      <c r="E35" s="1" t="n">
        <v>4</v>
      </c>
      <c r="F35" s="1" t="n">
        <v>0</v>
      </c>
      <c r="G35" s="1" t="n">
        <v>0</v>
      </c>
      <c r="H35" s="1" t="n">
        <v>2</v>
      </c>
    </row>
    <row r="36">
      <c r="A36" s="9" t="inlineStr">
        <is>
          <t>RO</t>
        </is>
      </c>
      <c r="B36" s="1" t="n">
        <v>2</v>
      </c>
      <c r="C36" s="4" t="n">
        <v>4066.48</v>
      </c>
      <c r="D36" s="4" t="n">
        <v>15815.5</v>
      </c>
      <c r="E36" s="1" t="n">
        <v>1</v>
      </c>
      <c r="F36" s="1" t="n">
        <v>1</v>
      </c>
      <c r="G36" s="1" t="n">
        <v>0</v>
      </c>
      <c r="H36" s="1" t="n">
        <v>0</v>
      </c>
    </row>
    <row r="37">
      <c r="A37" s="9" t="inlineStr">
        <is>
          <t>RN</t>
        </is>
      </c>
      <c r="B37" s="1" t="n">
        <v>2</v>
      </c>
      <c r="C37" s="4" t="n">
        <v>3423.01</v>
      </c>
      <c r="D37" s="4" t="n">
        <v>11231</v>
      </c>
      <c r="E37" s="1" t="n">
        <v>1</v>
      </c>
      <c r="F37" s="1" t="n">
        <v>1</v>
      </c>
      <c r="G37" s="1" t="n">
        <v>0</v>
      </c>
      <c r="H37" s="1" t="n">
        <v>0</v>
      </c>
    </row>
    <row r="38">
      <c r="A38" s="9" t="inlineStr">
        <is>
          <t>AL</t>
        </is>
      </c>
      <c r="B38" s="1" t="n">
        <v>1</v>
      </c>
      <c r="C38" s="4" t="n">
        <v>2956.02</v>
      </c>
      <c r="D38" s="4" t="n">
        <v>5615.5</v>
      </c>
      <c r="E38" s="1" t="n">
        <v>0</v>
      </c>
      <c r="F38" s="1" t="n">
        <v>1</v>
      </c>
      <c r="G38" s="1" t="n">
        <v>0</v>
      </c>
      <c r="H38" s="1" t="n">
        <v>0</v>
      </c>
    </row>
    <row r="39">
      <c r="A39" s="9" t="inlineStr">
        <is>
          <t>CE</t>
        </is>
      </c>
      <c r="B39" s="1" t="n">
        <v>2</v>
      </c>
      <c r="C39" s="4" t="n">
        <v>1526.05</v>
      </c>
      <c r="D39" s="4" t="n">
        <v>16490.5</v>
      </c>
      <c r="E39" s="1" t="n">
        <v>1</v>
      </c>
      <c r="F39" s="1" t="n">
        <v>0</v>
      </c>
      <c r="G39" s="1" t="n">
        <v>0</v>
      </c>
      <c r="H39" s="1" t="n">
        <v>1</v>
      </c>
    </row>
    <row r="40">
      <c r="A40" s="9" t="inlineStr">
        <is>
          <t>PB</t>
        </is>
      </c>
      <c r="B40" s="1" t="n">
        <v>3</v>
      </c>
      <c r="C40" s="4" t="n">
        <v>1487.8</v>
      </c>
      <c r="D40" s="4" t="n">
        <v>17797.04</v>
      </c>
      <c r="E40" s="1" t="n">
        <v>2</v>
      </c>
      <c r="F40" s="1" t="n">
        <v>0</v>
      </c>
      <c r="G40" s="1" t="n">
        <v>0</v>
      </c>
      <c r="H40" s="1" t="n">
        <v>1</v>
      </c>
    </row>
    <row r="41">
      <c r="A41" s="9" t="inlineStr">
        <is>
          <t>RR</t>
        </is>
      </c>
      <c r="B41" s="1" t="n">
        <v>1</v>
      </c>
      <c r="C41" s="4" t="n">
        <v>1452.4</v>
      </c>
      <c r="D41" s="4" t="n">
        <v>6566.04</v>
      </c>
      <c r="E41" s="1" t="n">
        <v>1</v>
      </c>
      <c r="F41" s="1" t="n">
        <v>0</v>
      </c>
      <c r="G41" s="1" t="n">
        <v>0</v>
      </c>
      <c r="H41" s="1" t="n">
        <v>0</v>
      </c>
    </row>
    <row r="42">
      <c r="A42" s="9" t="inlineStr">
        <is>
          <t>AM</t>
        </is>
      </c>
      <c r="B42" s="1" t="n">
        <v>2</v>
      </c>
      <c r="C42" s="4" t="n">
        <v>0</v>
      </c>
      <c r="D42" s="4" t="n">
        <v>12847.29</v>
      </c>
      <c r="E42" s="1" t="n">
        <v>0</v>
      </c>
      <c r="F42" s="1" t="n">
        <v>0</v>
      </c>
      <c r="G42" s="1" t="n">
        <v>0</v>
      </c>
      <c r="H42" s="1" t="n">
        <v>2</v>
      </c>
    </row>
    <row r="44">
      <c r="A44" s="10" t="inlineStr">
        <is>
          <t>POR CONSULTOR</t>
        </is>
      </c>
    </row>
    <row r="45">
      <c r="A45" s="10" t="inlineStr">
        <is>
          <t>Consultor</t>
        </is>
      </c>
      <c r="B45" s="10" t="inlineStr">
        <is>
          <t>Território</t>
        </is>
      </c>
      <c r="C45" s="10" t="inlineStr">
        <is>
          <t>Clientes</t>
        </is>
      </c>
      <c r="D45" s="10" t="inlineStr">
        <is>
          <t>Realizado</t>
        </is>
      </c>
      <c r="E45" s="10" t="inlineStr">
        <is>
          <t>Potencial</t>
        </is>
      </c>
      <c r="F45" s="10" t="inlineStr">
        <is>
          <t>VERDE</t>
        </is>
      </c>
      <c r="G45" s="10" t="inlineStr">
        <is>
          <t>AMARELO</t>
        </is>
      </c>
      <c r="H45" s="10" t="inlineStr">
        <is>
          <t>VERMELHO</t>
        </is>
      </c>
      <c r="I45" s="10" t="inlineStr">
        <is>
          <t>ROXO</t>
        </is>
      </c>
      <c r="J45" s="10" t="inlineStr">
        <is>
          <t>SAP</t>
        </is>
      </c>
      <c r="K45" s="10" t="inlineStr">
        <is>
          <t>Regra</t>
        </is>
      </c>
    </row>
    <row r="46">
      <c r="A46" s="9" t="inlineStr">
        <is>
          <t>HEMANUELE DITZEL (MANU)</t>
        </is>
      </c>
      <c r="B46" s="9" t="inlineStr">
        <is>
          <t>SC/PR/RS</t>
        </is>
      </c>
      <c r="C46" s="1" t="n">
        <v>205</v>
      </c>
      <c r="D46" s="4" t="n">
        <v>660892.54</v>
      </c>
      <c r="E46" s="4" t="n">
        <v>1252938.64</v>
      </c>
      <c r="F46" s="1" t="n">
        <v>157</v>
      </c>
      <c r="G46" s="1" t="n">
        <v>18</v>
      </c>
      <c r="H46" s="1" t="n">
        <v>0</v>
      </c>
      <c r="I46" s="1" t="n">
        <v>30</v>
      </c>
      <c r="J46" s="1" t="n">
        <v>183</v>
      </c>
      <c r="K46" s="1" t="n">
        <v>22</v>
      </c>
    </row>
    <row r="47">
      <c r="A47" s="9" t="inlineStr">
        <is>
          <t>LARISSA PADILHA</t>
        </is>
      </c>
      <c r="B47" s="9" t="inlineStr">
        <is>
          <t>Restante Brasil</t>
        </is>
      </c>
      <c r="C47" s="1" t="n">
        <v>224</v>
      </c>
      <c r="D47" s="4" t="n">
        <v>944816.3199999999</v>
      </c>
      <c r="E47" s="4" t="n">
        <v>1301035.95</v>
      </c>
      <c r="F47" s="1" t="n">
        <v>164</v>
      </c>
      <c r="G47" s="1" t="n">
        <v>34</v>
      </c>
      <c r="H47" s="1" t="n">
        <v>0</v>
      </c>
      <c r="I47" s="1" t="n">
        <v>26</v>
      </c>
      <c r="J47" s="1" t="n">
        <v>199</v>
      </c>
      <c r="K47" s="1" t="n">
        <v>25</v>
      </c>
    </row>
    <row r="48">
      <c r="A48" s="9" t="inlineStr">
        <is>
          <t>JULIO GADRET</t>
        </is>
      </c>
      <c r="B48" s="9" t="inlineStr">
        <is>
          <t>CIA da Saúde + FitLand</t>
        </is>
      </c>
      <c r="C48" s="1" t="n">
        <v>142</v>
      </c>
      <c r="D48" s="4" t="n">
        <v>197336.25</v>
      </c>
      <c r="E48" s="4" t="n">
        <v>1452883.24</v>
      </c>
      <c r="F48" s="1" t="n">
        <v>64</v>
      </c>
      <c r="G48" s="1" t="n">
        <v>11</v>
      </c>
      <c r="H48" s="1" t="n">
        <v>0</v>
      </c>
      <c r="I48" s="1" t="n">
        <v>67</v>
      </c>
      <c r="J48" s="1" t="n">
        <v>105</v>
      </c>
      <c r="K48" s="1" t="n">
        <v>37</v>
      </c>
    </row>
    <row r="49">
      <c r="A49" s="9" t="inlineStr">
        <is>
          <t>DAIANE STAVICKI</t>
        </is>
      </c>
      <c r="B49" s="9" t="inlineStr">
        <is>
          <t>Redes &amp; Franquias</t>
        </is>
      </c>
      <c r="C49" s="1" t="n">
        <v>90</v>
      </c>
      <c r="D49" s="4" t="n">
        <v>111700.63</v>
      </c>
      <c r="E49" s="4" t="n">
        <v>754740.98</v>
      </c>
      <c r="F49" s="1" t="n">
        <v>42</v>
      </c>
      <c r="G49" s="1" t="n">
        <v>2</v>
      </c>
      <c r="H49" s="1" t="n">
        <v>0</v>
      </c>
      <c r="I49" s="1" t="n">
        <v>46</v>
      </c>
      <c r="J49" s="1" t="n">
        <v>0</v>
      </c>
      <c r="K49" s="1" t="n">
        <v>90</v>
      </c>
    </row>
    <row r="51">
      <c r="A51" s="10" t="inlineStr">
        <is>
          <t>POR REDE</t>
        </is>
      </c>
    </row>
    <row r="52">
      <c r="A52" s="10" t="inlineStr">
        <is>
          <t>Rede</t>
        </is>
      </c>
      <c r="B52" s="10" t="inlineStr">
        <is>
          <t>Clientes</t>
        </is>
      </c>
      <c r="C52" s="10" t="inlineStr">
        <is>
          <t>Realizado</t>
        </is>
      </c>
      <c r="D52" s="10" t="inlineStr">
        <is>
          <t>Potencial</t>
        </is>
      </c>
      <c r="E52" s="10" t="inlineStr">
        <is>
          <t>VERDE</t>
        </is>
      </c>
      <c r="F52" s="10" t="inlineStr">
        <is>
          <t>AMARELO</t>
        </is>
      </c>
      <c r="G52" s="10" t="inlineStr">
        <is>
          <t>VERMELHO</t>
        </is>
      </c>
      <c r="H52" s="10" t="inlineStr">
        <is>
          <t>ROXO</t>
        </is>
      </c>
    </row>
    <row r="53">
      <c r="A53" s="9" t="inlineStr">
        <is>
          <t>SEM REDE</t>
        </is>
      </c>
      <c r="B53" s="1" t="n">
        <v>389</v>
      </c>
      <c r="C53" s="4" t="n">
        <v>1560654.87</v>
      </c>
      <c r="D53" s="4" t="n">
        <v>2187598.5</v>
      </c>
      <c r="E53" s="1" t="n">
        <v>312</v>
      </c>
      <c r="F53" s="1" t="n">
        <v>56</v>
      </c>
      <c r="G53" s="1" t="n">
        <v>0</v>
      </c>
      <c r="H53" s="1" t="n">
        <v>21</v>
      </c>
    </row>
    <row r="54">
      <c r="A54" s="9" t="inlineStr">
        <is>
          <t>FITLAND</t>
        </is>
      </c>
      <c r="B54" s="1" t="n">
        <v>58</v>
      </c>
      <c r="C54" s="4" t="n">
        <v>129226.13</v>
      </c>
      <c r="D54" s="4" t="n">
        <v>621000.2</v>
      </c>
      <c r="E54" s="1" t="n">
        <v>40</v>
      </c>
      <c r="F54" s="1" t="n">
        <v>4</v>
      </c>
      <c r="G54" s="1" t="n">
        <v>0</v>
      </c>
      <c r="H54" s="1" t="n">
        <v>14</v>
      </c>
    </row>
    <row r="55">
      <c r="A55" s="9" t="inlineStr">
        <is>
          <t>VIDA LEVE</t>
        </is>
      </c>
      <c r="B55" s="1" t="n">
        <v>35</v>
      </c>
      <c r="C55" s="4" t="n">
        <v>39481.86</v>
      </c>
      <c r="D55" s="4" t="n">
        <v>357000</v>
      </c>
      <c r="E55" s="1" t="n">
        <v>23</v>
      </c>
      <c r="F55" s="1" t="n">
        <v>1</v>
      </c>
      <c r="G55" s="1" t="n">
        <v>0</v>
      </c>
      <c r="H55" s="1" t="n">
        <v>11</v>
      </c>
    </row>
    <row r="56">
      <c r="A56" s="9" t="inlineStr">
        <is>
          <t>CIA DA SAUDE</t>
        </is>
      </c>
      <c r="B56" s="1" t="n">
        <v>72</v>
      </c>
      <c r="C56" s="4" t="n">
        <v>36465.62</v>
      </c>
      <c r="D56" s="4" t="n">
        <v>783000</v>
      </c>
      <c r="E56" s="1" t="n">
        <v>19</v>
      </c>
      <c r="F56" s="1" t="n">
        <v>0</v>
      </c>
      <c r="G56" s="1" t="n">
        <v>0</v>
      </c>
      <c r="H56" s="1" t="n">
        <v>53</v>
      </c>
    </row>
    <row r="57">
      <c r="A57" s="9" t="inlineStr">
        <is>
          <t>NATURVIDA</t>
        </is>
      </c>
      <c r="B57" s="1" t="n">
        <v>3</v>
      </c>
      <c r="C57" s="4" t="n">
        <v>26946.46</v>
      </c>
      <c r="D57" s="4" t="n">
        <v>36000</v>
      </c>
      <c r="E57" s="1" t="n">
        <v>2</v>
      </c>
      <c r="F57" s="1" t="n">
        <v>1</v>
      </c>
      <c r="G57" s="1" t="n">
        <v>0</v>
      </c>
      <c r="H57" s="1" t="n">
        <v>0</v>
      </c>
    </row>
    <row r="58">
      <c r="A58" s="9" t="inlineStr">
        <is>
          <t>ESMERALDA</t>
        </is>
      </c>
      <c r="B58" s="1" t="n">
        <v>7</v>
      </c>
      <c r="C58" s="4" t="n">
        <v>23591.66</v>
      </c>
      <c r="D58" s="4" t="n">
        <v>36000.02</v>
      </c>
      <c r="E58" s="1" t="n">
        <v>7</v>
      </c>
      <c r="F58" s="1" t="n">
        <v>0</v>
      </c>
      <c r="G58" s="1" t="n">
        <v>0</v>
      </c>
      <c r="H58" s="1" t="n">
        <v>0</v>
      </c>
    </row>
    <row r="59">
      <c r="A59" s="9" t="inlineStr">
        <is>
          <t>DIVINA TERRA</t>
        </is>
      </c>
      <c r="B59" s="1" t="n">
        <v>53</v>
      </c>
      <c r="C59" s="4" t="n">
        <v>21903.78</v>
      </c>
      <c r="D59" s="4" t="n">
        <v>348000.12</v>
      </c>
      <c r="E59" s="1" t="n">
        <v>12</v>
      </c>
      <c r="F59" s="1" t="n">
        <v>0</v>
      </c>
      <c r="G59" s="1" t="n">
        <v>0</v>
      </c>
      <c r="H59" s="1" t="n">
        <v>41</v>
      </c>
    </row>
    <row r="60">
      <c r="A60" s="9" t="inlineStr">
        <is>
          <t>MERCOCENTRO</t>
        </is>
      </c>
      <c r="B60" s="1" t="n">
        <v>2</v>
      </c>
      <c r="C60" s="4" t="n">
        <v>16524.54</v>
      </c>
      <c r="D60" s="4" t="n">
        <v>18000</v>
      </c>
      <c r="E60" s="1" t="n">
        <v>1</v>
      </c>
      <c r="F60" s="1" t="n">
        <v>0</v>
      </c>
      <c r="G60" s="1" t="n">
        <v>0</v>
      </c>
      <c r="H60" s="1" t="n">
        <v>1</v>
      </c>
    </row>
    <row r="61">
      <c r="A61" s="9" t="inlineStr">
        <is>
          <t>MUNDO VERDE</t>
        </is>
      </c>
      <c r="B61" s="1" t="n">
        <v>5</v>
      </c>
      <c r="C61" s="4" t="n">
        <v>14781.05</v>
      </c>
      <c r="D61" s="4" t="n">
        <v>58500</v>
      </c>
      <c r="E61" s="1" t="n">
        <v>3</v>
      </c>
      <c r="F61" s="1" t="n">
        <v>1</v>
      </c>
      <c r="G61" s="1" t="n">
        <v>0</v>
      </c>
      <c r="H61" s="1" t="n">
        <v>1</v>
      </c>
    </row>
    <row r="62">
      <c r="A62" s="9" t="inlineStr">
        <is>
          <t>BIO MUNDO</t>
        </is>
      </c>
      <c r="B62" s="1" t="n">
        <v>16</v>
      </c>
      <c r="C62" s="4" t="n">
        <v>11912.16</v>
      </c>
      <c r="D62" s="4" t="n">
        <v>100500</v>
      </c>
      <c r="E62" s="1" t="n">
        <v>3</v>
      </c>
      <c r="F62" s="1" t="n">
        <v>1</v>
      </c>
      <c r="G62" s="1" t="n">
        <v>0</v>
      </c>
      <c r="H62" s="1" t="n">
        <v>12</v>
      </c>
    </row>
    <row r="63">
      <c r="A63" s="9" t="inlineStr">
        <is>
          <t>TRIP</t>
        </is>
      </c>
      <c r="B63" s="1" t="n">
        <v>2</v>
      </c>
      <c r="C63" s="4" t="n">
        <v>11262.54</v>
      </c>
      <c r="D63" s="4" t="n">
        <v>18000</v>
      </c>
      <c r="E63" s="1" t="n">
        <v>1</v>
      </c>
      <c r="F63" s="1" t="n">
        <v>1</v>
      </c>
      <c r="G63" s="1" t="n">
        <v>0</v>
      </c>
      <c r="H63" s="1" t="n">
        <v>0</v>
      </c>
    </row>
    <row r="64">
      <c r="A64" s="9" t="inlineStr">
        <is>
          <t>TUDO EM GRAOS</t>
        </is>
      </c>
      <c r="B64" s="1" t="n">
        <v>9</v>
      </c>
      <c r="C64" s="4" t="n">
        <v>8315.620000000001</v>
      </c>
      <c r="D64" s="4" t="n">
        <v>79499.97</v>
      </c>
      <c r="E64" s="1" t="n">
        <v>2</v>
      </c>
      <c r="F64" s="1" t="n">
        <v>0</v>
      </c>
      <c r="G64" s="1" t="n">
        <v>0</v>
      </c>
      <c r="H64" s="1" t="n">
        <v>7</v>
      </c>
    </row>
    <row r="65">
      <c r="A65" s="9" t="inlineStr">
        <is>
          <t>MAIS NATURAL</t>
        </is>
      </c>
      <c r="B65" s="1" t="n">
        <v>1</v>
      </c>
      <c r="C65" s="4" t="n">
        <v>7477.91</v>
      </c>
      <c r="D65" s="4" t="n">
        <v>28500</v>
      </c>
      <c r="E65" s="1" t="n">
        <v>1</v>
      </c>
      <c r="F65" s="1" t="n">
        <v>0</v>
      </c>
      <c r="G65" s="1" t="n">
        <v>0</v>
      </c>
      <c r="H65" s="1" t="n">
        <v>0</v>
      </c>
    </row>
    <row r="66">
      <c r="A66" s="9" t="inlineStr">
        <is>
          <t>LIGEIRINHO</t>
        </is>
      </c>
      <c r="B66" s="1" t="n">
        <v>3</v>
      </c>
      <c r="C66" s="4" t="n">
        <v>6201.54</v>
      </c>
      <c r="D66" s="4" t="n">
        <v>18000</v>
      </c>
      <c r="E66" s="1" t="n">
        <v>1</v>
      </c>
      <c r="F66" s="1" t="n">
        <v>0</v>
      </c>
      <c r="G66" s="1" t="n">
        <v>0</v>
      </c>
      <c r="H66" s="1" t="n">
        <v>2</v>
      </c>
    </row>
    <row r="67">
      <c r="A67" s="9" t="inlineStr">
        <is>
          <t>ARMAZEM FIT STORE</t>
        </is>
      </c>
      <c r="B67" s="1" t="n">
        <v>5</v>
      </c>
      <c r="C67" s="4" t="n">
        <v>0</v>
      </c>
      <c r="D67" s="4" t="n">
        <v>36000</v>
      </c>
      <c r="E67" s="1" t="n">
        <v>0</v>
      </c>
      <c r="F67" s="1" t="n">
        <v>0</v>
      </c>
      <c r="G67" s="1" t="n">
        <v>0</v>
      </c>
      <c r="H67" s="1" t="n">
        <v>5</v>
      </c>
    </row>
    <row r="68">
      <c r="A68" s="9" t="inlineStr">
        <is>
          <t>JARDIM DAS ERVAS</t>
        </is>
      </c>
      <c r="B68" s="1" t="n">
        <v>1</v>
      </c>
      <c r="C68" s="4" t="n">
        <v>0</v>
      </c>
      <c r="D68" s="4" t="n">
        <v>36000</v>
      </c>
      <c r="E68" s="1" t="n">
        <v>0</v>
      </c>
      <c r="F68" s="1" t="n">
        <v>0</v>
      </c>
      <c r="G68" s="1" t="n">
        <v>0</v>
      </c>
      <c r="H68" s="1" t="n">
        <v>1</v>
      </c>
    </row>
    <row r="70">
      <c r="A70" s="10" t="inlineStr">
        <is>
          <t>POSITIVAÇÃO MENSAL (REAL SAP)</t>
        </is>
      </c>
    </row>
    <row r="71">
      <c r="A71" s="10" t="inlineStr">
        <is>
          <t>Mês</t>
        </is>
      </c>
      <c r="B71" s="10" t="inlineStr">
        <is>
          <t>JAN</t>
        </is>
      </c>
      <c r="C71" s="10" t="inlineStr">
        <is>
          <t>FEV</t>
        </is>
      </c>
      <c r="D71" s="10" t="inlineStr">
        <is>
          <t>MAR</t>
        </is>
      </c>
      <c r="E71" s="10" t="inlineStr">
        <is>
          <t>ABR</t>
        </is>
      </c>
      <c r="F71" s="10" t="inlineStr">
        <is>
          <t>MAI</t>
        </is>
      </c>
      <c r="G71" s="10" t="inlineStr">
        <is>
          <t>JUN</t>
        </is>
      </c>
      <c r="H71" s="10" t="inlineStr">
        <is>
          <t>JUL</t>
        </is>
      </c>
      <c r="I71" s="10" t="inlineStr">
        <is>
          <t>AGO</t>
        </is>
      </c>
      <c r="J71" s="10" t="inlineStr">
        <is>
          <t>SET</t>
        </is>
      </c>
      <c r="K71" s="10" t="inlineStr">
        <is>
          <t>OUT</t>
        </is>
      </c>
      <c r="L71" s="10" t="inlineStr">
        <is>
          <t>NOV</t>
        </is>
      </c>
      <c r="M71" s="10" t="inlineStr">
        <is>
          <t>DEZ</t>
        </is>
      </c>
    </row>
    <row r="72">
      <c r="A72" s="9" t="inlineStr">
        <is>
          <t>Clientes Positivados</t>
        </is>
      </c>
      <c r="B72" s="1" t="n">
        <v>385</v>
      </c>
      <c r="C72" s="1" t="n">
        <v>401</v>
      </c>
      <c r="D72" s="1" t="n">
        <v>409</v>
      </c>
      <c r="E72" s="1" t="n">
        <v>417</v>
      </c>
      <c r="F72" s="1" t="n">
        <v>428</v>
      </c>
      <c r="G72" s="1" t="n">
        <v>437</v>
      </c>
      <c r="H72" s="1" t="n">
        <v>453</v>
      </c>
      <c r="I72" s="1" t="n">
        <v>462</v>
      </c>
      <c r="J72" s="1" t="n">
        <v>470</v>
      </c>
      <c r="K72" s="1" t="n">
        <v>480</v>
      </c>
      <c r="L72" s="1" t="n">
        <v>490</v>
      </c>
      <c r="M72" s="1" t="n">
        <v>506</v>
      </c>
    </row>
    <row r="74">
      <c r="A74" s="10" t="inlineStr">
        <is>
          <t>CLIENTES SEM ATENDIMENTO</t>
        </is>
      </c>
      <c r="C74" s="1" t="n">
        <v>1097</v>
      </c>
    </row>
    <row r="76">
      <c r="A76" s="10" t="inlineStr">
        <is>
          <t>BALIZADOR META</t>
        </is>
      </c>
    </row>
    <row r="77">
      <c r="B77" s="10" t="inlineStr">
        <is>
          <t>Pedido Mín.</t>
        </is>
      </c>
      <c r="C77" s="10" t="inlineStr">
        <is>
          <t>Novo</t>
        </is>
      </c>
      <c r="D77" s="10" t="inlineStr">
        <is>
          <t>Maduro</t>
        </is>
      </c>
      <c r="E77" s="10" t="inlineStr">
        <is>
          <t>Crescimento</t>
        </is>
      </c>
    </row>
    <row r="78">
      <c r="A78" s="9" t="inlineStr">
        <is>
          <t>GRUPO-CHAVE</t>
        </is>
      </c>
      <c r="B78" s="4" t="n">
        <v>1500</v>
      </c>
      <c r="C78" s="6" t="n">
        <v>0.2</v>
      </c>
      <c r="D78" s="6" t="n">
        <v>0.05</v>
      </c>
      <c r="E78" s="6" t="n">
        <v>0.1</v>
      </c>
    </row>
    <row r="79">
      <c r="A79" s="9" t="inlineStr">
        <is>
          <t>SEM GRUPO</t>
        </is>
      </c>
      <c r="B79" s="4" t="n">
        <v>600</v>
      </c>
      <c r="C79" s="6" t="n">
        <v>0.2</v>
      </c>
      <c r="D79" s="6" t="n">
        <v>0.05</v>
      </c>
      <c r="E79" s="6" t="n">
        <v>0.1</v>
      </c>
    </row>
    <row r="82">
      <c r="A82" s="10" t="inlineStr">
        <is>
          <t>CONFIABILIDADE DOS DADOS</t>
        </is>
      </c>
    </row>
    <row r="83">
      <c r="A83" s="10" t="inlineStr">
        <is>
          <t>Métrica</t>
        </is>
      </c>
      <c r="B83" s="10" t="inlineStr">
        <is>
          <t>Fonte</t>
        </is>
      </c>
      <c r="C83" s="10" t="inlineStr">
        <is>
          <t>Cobertura</t>
        </is>
      </c>
      <c r="D83" s="10" t="inlineStr">
        <is>
          <t>Nota</t>
        </is>
      </c>
    </row>
    <row r="84">
      <c r="A84" s="9" t="inlineStr">
        <is>
          <t>Faturamento (col.66 Carteira SAP)</t>
        </is>
      </c>
      <c r="B84" s="9" t="inlineStr">
        <is>
          <t>SAP Carteira INTERNO</t>
        </is>
      </c>
      <c r="C84" s="9" t="inlineStr">
        <is>
          <t>661/661 (100%)</t>
        </is>
      </c>
      <c r="D84" s="9" t="inlineStr">
        <is>
          <t>10/10</t>
        </is>
      </c>
    </row>
    <row r="85">
      <c r="A85" s="9" t="inlineStr">
        <is>
          <t>Potencial = META 2026 ÷ nº cl/grupo</t>
        </is>
      </c>
      <c r="B85" s="9" t="inlineStr">
        <is>
          <t>SAP META Faturamento</t>
        </is>
      </c>
      <c r="C85" s="9" t="inlineStr">
        <is>
          <t>659/661 (99.7%)</t>
        </is>
      </c>
      <c r="D85" s="9" t="inlineStr">
        <is>
          <t>8/10</t>
        </is>
      </c>
    </row>
    <row r="86">
      <c r="A86" s="9" t="inlineStr">
        <is>
          <t>Sinaleiro = Fat ÷ Potencial</t>
        </is>
      </c>
      <c r="B86" s="9" t="inlineStr">
        <is>
          <t>Derivado das 2 fontes acima</t>
        </is>
      </c>
      <c r="C86" s="9" t="inlineStr">
        <is>
          <t>661/661</t>
        </is>
      </c>
      <c r="D86" s="9" t="inlineStr">
        <is>
          <t>8/10</t>
        </is>
      </c>
    </row>
    <row r="87">
      <c r="A87" s="9" t="inlineStr">
        <is>
          <t>Consultor (SAP direto: ZV+ZR+LG)</t>
        </is>
      </c>
      <c r="B87" s="9" t="inlineStr">
        <is>
          <t>SAP Carteira cols 43/47</t>
        </is>
      </c>
      <c r="C87" s="9" t="inlineStr">
        <is>
          <t>487/661 (74%)</t>
        </is>
      </c>
      <c r="D87" s="9" t="inlineStr">
        <is>
          <t>10/10</t>
        </is>
      </c>
    </row>
    <row r="88">
      <c r="A88" s="9" t="inlineStr">
        <is>
          <t>Consultor (regra território/rede)</t>
        </is>
      </c>
      <c r="B88" s="9" t="inlineStr">
        <is>
          <t>Rede→JULIO/DAIANE, UF→MANU/LARISSA</t>
        </is>
      </c>
      <c r="C88" s="9" t="inlineStr">
        <is>
          <t>174/661 (26%)</t>
        </is>
      </c>
      <c r="D88" s="9" t="inlineStr">
        <is>
          <t>7/10</t>
        </is>
      </c>
    </row>
    <row r="89">
      <c r="A89" s="9" t="inlineStr">
        <is>
          <t>FAT SAP 2025 mensal</t>
        </is>
      </c>
      <c r="B89" s="9" t="inlineStr">
        <is>
          <t>SAP META Resumo</t>
        </is>
      </c>
      <c r="C89" s="9" t="inlineStr">
        <is>
          <t>10/12 meses (Nov+Dez=0)</t>
        </is>
      </c>
      <c r="D89" s="9" t="inlineStr">
        <is>
          <t>10/10</t>
        </is>
      </c>
    </row>
    <row r="90">
      <c r="A90" s="9" t="inlineStr">
        <is>
          <t>META 2026 mensal</t>
        </is>
      </c>
      <c r="B90" s="9" t="inlineStr">
        <is>
          <t>SAP META Faturamento</t>
        </is>
      </c>
      <c r="C90" s="9" t="inlineStr">
        <is>
          <t>R$4.747.200 (12 meses)</t>
        </is>
      </c>
      <c r="D90" s="9" t="inlineStr">
        <is>
          <t>10/10</t>
        </is>
      </c>
    </row>
    <row r="91">
      <c r="A91" s="9" t="inlineStr">
        <is>
          <t>Venda M/M 2025 (Mercos)</t>
        </is>
      </c>
      <c r="B91" s="9" t="inlineStr">
        <is>
          <t>Relatórios mensais separados</t>
        </is>
      </c>
      <c r="C91" s="9" t="inlineStr">
        <is>
          <t>12/12 meses</t>
        </is>
      </c>
      <c r="D91" s="9" t="inlineStr">
        <is>
          <t>10/10</t>
        </is>
      </c>
    </row>
    <row r="92">
      <c r="A92" s="9" t="inlineStr">
        <is>
          <t>Positivação</t>
        </is>
      </c>
      <c r="B92" s="9" t="inlineStr">
        <is>
          <t>SAP META Positivação</t>
        </is>
      </c>
      <c r="C92" s="9" t="inlineStr">
        <is>
          <t>385→506 (12 meses)</t>
        </is>
      </c>
      <c r="D92" s="9" t="inlineStr">
        <is>
          <t>10/10</t>
        </is>
      </c>
    </row>
    <row r="94">
      <c r="A94" s="10" t="inlineStr">
        <is>
          <t>NOTAS IMPORTANTES</t>
        </is>
      </c>
    </row>
    <row r="95">
      <c r="A95" s="9" t="inlineStr">
        <is>
          <t>FAT SAP (R$1.5M) ≠ Venda M/M (R$4.3M): fontes SAP vs Mercos com filtros diferentes</t>
        </is>
      </c>
    </row>
    <row r="96">
      <c r="A96" s="9" t="inlineStr">
        <is>
          <t>Potencial é META 2026 do grupo ÷ nº clientes no grupo (distribuição uniforme)</t>
        </is>
      </c>
    </row>
    <row r="97">
      <c r="A97" s="9" t="inlineStr">
        <is>
          <t>2 clientes sem grupo no META usam Balizador R$7.200/ano como fallback</t>
        </is>
      </c>
    </row>
    <row r="98">
      <c r="A98" s="9" t="inlineStr">
        <is>
          <t>DAIANE: 90 cl todos por regra de rede (SAP não tem campo ZR/ZV para redes)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M18"/>
  <sheetViews>
    <sheetView showGridLines="0" zoomScale="85" zoomScaleNormal="85" workbookViewId="0">
      <selection activeCell="B47" sqref="B47"/>
    </sheetView>
  </sheetViews>
  <sheetFormatPr baseColWidth="8" defaultColWidth="9.42578125" defaultRowHeight="15" customHeight="1"/>
  <cols>
    <col width="4" customWidth="1" min="1" max="1"/>
    <col width="30" customWidth="1" min="2" max="2"/>
    <col width="14" customWidth="1" min="3" max="3"/>
    <col width="4" customWidth="1" min="4" max="4"/>
    <col width="10" customWidth="1" min="5" max="9"/>
    <col width="4" customWidth="1" min="10" max="10"/>
    <col width="22" customWidth="1" min="11" max="11"/>
    <col width="8" customWidth="1" min="12" max="13"/>
  </cols>
  <sheetData>
    <row r="1">
      <c r="A1" s="10" t="inlineStr">
        <is>
          <t>HISTÓRICO SINALEIRO INTERNO</t>
        </is>
      </c>
    </row>
    <row r="3">
      <c r="B3" s="10" t="inlineStr">
        <is>
          <t>TRIMESTRE</t>
        </is>
      </c>
      <c r="E3" s="10" t="inlineStr">
        <is>
          <t>JAN/2026</t>
        </is>
      </c>
      <c r="K3" s="10" t="inlineStr">
        <is>
          <t>STATUS MATURIDADE</t>
        </is>
      </c>
    </row>
    <row r="4">
      <c r="B4" s="10" t="inlineStr">
        <is>
          <t>SINALEIRO</t>
        </is>
      </c>
      <c r="E4" s="10" t="inlineStr">
        <is>
          <t>VERDE</t>
        </is>
      </c>
      <c r="F4" s="10" t="inlineStr">
        <is>
          <t>AMARELO</t>
        </is>
      </c>
      <c r="G4" s="10" t="inlineStr">
        <is>
          <t>VERMELHO</t>
        </is>
      </c>
      <c r="H4" s="10" t="inlineStr">
        <is>
          <t>ROXO</t>
        </is>
      </c>
      <c r="K4" s="10" t="inlineStr">
        <is>
          <t>STATUS</t>
        </is>
      </c>
      <c r="L4" s="10" t="inlineStr">
        <is>
          <t>QTD</t>
        </is>
      </c>
      <c r="M4" s="10" t="inlineStr">
        <is>
          <t>%</t>
        </is>
      </c>
    </row>
    <row r="5">
      <c r="B5" s="10" t="inlineStr">
        <is>
          <t>LIMITES</t>
        </is>
      </c>
      <c r="E5" s="6" t="n">
        <v>0.6</v>
      </c>
      <c r="F5" s="6" t="n">
        <v>0.4</v>
      </c>
      <c r="G5" s="6" t="n">
        <v>0.01</v>
      </c>
      <c r="H5" s="6" t="n">
        <v>0</v>
      </c>
      <c r="K5" s="9" t="inlineStr">
        <is>
          <t>JBP</t>
        </is>
      </c>
      <c r="L5" s="1" t="n">
        <v>129</v>
      </c>
      <c r="M5" s="6" t="n">
        <v>0.195159</v>
      </c>
    </row>
    <row r="6">
      <c r="K6" s="9" t="inlineStr">
        <is>
          <t>Plano de Sell Out</t>
        </is>
      </c>
      <c r="L6" s="1" t="n">
        <v>65</v>
      </c>
      <c r="M6" s="6" t="n">
        <v>0.09833600000000001</v>
      </c>
    </row>
    <row r="7">
      <c r="B7" s="10" t="inlineStr">
        <is>
          <t>TOTAL</t>
        </is>
      </c>
      <c r="E7" s="1" t="n">
        <v>129</v>
      </c>
      <c r="F7" s="1" t="n">
        <v>65</v>
      </c>
      <c r="G7" s="1" t="n">
        <v>298</v>
      </c>
      <c r="H7" s="1" t="n">
        <v>169</v>
      </c>
      <c r="K7" s="9" t="inlineStr">
        <is>
          <t>Plano de Negócio</t>
        </is>
      </c>
      <c r="L7" s="1" t="n">
        <v>250</v>
      </c>
      <c r="M7" s="6" t="n">
        <v>0.378215</v>
      </c>
    </row>
    <row r="8">
      <c r="C8" s="9" t="inlineStr">
        <is>
          <t>TOP 50</t>
        </is>
      </c>
      <c r="E8" s="1" t="n">
        <v>50</v>
      </c>
      <c r="F8" s="1" t="n">
        <v>0</v>
      </c>
      <c r="G8" s="1" t="n">
        <v>0</v>
      </c>
      <c r="H8" s="1" t="n">
        <v>0</v>
      </c>
      <c r="K8" s="9" t="inlineStr">
        <is>
          <t>Prospecção</t>
        </is>
      </c>
      <c r="L8" s="1" t="n">
        <v>48</v>
      </c>
      <c r="M8" s="6" t="n">
        <v>0.072617</v>
      </c>
    </row>
    <row r="9">
      <c r="C9" s="9" t="inlineStr">
        <is>
          <t>TOP 100</t>
        </is>
      </c>
      <c r="E9" s="1" t="n">
        <v>42</v>
      </c>
      <c r="F9" s="1" t="n">
        <v>8</v>
      </c>
      <c r="G9" s="1" t="n">
        <v>0</v>
      </c>
      <c r="H9" s="1" t="n">
        <v>0</v>
      </c>
      <c r="K9" s="9" t="inlineStr">
        <is>
          <t>Inativo</t>
        </is>
      </c>
      <c r="L9" s="1" t="n">
        <v>169</v>
      </c>
      <c r="M9" s="6" t="n">
        <v>0.255673</v>
      </c>
    </row>
    <row r="10">
      <c r="C10" s="9" t="inlineStr">
        <is>
          <t>TOP 200</t>
        </is>
      </c>
      <c r="E10" s="1" t="n">
        <v>55</v>
      </c>
      <c r="F10" s="1" t="n">
        <v>45</v>
      </c>
      <c r="G10" s="1" t="n">
        <v>0</v>
      </c>
      <c r="H10" s="1" t="n">
        <v>0</v>
      </c>
      <c r="K10" s="10" t="inlineStr">
        <is>
          <t>TOTAL</t>
        </is>
      </c>
      <c r="L10" s="1" t="n">
        <v>661</v>
      </c>
    </row>
    <row r="11">
      <c r="C11" s="9" t="inlineStr">
        <is>
          <t>TOP 300</t>
        </is>
      </c>
      <c r="E11" s="1" t="n">
        <v>88</v>
      </c>
      <c r="F11" s="1" t="n">
        <v>12</v>
      </c>
      <c r="G11" s="1" t="n">
        <v>0</v>
      </c>
      <c r="H11" s="1" t="n">
        <v>0</v>
      </c>
    </row>
    <row r="12">
      <c r="C12" s="9" t="inlineStr">
        <is>
          <t>DEMAIS</t>
        </is>
      </c>
      <c r="E12" s="1" t="n">
        <v>192</v>
      </c>
      <c r="F12" s="1" t="n">
        <v>0</v>
      </c>
      <c r="G12" s="1" t="n">
        <v>0</v>
      </c>
      <c r="H12" s="1" t="n">
        <v>169</v>
      </c>
    </row>
    <row r="14">
      <c r="B14" s="10" t="inlineStr">
        <is>
          <t>POR CONSULTOR</t>
        </is>
      </c>
      <c r="E14" s="10" t="inlineStr">
        <is>
          <t>VERDE</t>
        </is>
      </c>
      <c r="F14" s="10" t="inlineStr">
        <is>
          <t>AMARELO</t>
        </is>
      </c>
      <c r="G14" s="10" t="inlineStr">
        <is>
          <t>VERMELHO</t>
        </is>
      </c>
      <c r="H14" s="10" t="inlineStr">
        <is>
          <t>ROXO</t>
        </is>
      </c>
      <c r="I14" s="10" t="inlineStr">
        <is>
          <t>TOTAL</t>
        </is>
      </c>
    </row>
    <row r="15">
      <c r="B15" s="9" t="inlineStr">
        <is>
          <t>HEMANUELE DITZEL (MANU)</t>
        </is>
      </c>
      <c r="E15" s="1" t="n">
        <v>157</v>
      </c>
      <c r="F15" s="1" t="n">
        <v>18</v>
      </c>
      <c r="G15" s="1" t="n">
        <v>0</v>
      </c>
      <c r="H15" s="1" t="n">
        <v>30</v>
      </c>
      <c r="I15" s="1" t="n">
        <v>205</v>
      </c>
    </row>
    <row r="16">
      <c r="B16" s="9" t="inlineStr">
        <is>
          <t>LARISSA PADILHA</t>
        </is>
      </c>
      <c r="E16" s="1" t="n">
        <v>164</v>
      </c>
      <c r="F16" s="1" t="n">
        <v>34</v>
      </c>
      <c r="G16" s="1" t="n">
        <v>0</v>
      </c>
      <c r="H16" s="1" t="n">
        <v>26</v>
      </c>
      <c r="I16" s="1" t="n">
        <v>224</v>
      </c>
    </row>
    <row r="17">
      <c r="B17" s="9" t="inlineStr">
        <is>
          <t>JULIO GADRET</t>
        </is>
      </c>
      <c r="E17" s="1" t="n">
        <v>64</v>
      </c>
      <c r="F17" s="1" t="n">
        <v>11</v>
      </c>
      <c r="G17" s="1" t="n">
        <v>0</v>
      </c>
      <c r="H17" s="1" t="n">
        <v>67</v>
      </c>
      <c r="I17" s="1" t="n">
        <v>142</v>
      </c>
    </row>
    <row r="18">
      <c r="B18" s="9" t="inlineStr">
        <is>
          <t>DAIANE STAVICKI</t>
        </is>
      </c>
      <c r="E18" s="1" t="n">
        <v>42</v>
      </c>
      <c r="F18" s="1" t="n">
        <v>2</v>
      </c>
      <c r="G18" s="1" t="n">
        <v>0</v>
      </c>
      <c r="H18" s="1" t="n">
        <v>46</v>
      </c>
      <c r="I18" s="1" t="n">
        <v>90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 codeName="Planilha2">
    <tabColor theme="0" tint="-0.0499893185216834"/>
    <outlinePr summaryBelow="1" summaryRight="1"/>
    <pageSetUpPr fitToPage="1"/>
  </sheetPr>
  <dimension ref="A2:W663"/>
  <sheetViews>
    <sheetView showGridLines="0" zoomScaleNormal="100" workbookViewId="0">
      <pane ySplit="2" topLeftCell="A140" activePane="bottomLeft" state="frozen"/>
      <selection pane="bottomLeft" activeCell="A287" sqref="A287"/>
    </sheetView>
  </sheetViews>
  <sheetFormatPr baseColWidth="8" defaultRowHeight="15.75" customHeight="1"/>
  <cols>
    <col width="9.85546875" bestFit="1" customWidth="1" style="7" min="1" max="1"/>
    <col hidden="1" width="10.5703125" customWidth="1" style="7" min="2" max="2"/>
    <col width="20" customWidth="1" style="5" min="3" max="5"/>
    <col hidden="1" width="15.5703125" customWidth="1" style="17" min="6" max="6"/>
    <col width="39.42578125" customWidth="1" style="8" min="7" max="7"/>
    <col width="12.140625" bestFit="1" customWidth="1" style="2" min="8" max="9"/>
    <col width="22.7109375" bestFit="1" customWidth="1" style="2" min="10" max="10"/>
    <col width="47.85546875" bestFit="1" customWidth="1" style="8" min="11" max="11"/>
    <col width="8" customWidth="1" style="2" min="12" max="13"/>
    <col width="20" customWidth="1" style="5" min="14" max="15"/>
    <col width="33.28515625" customWidth="1" style="8" min="16" max="16"/>
    <col width="21.42578125" customWidth="1" style="8" min="17" max="17"/>
    <col width="22" customWidth="1" style="8" min="18" max="18"/>
    <col hidden="1" width="39.28515625" customWidth="1" style="8" min="19" max="19"/>
    <col hidden="1" width="37.140625" customWidth="1" style="8" min="20" max="20"/>
    <col hidden="1" width="20.5703125" customWidth="1" style="8" min="21" max="21"/>
    <col width="13.85546875" customWidth="1" style="2" min="22" max="22"/>
    <col width="18.85546875" customWidth="1" min="23" max="23"/>
  </cols>
  <sheetData>
    <row r="1" ht="76.5" customHeight="1"/>
    <row r="2" ht="28.5" customHeight="1" thickBot="1">
      <c r="A2" s="10" t="inlineStr">
        <is>
          <t>Sem</t>
        </is>
      </c>
      <c r="B2" s="10" t="inlineStr">
        <is>
          <t>Semaforo2</t>
        </is>
      </c>
      <c r="C2" s="14" t="inlineStr">
        <is>
          <t>Faturamento Projetado Grupo</t>
        </is>
      </c>
      <c r="D2" s="14" t="inlineStr">
        <is>
          <t>Faturamento
Atual Vitao</t>
        </is>
      </c>
      <c r="E2" s="14" t="inlineStr">
        <is>
          <t>Faturamento
Potencial Vitao</t>
        </is>
      </c>
      <c r="F2" s="16" t="inlineStr">
        <is>
          <t>% Potencial</t>
        </is>
      </c>
      <c r="G2" s="12" t="inlineStr">
        <is>
          <t>Grupo</t>
        </is>
      </c>
      <c r="H2" s="12" t="inlineStr">
        <is>
          <t>UF Grupo</t>
        </is>
      </c>
      <c r="I2" s="12" t="inlineStr">
        <is>
          <t>Lojas Grupo</t>
        </is>
      </c>
      <c r="J2" s="12" t="inlineStr">
        <is>
          <t>Maturidade</t>
        </is>
      </c>
      <c r="K2" s="12" t="inlineStr">
        <is>
          <t>Rede</t>
        </is>
      </c>
      <c r="L2" s="12" t="inlineStr">
        <is>
          <t>UF Rede</t>
        </is>
      </c>
      <c r="M2" s="12" t="inlineStr">
        <is>
          <t>Lojas Rede</t>
        </is>
      </c>
      <c r="N2" s="11" t="inlineStr">
        <is>
          <t>Faturamento Rede</t>
        </is>
      </c>
      <c r="O2" s="11" t="inlineStr">
        <is>
          <t>Faturamento Mensal Esperado por Loja</t>
        </is>
      </c>
      <c r="P2" s="15" t="inlineStr">
        <is>
          <t>Região</t>
        </is>
      </c>
      <c r="Q2" s="15" t="inlineStr">
        <is>
          <t>Consultor</t>
        </is>
      </c>
      <c r="R2" s="15" t="inlineStr">
        <is>
          <t>ZS</t>
        </is>
      </c>
      <c r="S2" s="15" t="inlineStr">
        <is>
          <t>ZR</t>
        </is>
      </c>
      <c r="T2" s="15" t="inlineStr">
        <is>
          <t>ZX</t>
        </is>
      </c>
      <c r="U2" s="13" t="inlineStr">
        <is>
          <t>Leitura Scanntech</t>
        </is>
      </c>
      <c r="V2" s="13" t="inlineStr">
        <is>
          <t>Classificação</t>
        </is>
      </c>
      <c r="W2" s="12" t="inlineStr">
        <is>
          <t>Tipo Carteira</t>
        </is>
      </c>
    </row>
    <row r="3" ht="15" customHeight="1">
      <c r="A3" t="n">
        <v>17.888993</v>
      </c>
      <c r="B3" t="inlineStr">
        <is>
          <t>VERDE</t>
        </is>
      </c>
      <c r="C3" t="n">
        <v>5615.5</v>
      </c>
      <c r="D3" t="n">
        <v>100455.71</v>
      </c>
      <c r="E3" t="n">
        <v>5615.5</v>
      </c>
      <c r="F3" s="6" t="n">
        <v>17.888993</v>
      </c>
      <c r="G3" t="inlineStr">
        <is>
          <t>SEM GRUPO</t>
        </is>
      </c>
      <c r="H3" t="inlineStr">
        <is>
          <t>MT</t>
        </is>
      </c>
      <c r="I3" t="n">
        <v>6630220990</v>
      </c>
      <c r="J3" t="inlineStr">
        <is>
          <t>JBP</t>
        </is>
      </c>
      <c r="K3" t="inlineStr">
        <is>
          <t>SEM REDE</t>
        </is>
      </c>
      <c r="L3" t="inlineStr">
        <is>
          <t>MT</t>
        </is>
      </c>
      <c r="M3" t="n">
        <v>6630220990</v>
      </c>
      <c r="N3" t="n">
        <v>100455.71</v>
      </c>
      <c r="O3" t="n">
        <v>467.96</v>
      </c>
      <c r="P3" t="inlineStr">
        <is>
          <t>03 - CENTRO OESTE</t>
        </is>
      </c>
      <c r="Q3" t="inlineStr">
        <is>
          <t>LARISSA PADILHA</t>
        </is>
      </c>
      <c r="S3" t="inlineStr">
        <is>
          <t>42.149.466 LARISSA DA SILVA PADILHA - ME</t>
        </is>
      </c>
      <c r="T3" t="inlineStr">
        <is>
          <t>ZV - NAO APLICAVEL</t>
        </is>
      </c>
      <c r="V3" t="inlineStr">
        <is>
          <t>top 50</t>
        </is>
      </c>
      <c r="W3" t="inlineStr">
        <is>
          <t>REGIÕES/GRUPOS</t>
        </is>
      </c>
    </row>
    <row r="4" ht="15" customHeight="1">
      <c r="A4" t="n">
        <v>11.631797</v>
      </c>
      <c r="B4" t="inlineStr">
        <is>
          <t>VERDE</t>
        </is>
      </c>
      <c r="C4" t="n">
        <v>5615.5</v>
      </c>
      <c r="D4" t="n">
        <v>65318.4</v>
      </c>
      <c r="E4" t="n">
        <v>5615.5</v>
      </c>
      <c r="F4" s="6" t="n">
        <v>11.631797</v>
      </c>
      <c r="G4" t="inlineStr">
        <is>
          <t>SEM GRUPO</t>
        </is>
      </c>
      <c r="H4" t="inlineStr">
        <is>
          <t>PR</t>
        </is>
      </c>
      <c r="I4" t="n">
        <v>4191038174</v>
      </c>
      <c r="J4" t="inlineStr">
        <is>
          <t>JBP</t>
        </is>
      </c>
      <c r="K4" t="inlineStr">
        <is>
          <t>SEM REDE</t>
        </is>
      </c>
      <c r="L4" t="inlineStr">
        <is>
          <t>PR</t>
        </is>
      </c>
      <c r="M4" t="n">
        <v>4191038174</v>
      </c>
      <c r="N4" t="n">
        <v>65318.4</v>
      </c>
      <c r="O4" t="n">
        <v>467.96</v>
      </c>
      <c r="P4" t="inlineStr">
        <is>
          <t>03 - SUL</t>
        </is>
      </c>
      <c r="Q4" t="inlineStr">
        <is>
          <t>HEMANUELE DITZEL (MANU)</t>
        </is>
      </c>
      <c r="S4" t="inlineStr">
        <is>
          <t>ZR - NAO APLICAVEL</t>
        </is>
      </c>
      <c r="T4" t="inlineStr">
        <is>
          <t>HEMANUELE ROSA DITZEL</t>
        </is>
      </c>
      <c r="V4" t="inlineStr">
        <is>
          <t>top 50</t>
        </is>
      </c>
      <c r="W4" t="inlineStr">
        <is>
          <t>REGIÕES/GRUPOS</t>
        </is>
      </c>
    </row>
    <row r="5" ht="15" customHeight="1">
      <c r="A5" t="n">
        <v>8.957898</v>
      </c>
      <c r="B5" t="inlineStr">
        <is>
          <t>VERDE</t>
        </is>
      </c>
      <c r="C5" t="n">
        <v>5615.5</v>
      </c>
      <c r="D5" t="n">
        <v>50303.11</v>
      </c>
      <c r="E5" t="n">
        <v>5615.5</v>
      </c>
      <c r="F5" s="6" t="n">
        <v>8.957898</v>
      </c>
      <c r="G5" t="inlineStr">
        <is>
          <t>SEM GRUPO</t>
        </is>
      </c>
      <c r="H5" t="inlineStr">
        <is>
          <t>MG</t>
        </is>
      </c>
      <c r="I5" t="n">
        <v>31975430905</v>
      </c>
      <c r="J5" t="inlineStr">
        <is>
          <t>JBP</t>
        </is>
      </c>
      <c r="K5" t="inlineStr">
        <is>
          <t>SEM REDE</t>
        </is>
      </c>
      <c r="L5" t="inlineStr">
        <is>
          <t>MG</t>
        </is>
      </c>
      <c r="M5" t="n">
        <v>31975430905</v>
      </c>
      <c r="N5" t="n">
        <v>50303.11</v>
      </c>
      <c r="O5" t="n">
        <v>467.96</v>
      </c>
      <c r="P5" t="inlineStr">
        <is>
          <t>03 - RJ + ES + MG</t>
        </is>
      </c>
      <c r="Q5" t="inlineStr">
        <is>
          <t>LARISSA PADILHA</t>
        </is>
      </c>
      <c r="S5" t="inlineStr">
        <is>
          <t>42.149.466 LARISSA DA SILVA PADILHA - ME</t>
        </is>
      </c>
      <c r="T5" t="inlineStr">
        <is>
          <t>ZV - NAO APLICAVEL</t>
        </is>
      </c>
      <c r="V5" t="inlineStr">
        <is>
          <t>top 50</t>
        </is>
      </c>
      <c r="W5" t="inlineStr">
        <is>
          <t>REGIÕES/GRUPOS</t>
        </is>
      </c>
    </row>
    <row r="6" ht="15" customHeight="1">
      <c r="A6" t="n">
        <v>7.410765</v>
      </c>
      <c r="B6" t="inlineStr">
        <is>
          <t>VERDE</t>
        </is>
      </c>
      <c r="C6" t="n">
        <v>5615.5</v>
      </c>
      <c r="D6" t="n">
        <v>41615.18</v>
      </c>
      <c r="E6" t="n">
        <v>5615.5</v>
      </c>
      <c r="F6" s="6" t="n">
        <v>7.410765</v>
      </c>
      <c r="G6" t="inlineStr">
        <is>
          <t>SEM GRUPO</t>
        </is>
      </c>
      <c r="H6" t="inlineStr">
        <is>
          <t>SP</t>
        </is>
      </c>
      <c r="I6" t="n">
        <v>35984415576</v>
      </c>
      <c r="J6" t="inlineStr">
        <is>
          <t>JBP</t>
        </is>
      </c>
      <c r="K6" t="inlineStr">
        <is>
          <t>SEM REDE</t>
        </is>
      </c>
      <c r="L6" t="inlineStr">
        <is>
          <t>SP</t>
        </is>
      </c>
      <c r="M6" t="n">
        <v>35984415576</v>
      </c>
      <c r="N6" t="n">
        <v>41615.18</v>
      </c>
      <c r="O6" t="n">
        <v>467.96</v>
      </c>
      <c r="P6" t="inlineStr">
        <is>
          <t>03 - SP INTERIOR</t>
        </is>
      </c>
      <c r="Q6" t="inlineStr">
        <is>
          <t>LARISSA PADILHA</t>
        </is>
      </c>
      <c r="S6" t="inlineStr">
        <is>
          <t>42.149.466 LARISSA DA SILVA PADILHA - ME</t>
        </is>
      </c>
      <c r="T6" t="inlineStr">
        <is>
          <t>ZV - NAO APLICAVEL</t>
        </is>
      </c>
      <c r="V6" t="inlineStr">
        <is>
          <t>top 50</t>
        </is>
      </c>
      <c r="W6" t="inlineStr">
        <is>
          <t>REGIÕES/GRUPOS</t>
        </is>
      </c>
    </row>
    <row r="7" ht="15" customHeight="1">
      <c r="A7" t="n">
        <v>6.92987</v>
      </c>
      <c r="B7" t="inlineStr">
        <is>
          <t>VERDE</t>
        </is>
      </c>
      <c r="C7" t="n">
        <v>5615.5</v>
      </c>
      <c r="D7" t="n">
        <v>38914.71</v>
      </c>
      <c r="E7" t="n">
        <v>5615.5</v>
      </c>
      <c r="F7" s="6" t="n">
        <v>6.92987</v>
      </c>
      <c r="G7" t="inlineStr">
        <is>
          <t>SEM GRUPO</t>
        </is>
      </c>
      <c r="H7" t="inlineStr">
        <is>
          <t>PE</t>
        </is>
      </c>
      <c r="I7" t="n">
        <v>81988663616</v>
      </c>
      <c r="J7" t="inlineStr">
        <is>
          <t>JBP</t>
        </is>
      </c>
      <c r="K7" t="inlineStr">
        <is>
          <t>SEM REDE</t>
        </is>
      </c>
      <c r="L7" t="inlineStr">
        <is>
          <t>PE</t>
        </is>
      </c>
      <c r="M7" t="n">
        <v>81988663616</v>
      </c>
      <c r="N7" t="n">
        <v>38914.71</v>
      </c>
      <c r="O7" t="n">
        <v>467.96</v>
      </c>
      <c r="P7" t="inlineStr">
        <is>
          <t>03 - NORDESTE (SEM MA)</t>
        </is>
      </c>
      <c r="Q7" t="inlineStr">
        <is>
          <t>LARISSA PADILHA</t>
        </is>
      </c>
      <c r="S7" t="inlineStr">
        <is>
          <t>42.149.466 LARISSA DA SILVA PADILHA - ME</t>
        </is>
      </c>
      <c r="T7" t="inlineStr">
        <is>
          <t>ZV - NAO APLICAVEL</t>
        </is>
      </c>
      <c r="V7" t="inlineStr">
        <is>
          <t>top 50</t>
        </is>
      </c>
      <c r="W7" t="inlineStr">
        <is>
          <t>REGIÕES/GRUPOS</t>
        </is>
      </c>
    </row>
    <row r="8" ht="15" customHeight="1">
      <c r="A8" t="n">
        <v>5.967792</v>
      </c>
      <c r="B8" t="inlineStr">
        <is>
          <t>VERDE</t>
        </is>
      </c>
      <c r="C8" t="n">
        <v>5615.5</v>
      </c>
      <c r="D8" t="n">
        <v>33512.16</v>
      </c>
      <c r="E8" t="n">
        <v>5615.5</v>
      </c>
      <c r="F8" s="6" t="n">
        <v>5.967792</v>
      </c>
      <c r="G8" t="inlineStr">
        <is>
          <t>SEM GRUPO</t>
        </is>
      </c>
      <c r="H8" t="inlineStr">
        <is>
          <t>GO</t>
        </is>
      </c>
      <c r="I8" t="n">
        <v>6281539520</v>
      </c>
      <c r="J8" t="inlineStr">
        <is>
          <t>JBP</t>
        </is>
      </c>
      <c r="K8" t="inlineStr">
        <is>
          <t>SEM REDE</t>
        </is>
      </c>
      <c r="L8" t="inlineStr">
        <is>
          <t>GO</t>
        </is>
      </c>
      <c r="M8" t="n">
        <v>6281539520</v>
      </c>
      <c r="N8" t="n">
        <v>33512.16</v>
      </c>
      <c r="O8" t="n">
        <v>467.96</v>
      </c>
      <c r="P8" t="inlineStr">
        <is>
          <t>03 - CENTRO OESTE</t>
        </is>
      </c>
      <c r="Q8" t="inlineStr">
        <is>
          <t>LARISSA PADILHA</t>
        </is>
      </c>
      <c r="S8" t="inlineStr">
        <is>
          <t>42.149.466 LARISSA DA SILVA PADILHA - ME</t>
        </is>
      </c>
      <c r="T8" t="inlineStr">
        <is>
          <t>ZV - NAO APLICAVEL</t>
        </is>
      </c>
      <c r="V8" t="inlineStr">
        <is>
          <t>top 50</t>
        </is>
      </c>
      <c r="W8" t="inlineStr">
        <is>
          <t>REGIÕES/GRUPOS</t>
        </is>
      </c>
    </row>
    <row r="9" ht="15" customHeight="1">
      <c r="A9" t="n">
        <v>5.388914</v>
      </c>
      <c r="B9" t="inlineStr">
        <is>
          <t>VERDE</t>
        </is>
      </c>
      <c r="C9" t="n">
        <v>5615.5</v>
      </c>
      <c r="D9" t="n">
        <v>30261.47</v>
      </c>
      <c r="E9" t="n">
        <v>5615.5</v>
      </c>
      <c r="F9" s="6" t="n">
        <v>5.388914</v>
      </c>
      <c r="G9" t="inlineStr">
        <is>
          <t>SEM GRUPO</t>
        </is>
      </c>
      <c r="H9" t="inlineStr">
        <is>
          <t>PE</t>
        </is>
      </c>
      <c r="I9" t="n">
        <v>81988663616</v>
      </c>
      <c r="J9" t="inlineStr">
        <is>
          <t>JBP</t>
        </is>
      </c>
      <c r="K9" t="inlineStr">
        <is>
          <t>SEM REDE</t>
        </is>
      </c>
      <c r="L9" t="inlineStr">
        <is>
          <t>PE</t>
        </is>
      </c>
      <c r="M9" t="n">
        <v>81988663616</v>
      </c>
      <c r="N9" t="n">
        <v>30261.47</v>
      </c>
      <c r="O9" t="n">
        <v>467.96</v>
      </c>
      <c r="P9" t="inlineStr">
        <is>
          <t>03 - NORDESTE (SEM MA)</t>
        </is>
      </c>
      <c r="Q9" t="inlineStr">
        <is>
          <t>LARISSA PADILHA</t>
        </is>
      </c>
      <c r="S9" t="inlineStr">
        <is>
          <t>42.149.466 LARISSA DA SILVA PADILHA - ME</t>
        </is>
      </c>
      <c r="T9" t="inlineStr">
        <is>
          <t>ZV - NAO APLICAVEL</t>
        </is>
      </c>
      <c r="V9" t="inlineStr">
        <is>
          <t>top 50</t>
        </is>
      </c>
      <c r="W9" t="inlineStr">
        <is>
          <t>REGIÕES/GRUPOS</t>
        </is>
      </c>
    </row>
    <row r="10" ht="15" customHeight="1">
      <c r="A10" t="n">
        <v>4.629353</v>
      </c>
      <c r="B10" t="inlineStr">
        <is>
          <t>VERDE</t>
        </is>
      </c>
      <c r="C10" t="n">
        <v>5615.5</v>
      </c>
      <c r="D10" t="n">
        <v>25996.15</v>
      </c>
      <c r="E10" t="n">
        <v>5615.5</v>
      </c>
      <c r="F10" s="6" t="n">
        <v>4.629353</v>
      </c>
      <c r="G10" t="inlineStr">
        <is>
          <t>SEM GRUPO</t>
        </is>
      </c>
      <c r="H10" t="inlineStr">
        <is>
          <t>SP</t>
        </is>
      </c>
      <c r="I10" t="n">
        <v>1435334300</v>
      </c>
      <c r="J10" t="inlineStr">
        <is>
          <t>JBP</t>
        </is>
      </c>
      <c r="K10" t="inlineStr">
        <is>
          <t>SEM REDE</t>
        </is>
      </c>
      <c r="L10" t="inlineStr">
        <is>
          <t>SP</t>
        </is>
      </c>
      <c r="M10" t="n">
        <v>1435334300</v>
      </c>
      <c r="N10" t="n">
        <v>25996.15</v>
      </c>
      <c r="O10" t="n">
        <v>467.96</v>
      </c>
      <c r="P10" t="inlineStr">
        <is>
          <t>03 - SP INTERIOR</t>
        </is>
      </c>
      <c r="Q10" t="inlineStr">
        <is>
          <t>HEMANUELE DITZEL (MANU)</t>
        </is>
      </c>
      <c r="S10" t="inlineStr">
        <is>
          <t>ZR - NAO APLICAVEL</t>
        </is>
      </c>
      <c r="T10" t="inlineStr">
        <is>
          <t>HEMANUELE ROSA DITZEL</t>
        </is>
      </c>
      <c r="V10" t="inlineStr">
        <is>
          <t>top 50</t>
        </is>
      </c>
      <c r="W10" t="inlineStr">
        <is>
          <t>REGIÕES/GRUPOS</t>
        </is>
      </c>
    </row>
    <row r="11" ht="15" customHeight="1">
      <c r="A11" t="n">
        <v>4.615792</v>
      </c>
      <c r="B11" t="inlineStr">
        <is>
          <t>VERDE</t>
        </is>
      </c>
      <c r="C11" t="n">
        <v>5615.5</v>
      </c>
      <c r="D11" t="n">
        <v>25920</v>
      </c>
      <c r="E11" t="n">
        <v>5615.5</v>
      </c>
      <c r="F11" s="6" t="n">
        <v>4.615792</v>
      </c>
      <c r="G11" t="inlineStr">
        <is>
          <t>SEM GRUPO</t>
        </is>
      </c>
      <c r="H11" t="inlineStr">
        <is>
          <t>PR</t>
        </is>
      </c>
      <c r="I11" t="n">
        <v>44999119237</v>
      </c>
      <c r="J11" t="inlineStr">
        <is>
          <t>JBP</t>
        </is>
      </c>
      <c r="K11" t="inlineStr">
        <is>
          <t>SEM REDE</t>
        </is>
      </c>
      <c r="L11" t="inlineStr">
        <is>
          <t>PR</t>
        </is>
      </c>
      <c r="M11" t="n">
        <v>44999119237</v>
      </c>
      <c r="N11" t="n">
        <v>25920</v>
      </c>
      <c r="O11" t="n">
        <v>467.96</v>
      </c>
      <c r="P11" t="inlineStr">
        <is>
          <t>03 - SUL</t>
        </is>
      </c>
      <c r="Q11" t="inlineStr">
        <is>
          <t>HEMANUELE DITZEL (MANU)</t>
        </is>
      </c>
      <c r="S11" t="inlineStr">
        <is>
          <t>ZR - NAO APLICAVEL</t>
        </is>
      </c>
      <c r="T11" t="inlineStr">
        <is>
          <t>HEMANUELE ROSA DITZEL</t>
        </is>
      </c>
      <c r="V11" t="inlineStr">
        <is>
          <t>top 50</t>
        </is>
      </c>
      <c r="W11" t="inlineStr">
        <is>
          <t>REGIÕES/GRUPOS</t>
        </is>
      </c>
    </row>
    <row r="12" ht="15" customHeight="1">
      <c r="A12" t="n">
        <v>4.121087</v>
      </c>
      <c r="B12" t="inlineStr">
        <is>
          <t>VERDE</t>
        </is>
      </c>
      <c r="C12" t="n">
        <v>5615.5</v>
      </c>
      <c r="D12" t="n">
        <v>23141.98</v>
      </c>
      <c r="E12" t="n">
        <v>5615.5</v>
      </c>
      <c r="F12" s="6" t="n">
        <v>4.121087</v>
      </c>
      <c r="G12" t="inlineStr">
        <is>
          <t>SEM GRUPO</t>
        </is>
      </c>
      <c r="H12" t="inlineStr">
        <is>
          <t>SC</t>
        </is>
      </c>
      <c r="I12" t="n">
        <v>4799124468</v>
      </c>
      <c r="J12" t="inlineStr">
        <is>
          <t>JBP</t>
        </is>
      </c>
      <c r="K12" t="inlineStr">
        <is>
          <t>SEM REDE</t>
        </is>
      </c>
      <c r="L12" t="inlineStr">
        <is>
          <t>SC</t>
        </is>
      </c>
      <c r="M12" t="n">
        <v>4799124468</v>
      </c>
      <c r="N12" t="n">
        <v>23141.98</v>
      </c>
      <c r="O12" t="n">
        <v>467.96</v>
      </c>
      <c r="P12" t="inlineStr">
        <is>
          <t>03 - SUL</t>
        </is>
      </c>
      <c r="Q12" t="inlineStr">
        <is>
          <t>HEMANUELE DITZEL (MANU)</t>
        </is>
      </c>
      <c r="S12" t="inlineStr">
        <is>
          <t>ZR - NAO APLICAVEL</t>
        </is>
      </c>
      <c r="T12" t="inlineStr">
        <is>
          <t>HEMANUELE ROSA DITZEL</t>
        </is>
      </c>
      <c r="V12" t="inlineStr">
        <is>
          <t>top 50</t>
        </is>
      </c>
      <c r="W12" t="inlineStr">
        <is>
          <t>REGIÕES/GRUPOS</t>
        </is>
      </c>
    </row>
    <row r="13" ht="15" customHeight="1">
      <c r="A13" t="n">
        <v>4.005055</v>
      </c>
      <c r="B13" t="inlineStr">
        <is>
          <t>VERDE</t>
        </is>
      </c>
      <c r="C13" t="n">
        <v>5615.5</v>
      </c>
      <c r="D13" t="n">
        <v>22490.4</v>
      </c>
      <c r="E13" t="n">
        <v>5615.5</v>
      </c>
      <c r="F13" s="6" t="n">
        <v>4.005055</v>
      </c>
      <c r="G13" t="inlineStr">
        <is>
          <t>SEM GRUPO</t>
        </is>
      </c>
      <c r="H13" t="inlineStr">
        <is>
          <t>SC</t>
        </is>
      </c>
      <c r="I13" t="n">
        <v>4733947104</v>
      </c>
      <c r="J13" t="inlineStr">
        <is>
          <t>JBP</t>
        </is>
      </c>
      <c r="K13" t="inlineStr">
        <is>
          <t>SEM REDE</t>
        </is>
      </c>
      <c r="L13" t="inlineStr">
        <is>
          <t>SC</t>
        </is>
      </c>
      <c r="M13" t="n">
        <v>4733947104</v>
      </c>
      <c r="N13" t="n">
        <v>22490.4</v>
      </c>
      <c r="O13" t="n">
        <v>467.96</v>
      </c>
      <c r="P13" t="inlineStr">
        <is>
          <t>03 - SUL</t>
        </is>
      </c>
      <c r="Q13" t="inlineStr">
        <is>
          <t>HEMANUELE DITZEL (MANU)</t>
        </is>
      </c>
      <c r="S13" t="inlineStr">
        <is>
          <t>ZR - NAO APLICAVEL</t>
        </is>
      </c>
      <c r="T13" t="inlineStr">
        <is>
          <t>HEMANUELE ROSA DITZEL</t>
        </is>
      </c>
      <c r="V13" t="inlineStr">
        <is>
          <t>top 50</t>
        </is>
      </c>
      <c r="W13" t="inlineStr">
        <is>
          <t>REGIÕES/GRUPOS</t>
        </is>
      </c>
    </row>
    <row r="14" ht="15" customHeight="1">
      <c r="A14" t="n">
        <v>3.884095</v>
      </c>
      <c r="B14" t="inlineStr">
        <is>
          <t>VERDE</t>
        </is>
      </c>
      <c r="C14" t="n">
        <v>5615.5</v>
      </c>
      <c r="D14" t="n">
        <v>21811.15</v>
      </c>
      <c r="E14" t="n">
        <v>5615.5</v>
      </c>
      <c r="F14" s="6" t="n">
        <v>3.884095</v>
      </c>
      <c r="G14" t="inlineStr">
        <is>
          <t>SEM GRUPO</t>
        </is>
      </c>
      <c r="H14" t="inlineStr">
        <is>
          <t>PA</t>
        </is>
      </c>
      <c r="I14" t="n">
        <v>1</v>
      </c>
      <c r="J14" t="inlineStr">
        <is>
          <t>JBP</t>
        </is>
      </c>
      <c r="K14" t="inlineStr">
        <is>
          <t>SEM REDE</t>
        </is>
      </c>
      <c r="L14" t="inlineStr">
        <is>
          <t>PA</t>
        </is>
      </c>
      <c r="M14" t="n">
        <v>1</v>
      </c>
      <c r="N14" t="n">
        <v>21811.15</v>
      </c>
      <c r="O14" t="n">
        <v>467.96</v>
      </c>
      <c r="P14" t="inlineStr">
        <is>
          <t>03 - NORTE + MA</t>
        </is>
      </c>
      <c r="Q14" t="inlineStr">
        <is>
          <t>LARISSA PADILHA</t>
        </is>
      </c>
      <c r="S14" t="inlineStr">
        <is>
          <t>42.149.466 LARISSA DA SILVA PADILHA - ME</t>
        </is>
      </c>
      <c r="T14" t="inlineStr">
        <is>
          <t>ZV - NAO APLICAVEL</t>
        </is>
      </c>
      <c r="V14" t="inlineStr">
        <is>
          <t>top 50</t>
        </is>
      </c>
      <c r="W14" t="inlineStr">
        <is>
          <t>REGIÕES/GRUPOS</t>
        </is>
      </c>
    </row>
    <row r="15" ht="15" customHeight="1">
      <c r="A15" t="n">
        <v>3.844052</v>
      </c>
      <c r="B15" t="inlineStr">
        <is>
          <t>VERDE</t>
        </is>
      </c>
      <c r="C15" t="n">
        <v>5615.5</v>
      </c>
      <c r="D15" t="n">
        <v>21586.29</v>
      </c>
      <c r="E15" t="n">
        <v>5615.5</v>
      </c>
      <c r="F15" s="6" t="n">
        <v>3.844052</v>
      </c>
      <c r="G15" t="inlineStr">
        <is>
          <t>SEM GRUPO</t>
        </is>
      </c>
      <c r="H15" t="inlineStr">
        <is>
          <t>SC</t>
        </is>
      </c>
      <c r="I15" t="n">
        <v>4788616805</v>
      </c>
      <c r="J15" t="inlineStr">
        <is>
          <t>JBP</t>
        </is>
      </c>
      <c r="K15" t="inlineStr">
        <is>
          <t>SEM REDE</t>
        </is>
      </c>
      <c r="L15" t="inlineStr">
        <is>
          <t>SC</t>
        </is>
      </c>
      <c r="M15" t="n">
        <v>4788616805</v>
      </c>
      <c r="N15" t="n">
        <v>21586.29</v>
      </c>
      <c r="O15" t="n">
        <v>467.96</v>
      </c>
      <c r="P15" t="inlineStr">
        <is>
          <t>03 - SUL</t>
        </is>
      </c>
      <c r="Q15" t="inlineStr">
        <is>
          <t>HEMANUELE DITZEL (MANU)</t>
        </is>
      </c>
      <c r="S15" t="inlineStr">
        <is>
          <t>ZR - NAO APLICAVEL</t>
        </is>
      </c>
      <c r="T15" t="inlineStr">
        <is>
          <t>HEMANUELE ROSA DITZEL</t>
        </is>
      </c>
      <c r="V15" t="inlineStr">
        <is>
          <t>top 50</t>
        </is>
      </c>
      <c r="W15" t="inlineStr">
        <is>
          <t>REGIÕES/GRUPOS</t>
        </is>
      </c>
    </row>
    <row r="16" ht="15" customHeight="1">
      <c r="A16" t="n">
        <v>3.223497</v>
      </c>
      <c r="B16" t="inlineStr">
        <is>
          <t>VERDE</t>
        </is>
      </c>
      <c r="C16" t="n">
        <v>5615.5</v>
      </c>
      <c r="D16" t="n">
        <v>18101.56</v>
      </c>
      <c r="E16" t="n">
        <v>5615.5</v>
      </c>
      <c r="F16" s="6" t="n">
        <v>3.223497</v>
      </c>
      <c r="G16" t="inlineStr">
        <is>
          <t>SEM GRUPO</t>
        </is>
      </c>
      <c r="H16" t="inlineStr">
        <is>
          <t>PR</t>
        </is>
      </c>
      <c r="I16" t="n">
        <v>41992423665</v>
      </c>
      <c r="J16" t="inlineStr">
        <is>
          <t>JBP</t>
        </is>
      </c>
      <c r="K16" t="inlineStr">
        <is>
          <t>SEM REDE</t>
        </is>
      </c>
      <c r="L16" t="inlineStr">
        <is>
          <t>PR</t>
        </is>
      </c>
      <c r="M16" t="n">
        <v>41992423665</v>
      </c>
      <c r="N16" t="n">
        <v>18101.56</v>
      </c>
      <c r="O16" t="n">
        <v>467.96</v>
      </c>
      <c r="P16" t="inlineStr">
        <is>
          <t>03 - SUL</t>
        </is>
      </c>
      <c r="Q16" t="inlineStr">
        <is>
          <t>HEMANUELE DITZEL (MANU)</t>
        </is>
      </c>
      <c r="S16" t="inlineStr">
        <is>
          <t>ZR - NAO APLICAVEL</t>
        </is>
      </c>
      <c r="T16" t="inlineStr">
        <is>
          <t>HEMANUELE ROSA DITZEL</t>
        </is>
      </c>
      <c r="V16" t="inlineStr">
        <is>
          <t>top 50</t>
        </is>
      </c>
      <c r="W16" t="inlineStr">
        <is>
          <t>REGIÕES/GRUPOS</t>
        </is>
      </c>
    </row>
    <row r="17" ht="15" customHeight="1">
      <c r="A17" t="n">
        <v>3.109603</v>
      </c>
      <c r="B17" t="inlineStr">
        <is>
          <t>VERDE</t>
        </is>
      </c>
      <c r="C17" t="n">
        <v>5615.5</v>
      </c>
      <c r="D17" t="n">
        <v>17461.99</v>
      </c>
      <c r="E17" t="n">
        <v>5615.5</v>
      </c>
      <c r="F17" s="6" t="n">
        <v>3.109603</v>
      </c>
      <c r="G17" t="inlineStr">
        <is>
          <t>SEM GRUPO</t>
        </is>
      </c>
      <c r="H17" t="inlineStr">
        <is>
          <t>SP</t>
        </is>
      </c>
      <c r="I17" t="n">
        <v>17992484748</v>
      </c>
      <c r="J17" t="inlineStr">
        <is>
          <t>JBP</t>
        </is>
      </c>
      <c r="K17" t="inlineStr">
        <is>
          <t>SEM REDE</t>
        </is>
      </c>
      <c r="L17" t="inlineStr">
        <is>
          <t>SP</t>
        </is>
      </c>
      <c r="M17" t="n">
        <v>17992484748</v>
      </c>
      <c r="N17" t="n">
        <v>17461.99</v>
      </c>
      <c r="O17" t="n">
        <v>467.96</v>
      </c>
      <c r="P17" t="inlineStr">
        <is>
          <t>03 - SP INTERIOR</t>
        </is>
      </c>
      <c r="Q17" t="inlineStr">
        <is>
          <t>LARISSA PADILHA</t>
        </is>
      </c>
      <c r="S17" t="inlineStr">
        <is>
          <t>42.149.466 LARISSA DA SILVA PADILHA - ME</t>
        </is>
      </c>
      <c r="T17" t="inlineStr">
        <is>
          <t>ZV - NAO APLICAVEL</t>
        </is>
      </c>
      <c r="V17" t="inlineStr">
        <is>
          <t>top 50</t>
        </is>
      </c>
      <c r="W17" t="inlineStr">
        <is>
          <t>REGIÕES/GRUPOS</t>
        </is>
      </c>
    </row>
    <row r="18" ht="15" customHeight="1">
      <c r="A18" t="n">
        <v>1.83606</v>
      </c>
      <c r="B18" t="inlineStr">
        <is>
          <t>VERDE</t>
        </is>
      </c>
      <c r="C18" t="n">
        <v>9000</v>
      </c>
      <c r="D18" t="n">
        <v>16524.54</v>
      </c>
      <c r="E18" t="n">
        <v>9000</v>
      </c>
      <c r="F18" s="6" t="n">
        <v>1.83606</v>
      </c>
      <c r="G18" t="inlineStr">
        <is>
          <t>MERCOCENTRO</t>
        </is>
      </c>
      <c r="H18" t="inlineStr">
        <is>
          <t>SC</t>
        </is>
      </c>
      <c r="I18" t="n">
        <v>48988457748</v>
      </c>
      <c r="J18" t="inlineStr">
        <is>
          <t>JBP</t>
        </is>
      </c>
      <c r="K18" t="inlineStr">
        <is>
          <t>MERCOCENTRO</t>
        </is>
      </c>
      <c r="L18" t="inlineStr">
        <is>
          <t>SC</t>
        </is>
      </c>
      <c r="M18" t="n">
        <v>48988457748</v>
      </c>
      <c r="N18" t="n">
        <v>16524.54</v>
      </c>
      <c r="O18" t="n">
        <v>750</v>
      </c>
      <c r="P18" t="inlineStr">
        <is>
          <t>03 - SUL</t>
        </is>
      </c>
      <c r="Q18" t="inlineStr">
        <is>
          <t>HEMANUELE DITZEL (MANU)</t>
        </is>
      </c>
      <c r="S18" t="inlineStr">
        <is>
          <t>ZR - NAO APLICAVEL</t>
        </is>
      </c>
      <c r="T18" t="inlineStr">
        <is>
          <t>HEMANUELE ROSA DITZEL</t>
        </is>
      </c>
      <c r="V18" t="inlineStr">
        <is>
          <t>top 50</t>
        </is>
      </c>
      <c r="W18" t="inlineStr">
        <is>
          <t>REDES E FRANQUIAS</t>
        </is>
      </c>
    </row>
    <row r="19" ht="15" customHeight="1">
      <c r="A19" t="n">
        <v>2.877612</v>
      </c>
      <c r="B19" t="inlineStr">
        <is>
          <t>VERDE</t>
        </is>
      </c>
      <c r="C19" t="n">
        <v>5615.5</v>
      </c>
      <c r="D19" t="n">
        <v>16159.24</v>
      </c>
      <c r="E19" t="n">
        <v>5615.5</v>
      </c>
      <c r="F19" s="6" t="n">
        <v>2.877612</v>
      </c>
      <c r="G19" t="inlineStr">
        <is>
          <t>SEM GRUPO</t>
        </is>
      </c>
      <c r="H19" t="inlineStr">
        <is>
          <t>SP</t>
        </is>
      </c>
      <c r="I19" t="n">
        <v>1148157242</v>
      </c>
      <c r="J19" t="inlineStr">
        <is>
          <t>JBP</t>
        </is>
      </c>
      <c r="K19" t="inlineStr">
        <is>
          <t>SEM REDE</t>
        </is>
      </c>
      <c r="L19" t="inlineStr">
        <is>
          <t>SP</t>
        </is>
      </c>
      <c r="M19" t="n">
        <v>1148157242</v>
      </c>
      <c r="N19" t="n">
        <v>16159.24</v>
      </c>
      <c r="O19" t="n">
        <v>467.96</v>
      </c>
      <c r="P19" t="inlineStr">
        <is>
          <t>03 - SP INTERIOR</t>
        </is>
      </c>
      <c r="Q19" t="inlineStr">
        <is>
          <t>LARISSA PADILHA</t>
        </is>
      </c>
      <c r="S19" t="inlineStr">
        <is>
          <t>42.149.466 LARISSA DA SILVA PADILHA - ME</t>
        </is>
      </c>
      <c r="T19" t="inlineStr">
        <is>
          <t>ZV - NAO APLICAVEL</t>
        </is>
      </c>
      <c r="V19" t="inlineStr">
        <is>
          <t>top 50</t>
        </is>
      </c>
      <c r="W19" t="inlineStr">
        <is>
          <t>REGIÕES/GRUPOS</t>
        </is>
      </c>
    </row>
    <row r="20" ht="15" customHeight="1">
      <c r="A20" t="n">
        <v>2.773233</v>
      </c>
      <c r="B20" t="inlineStr">
        <is>
          <t>VERDE</t>
        </is>
      </c>
      <c r="C20" t="n">
        <v>5615.5</v>
      </c>
      <c r="D20" t="n">
        <v>15573.1</v>
      </c>
      <c r="E20" t="n">
        <v>5615.5</v>
      </c>
      <c r="F20" s="6" t="n">
        <v>2.773233</v>
      </c>
      <c r="G20" t="inlineStr">
        <is>
          <t>SEM GRUPO</t>
        </is>
      </c>
      <c r="H20" t="inlineStr">
        <is>
          <t>MG</t>
        </is>
      </c>
      <c r="I20" t="n">
        <v>3195822907</v>
      </c>
      <c r="J20" t="inlineStr">
        <is>
          <t>JBP</t>
        </is>
      </c>
      <c r="K20" t="inlineStr">
        <is>
          <t>SEM REDE</t>
        </is>
      </c>
      <c r="L20" t="inlineStr">
        <is>
          <t>MG</t>
        </is>
      </c>
      <c r="M20" t="n">
        <v>3195822907</v>
      </c>
      <c r="N20" t="n">
        <v>15573.1</v>
      </c>
      <c r="O20" t="n">
        <v>467.96</v>
      </c>
      <c r="P20" t="inlineStr">
        <is>
          <t>03 - RJ + ES + MG</t>
        </is>
      </c>
      <c r="Q20" t="inlineStr">
        <is>
          <t>HEMANUELE DITZEL (MANU)</t>
        </is>
      </c>
      <c r="S20" t="inlineStr">
        <is>
          <t>ZR - NAO APLICAVEL</t>
        </is>
      </c>
      <c r="T20" t="inlineStr">
        <is>
          <t>HEMANUELE ROSA DITZEL</t>
        </is>
      </c>
      <c r="V20" t="inlineStr">
        <is>
          <t>top 50</t>
        </is>
      </c>
      <c r="W20" t="inlineStr">
        <is>
          <t>REGIÕES/GRUPOS</t>
        </is>
      </c>
    </row>
    <row r="21" ht="15" customHeight="1">
      <c r="A21" t="n">
        <v>2.720764</v>
      </c>
      <c r="B21" t="inlineStr">
        <is>
          <t>VERDE</t>
        </is>
      </c>
      <c r="C21" t="n">
        <v>5615.5</v>
      </c>
      <c r="D21" t="n">
        <v>15278.46</v>
      </c>
      <c r="E21" t="n">
        <v>5615.5</v>
      </c>
      <c r="F21" s="6" t="n">
        <v>2.720764</v>
      </c>
      <c r="G21" t="inlineStr">
        <is>
          <t>SEM GRUPO</t>
        </is>
      </c>
      <c r="H21" t="inlineStr">
        <is>
          <t>SP</t>
        </is>
      </c>
      <c r="I21" t="n">
        <v>11931442643</v>
      </c>
      <c r="J21" t="inlineStr">
        <is>
          <t>JBP</t>
        </is>
      </c>
      <c r="K21" t="inlineStr">
        <is>
          <t>SEM REDE</t>
        </is>
      </c>
      <c r="L21" t="inlineStr">
        <is>
          <t>SP</t>
        </is>
      </c>
      <c r="M21" t="n">
        <v>11931442643</v>
      </c>
      <c r="N21" t="n">
        <v>15278.46</v>
      </c>
      <c r="O21" t="n">
        <v>467.96</v>
      </c>
      <c r="P21" t="inlineStr">
        <is>
          <t>03 - SP CAPITAL</t>
        </is>
      </c>
      <c r="Q21" t="inlineStr">
        <is>
          <t>LARISSA PADILHA</t>
        </is>
      </c>
      <c r="S21" t="inlineStr">
        <is>
          <t>42.149.466 LARISSA DA SILVA PADILHA - ME</t>
        </is>
      </c>
      <c r="T21" t="inlineStr">
        <is>
          <t>ZV - NAO APLICAVEL</t>
        </is>
      </c>
      <c r="V21" t="inlineStr">
        <is>
          <t>top 50</t>
        </is>
      </c>
      <c r="W21" t="inlineStr">
        <is>
          <t>REGIÕES/GRUPOS</t>
        </is>
      </c>
    </row>
    <row r="22" ht="15" customHeight="1">
      <c r="A22" t="n">
        <v>2.663665</v>
      </c>
      <c r="B22" t="inlineStr">
        <is>
          <t>VERDE</t>
        </is>
      </c>
      <c r="C22" t="n">
        <v>5615.5</v>
      </c>
      <c r="D22" t="n">
        <v>14957.82</v>
      </c>
      <c r="E22" t="n">
        <v>5615.5</v>
      </c>
      <c r="F22" s="6" t="n">
        <v>2.663665</v>
      </c>
      <c r="G22" t="inlineStr">
        <is>
          <t>SEM GRUPO</t>
        </is>
      </c>
      <c r="H22" t="inlineStr">
        <is>
          <t>SC</t>
        </is>
      </c>
      <c r="I22" t="n">
        <v>4797392571</v>
      </c>
      <c r="J22" t="inlineStr">
        <is>
          <t>JBP</t>
        </is>
      </c>
      <c r="K22" t="inlineStr">
        <is>
          <t>SEM REDE</t>
        </is>
      </c>
      <c r="L22" t="inlineStr">
        <is>
          <t>SC</t>
        </is>
      </c>
      <c r="M22" t="n">
        <v>4797392571</v>
      </c>
      <c r="N22" t="n">
        <v>14957.82</v>
      </c>
      <c r="O22" t="n">
        <v>467.96</v>
      </c>
      <c r="P22" t="inlineStr">
        <is>
          <t>03 - SUL</t>
        </is>
      </c>
      <c r="Q22" t="inlineStr">
        <is>
          <t>HEMANUELE DITZEL (MANU)</t>
        </is>
      </c>
      <c r="S22" t="inlineStr">
        <is>
          <t>ZR - NAO APLICAVEL</t>
        </is>
      </c>
      <c r="T22" t="inlineStr">
        <is>
          <t>HEMANUELE ROSA DITZEL</t>
        </is>
      </c>
      <c r="V22" t="inlineStr">
        <is>
          <t>top 50</t>
        </is>
      </c>
      <c r="W22" t="inlineStr">
        <is>
          <t>REGIÕES/GRUPOS</t>
        </is>
      </c>
    </row>
    <row r="23" ht="15" customHeight="1">
      <c r="A23" t="n">
        <v>2.496041</v>
      </c>
      <c r="B23" t="inlineStr">
        <is>
          <t>VERDE</t>
        </is>
      </c>
      <c r="C23" t="n">
        <v>5615.5</v>
      </c>
      <c r="D23" t="n">
        <v>14016.53</v>
      </c>
      <c r="E23" t="n">
        <v>5615.5</v>
      </c>
      <c r="F23" s="6" t="n">
        <v>2.496041</v>
      </c>
      <c r="G23" t="inlineStr">
        <is>
          <t>SEM GRUPO</t>
        </is>
      </c>
      <c r="H23" t="inlineStr">
        <is>
          <t>MG</t>
        </is>
      </c>
      <c r="I23" t="n">
        <v>3136166485</v>
      </c>
      <c r="J23" t="inlineStr">
        <is>
          <t>JBP</t>
        </is>
      </c>
      <c r="K23" t="inlineStr">
        <is>
          <t>SEM REDE</t>
        </is>
      </c>
      <c r="L23" t="inlineStr">
        <is>
          <t>MG</t>
        </is>
      </c>
      <c r="M23" t="n">
        <v>3136166485</v>
      </c>
      <c r="N23" t="n">
        <v>14016.53</v>
      </c>
      <c r="O23" t="n">
        <v>467.96</v>
      </c>
      <c r="P23" t="inlineStr">
        <is>
          <t>03 - RJ + ES + MG</t>
        </is>
      </c>
      <c r="Q23" t="inlineStr">
        <is>
          <t>LARISSA PADILHA</t>
        </is>
      </c>
      <c r="S23" t="inlineStr">
        <is>
          <t>42.149.466 LARISSA DA SILVA PADILHA - ME</t>
        </is>
      </c>
      <c r="T23" t="inlineStr">
        <is>
          <t>ZV - NAO APLICAVEL</t>
        </is>
      </c>
      <c r="V23" t="inlineStr">
        <is>
          <t>top 50</t>
        </is>
      </c>
      <c r="W23" t="inlineStr">
        <is>
          <t>REGIÕES/GRUPOS</t>
        </is>
      </c>
    </row>
    <row r="24" ht="15" customHeight="1">
      <c r="A24" t="n">
        <v>2.426737</v>
      </c>
      <c r="B24" t="inlineStr">
        <is>
          <t>VERDE</t>
        </is>
      </c>
      <c r="C24" t="n">
        <v>5615.5</v>
      </c>
      <c r="D24" t="n">
        <v>13627.35</v>
      </c>
      <c r="E24" t="n">
        <v>5615.5</v>
      </c>
      <c r="F24" s="6" t="n">
        <v>2.426737</v>
      </c>
      <c r="G24" t="inlineStr">
        <is>
          <t>SEM GRUPO</t>
        </is>
      </c>
      <c r="H24" t="inlineStr">
        <is>
          <t>SP</t>
        </is>
      </c>
      <c r="I24" t="n">
        <v>11993142494</v>
      </c>
      <c r="J24" t="inlineStr">
        <is>
          <t>JBP</t>
        </is>
      </c>
      <c r="K24" t="inlineStr">
        <is>
          <t>SEM REDE</t>
        </is>
      </c>
      <c r="L24" t="inlineStr">
        <is>
          <t>SP</t>
        </is>
      </c>
      <c r="M24" t="n">
        <v>11993142494</v>
      </c>
      <c r="N24" t="n">
        <v>13627.35</v>
      </c>
      <c r="O24" t="n">
        <v>467.96</v>
      </c>
      <c r="P24" t="inlineStr">
        <is>
          <t>03 - SP CAPITAL</t>
        </is>
      </c>
      <c r="Q24" t="inlineStr">
        <is>
          <t>LARISSA PADILHA</t>
        </is>
      </c>
      <c r="S24" t="inlineStr">
        <is>
          <t>42.149.466 LARISSA DA SILVA PADILHA - ME</t>
        </is>
      </c>
      <c r="T24" t="inlineStr">
        <is>
          <t>ZV - NAO APLICAVEL</t>
        </is>
      </c>
      <c r="V24" t="inlineStr">
        <is>
          <t>top 50</t>
        </is>
      </c>
      <c r="W24" t="inlineStr">
        <is>
          <t>REGIÕES/GRUPOS</t>
        </is>
      </c>
    </row>
    <row r="25" ht="15" customHeight="1">
      <c r="A25" t="n">
        <v>2.38106</v>
      </c>
      <c r="B25" t="inlineStr">
        <is>
          <t>VERDE</t>
        </is>
      </c>
      <c r="C25" t="n">
        <v>5615.5</v>
      </c>
      <c r="D25" t="n">
        <v>13370.85</v>
      </c>
      <c r="E25" t="n">
        <v>5615.5</v>
      </c>
      <c r="F25" s="6" t="n">
        <v>2.38106</v>
      </c>
      <c r="G25" t="inlineStr">
        <is>
          <t>SEM GRUPO</t>
        </is>
      </c>
      <c r="H25" t="inlineStr">
        <is>
          <t>SP</t>
        </is>
      </c>
      <c r="I25" t="n">
        <v>16988037695</v>
      </c>
      <c r="J25" t="inlineStr">
        <is>
          <t>JBP</t>
        </is>
      </c>
      <c r="K25" t="inlineStr">
        <is>
          <t>SEM REDE</t>
        </is>
      </c>
      <c r="L25" t="inlineStr">
        <is>
          <t>SP</t>
        </is>
      </c>
      <c r="M25" t="n">
        <v>16988037695</v>
      </c>
      <c r="N25" t="n">
        <v>13370.85</v>
      </c>
      <c r="O25" t="n">
        <v>467.96</v>
      </c>
      <c r="P25" t="inlineStr">
        <is>
          <t>03 - SP INTERIOR</t>
        </is>
      </c>
      <c r="Q25" t="inlineStr">
        <is>
          <t>LARISSA PADILHA</t>
        </is>
      </c>
      <c r="S25" t="inlineStr">
        <is>
          <t>42.149.466 LARISSA DA SILVA PADILHA - ME</t>
        </is>
      </c>
      <c r="T25" t="inlineStr">
        <is>
          <t>ZV - NAO APLICAVEL</t>
        </is>
      </c>
      <c r="V25" t="inlineStr">
        <is>
          <t>top 50</t>
        </is>
      </c>
      <c r="W25" t="inlineStr">
        <is>
          <t>REGIÕES/GRUPOS</t>
        </is>
      </c>
    </row>
    <row r="26" ht="15" customHeight="1">
      <c r="A26" t="n">
        <v>1.22149</v>
      </c>
      <c r="B26" t="inlineStr">
        <is>
          <t>VERDE</t>
        </is>
      </c>
      <c r="C26" t="n">
        <v>10875</v>
      </c>
      <c r="D26" t="n">
        <v>13283.7</v>
      </c>
      <c r="E26" t="n">
        <v>10875</v>
      </c>
      <c r="F26" s="6" t="n">
        <v>1.22149</v>
      </c>
      <c r="G26" t="inlineStr">
        <is>
          <t>CIA DA SAUDE</t>
        </is>
      </c>
      <c r="H26" t="inlineStr">
        <is>
          <t>SC</t>
        </is>
      </c>
      <c r="I26" t="n">
        <v>4733047708</v>
      </c>
      <c r="J26" t="inlineStr">
        <is>
          <t>JBP</t>
        </is>
      </c>
      <c r="K26" t="inlineStr">
        <is>
          <t>CIA DA SAUDE</t>
        </is>
      </c>
      <c r="L26" t="inlineStr">
        <is>
          <t>SC</t>
        </is>
      </c>
      <c r="M26" t="n">
        <v>4733047708</v>
      </c>
      <c r="N26" t="n">
        <v>13283.7</v>
      </c>
      <c r="O26" t="n">
        <v>906.25</v>
      </c>
      <c r="P26" t="inlineStr">
        <is>
          <t>03 - NACIONAL</t>
        </is>
      </c>
      <c r="Q26" t="inlineStr">
        <is>
          <t>JULIO GADRET</t>
        </is>
      </c>
      <c r="S26" t="inlineStr">
        <is>
          <t>LG REPRESENTACOES LTDA - EPP</t>
        </is>
      </c>
      <c r="T26" t="inlineStr">
        <is>
          <t>ZV - NAO APLICAVEL</t>
        </is>
      </c>
      <c r="V26" t="inlineStr">
        <is>
          <t>top 50</t>
        </is>
      </c>
      <c r="W26" t="inlineStr">
        <is>
          <t>REDES E FRANQUIAS</t>
        </is>
      </c>
    </row>
    <row r="27" ht="15" customHeight="1">
      <c r="A27" t="n">
        <v>2.295619</v>
      </c>
      <c r="B27" t="inlineStr">
        <is>
          <t>VERDE</t>
        </is>
      </c>
      <c r="C27" t="n">
        <v>5615.5</v>
      </c>
      <c r="D27" t="n">
        <v>12891.06</v>
      </c>
      <c r="E27" t="n">
        <v>5615.5</v>
      </c>
      <c r="F27" s="6" t="n">
        <v>2.295619</v>
      </c>
      <c r="G27" t="inlineStr">
        <is>
          <t>SEM GRUPO</t>
        </is>
      </c>
      <c r="H27" t="inlineStr">
        <is>
          <t>PA</t>
        </is>
      </c>
      <c r="I27" t="n">
        <v>1</v>
      </c>
      <c r="J27" t="inlineStr">
        <is>
          <t>JBP</t>
        </is>
      </c>
      <c r="K27" t="inlineStr">
        <is>
          <t>SEM REDE</t>
        </is>
      </c>
      <c r="L27" t="inlineStr">
        <is>
          <t>PA</t>
        </is>
      </c>
      <c r="M27" t="n">
        <v>1</v>
      </c>
      <c r="N27" t="n">
        <v>12891.06</v>
      </c>
      <c r="O27" t="n">
        <v>467.96</v>
      </c>
      <c r="P27" t="inlineStr">
        <is>
          <t>03 - NORTE + MA</t>
        </is>
      </c>
      <c r="Q27" t="inlineStr">
        <is>
          <t>LARISSA PADILHA</t>
        </is>
      </c>
      <c r="S27" t="inlineStr">
        <is>
          <t>42.149.466 LARISSA DA SILVA PADILHA - ME</t>
        </is>
      </c>
      <c r="T27" t="inlineStr">
        <is>
          <t>ZV - NAO APLICAVEL</t>
        </is>
      </c>
      <c r="V27" t="inlineStr">
        <is>
          <t>top 50</t>
        </is>
      </c>
      <c r="W27" t="inlineStr">
        <is>
          <t>REGIÕES/GRUPOS</t>
        </is>
      </c>
    </row>
    <row r="28" ht="15" customHeight="1">
      <c r="A28" t="n">
        <v>2.246637</v>
      </c>
      <c r="B28" t="inlineStr">
        <is>
          <t>VERDE</t>
        </is>
      </c>
      <c r="C28" t="n">
        <v>5615.5</v>
      </c>
      <c r="D28" t="n">
        <v>12616</v>
      </c>
      <c r="E28" t="n">
        <v>5615.5</v>
      </c>
      <c r="F28" s="6" t="n">
        <v>2.246637</v>
      </c>
      <c r="G28" t="inlineStr">
        <is>
          <t>SEM GRUPO</t>
        </is>
      </c>
      <c r="H28" t="inlineStr">
        <is>
          <t>SP</t>
        </is>
      </c>
      <c r="I28" t="n">
        <v>1150807000</v>
      </c>
      <c r="J28" t="inlineStr">
        <is>
          <t>JBP</t>
        </is>
      </c>
      <c r="K28" t="inlineStr">
        <is>
          <t>SEM REDE</t>
        </is>
      </c>
      <c r="L28" t="inlineStr">
        <is>
          <t>SP</t>
        </is>
      </c>
      <c r="M28" t="n">
        <v>1150807000</v>
      </c>
      <c r="N28" t="n">
        <v>12616</v>
      </c>
      <c r="O28" t="n">
        <v>467.96</v>
      </c>
      <c r="P28" t="inlineStr">
        <is>
          <t>03 - SP CAPITAL</t>
        </is>
      </c>
      <c r="Q28" t="inlineStr">
        <is>
          <t>LARISSA PADILHA</t>
        </is>
      </c>
      <c r="S28" t="inlineStr">
        <is>
          <t>42.149.466 LARISSA DA SILVA PADILHA - ME</t>
        </is>
      </c>
      <c r="T28" t="inlineStr">
        <is>
          <t>ZV - NAO APLICAVEL</t>
        </is>
      </c>
      <c r="V28" t="inlineStr">
        <is>
          <t>top 50</t>
        </is>
      </c>
      <c r="W28" t="inlineStr">
        <is>
          <t>REGIÕES/GRUPOS</t>
        </is>
      </c>
    </row>
    <row r="29" ht="15" customHeight="1">
      <c r="A29" t="n">
        <v>1.031064</v>
      </c>
      <c r="B29" t="inlineStr">
        <is>
          <t>VERDE</t>
        </is>
      </c>
      <c r="C29" t="n">
        <v>12000</v>
      </c>
      <c r="D29" t="n">
        <v>12372.77</v>
      </c>
      <c r="E29" t="n">
        <v>12000</v>
      </c>
      <c r="F29" s="6" t="n">
        <v>1.031064</v>
      </c>
      <c r="G29" t="inlineStr">
        <is>
          <t>NATURVIDA</t>
        </is>
      </c>
      <c r="H29" t="inlineStr">
        <is>
          <t>RS</t>
        </is>
      </c>
      <c r="I29" t="n">
        <v>5139027349</v>
      </c>
      <c r="J29" t="inlineStr">
        <is>
          <t>JBP</t>
        </is>
      </c>
      <c r="K29" t="inlineStr">
        <is>
          <t>NATURVIDA</t>
        </is>
      </c>
      <c r="L29" t="inlineStr">
        <is>
          <t>RS</t>
        </is>
      </c>
      <c r="M29" t="n">
        <v>5139027349</v>
      </c>
      <c r="N29" t="n">
        <v>12372.77</v>
      </c>
      <c r="O29" t="n">
        <v>1000</v>
      </c>
      <c r="P29" t="inlineStr">
        <is>
          <t>03 - NACIONAL</t>
        </is>
      </c>
      <c r="Q29" t="inlineStr">
        <is>
          <t>HEMANUELE DITZEL (MANU)</t>
        </is>
      </c>
      <c r="S29" t="inlineStr">
        <is>
          <t>ZR - NAO APLICAVEL</t>
        </is>
      </c>
      <c r="T29" t="inlineStr">
        <is>
          <t>HEMANUELE ROSA DITZEL</t>
        </is>
      </c>
      <c r="V29" t="inlineStr">
        <is>
          <t>top 50</t>
        </is>
      </c>
      <c r="W29" t="inlineStr">
        <is>
          <t>REDES E FRANQUIAS</t>
        </is>
      </c>
    </row>
    <row r="30" ht="15" customHeight="1">
      <c r="A30" t="n">
        <v>2.198577</v>
      </c>
      <c r="B30" t="inlineStr">
        <is>
          <t>VERDE</t>
        </is>
      </c>
      <c r="C30" t="n">
        <v>5615.5</v>
      </c>
      <c r="D30" t="n">
        <v>12346.12</v>
      </c>
      <c r="E30" t="n">
        <v>5615.5</v>
      </c>
      <c r="F30" s="6" t="n">
        <v>2.198577</v>
      </c>
      <c r="G30" t="inlineStr">
        <is>
          <t>SEM GRUPO</t>
        </is>
      </c>
      <c r="H30" t="inlineStr">
        <is>
          <t>PE</t>
        </is>
      </c>
      <c r="I30" t="n">
        <v>81997040498</v>
      </c>
      <c r="J30" t="inlineStr">
        <is>
          <t>JBP</t>
        </is>
      </c>
      <c r="K30" t="inlineStr">
        <is>
          <t>SEM REDE</t>
        </is>
      </c>
      <c r="L30" t="inlineStr">
        <is>
          <t>PE</t>
        </is>
      </c>
      <c r="M30" t="n">
        <v>81997040498</v>
      </c>
      <c r="N30" t="n">
        <v>12346.12</v>
      </c>
      <c r="O30" t="n">
        <v>467.96</v>
      </c>
      <c r="P30" t="inlineStr">
        <is>
          <t>03 - NORDESTE (SEM MA)</t>
        </is>
      </c>
      <c r="Q30" t="inlineStr">
        <is>
          <t>LARISSA PADILHA</t>
        </is>
      </c>
      <c r="S30" t="inlineStr">
        <is>
          <t>42.149.466 LARISSA DA SILVA PADILHA - ME</t>
        </is>
      </c>
      <c r="T30" t="inlineStr">
        <is>
          <t>ZV - NAO APLICAVEL</t>
        </is>
      </c>
      <c r="V30" t="inlineStr">
        <is>
          <t>top 50</t>
        </is>
      </c>
      <c r="W30" t="inlineStr">
        <is>
          <t>REGIÕES/GRUPOS</t>
        </is>
      </c>
    </row>
    <row r="31" ht="15" customHeight="1">
      <c r="A31" t="n">
        <v>2.191064</v>
      </c>
      <c r="B31" t="inlineStr">
        <is>
          <t>VERDE</t>
        </is>
      </c>
      <c r="C31" t="n">
        <v>5615.5</v>
      </c>
      <c r="D31" t="n">
        <v>12303.93</v>
      </c>
      <c r="E31" t="n">
        <v>5615.5</v>
      </c>
      <c r="F31" s="6" t="n">
        <v>2.191064</v>
      </c>
      <c r="G31" t="inlineStr">
        <is>
          <t>SEM GRUPO</t>
        </is>
      </c>
      <c r="H31" t="inlineStr">
        <is>
          <t>PR</t>
        </is>
      </c>
      <c r="I31" t="n">
        <v>43999144144</v>
      </c>
      <c r="J31" t="inlineStr">
        <is>
          <t>JBP</t>
        </is>
      </c>
      <c r="K31" t="inlineStr">
        <is>
          <t>SEM REDE</t>
        </is>
      </c>
      <c r="L31" t="inlineStr">
        <is>
          <t>PR</t>
        </is>
      </c>
      <c r="M31" t="n">
        <v>43999144144</v>
      </c>
      <c r="N31" t="n">
        <v>12303.93</v>
      </c>
      <c r="O31" t="n">
        <v>467.96</v>
      </c>
      <c r="P31" t="inlineStr">
        <is>
          <t>03 - SUL</t>
        </is>
      </c>
      <c r="Q31" t="inlineStr">
        <is>
          <t>HEMANUELE DITZEL (MANU)</t>
        </is>
      </c>
      <c r="S31" t="inlineStr">
        <is>
          <t>ZR - NAO APLICAVEL</t>
        </is>
      </c>
      <c r="T31" t="inlineStr">
        <is>
          <t>ZV - NAO APLICAVEL</t>
        </is>
      </c>
      <c r="V31" t="inlineStr">
        <is>
          <t>top 50</t>
        </is>
      </c>
      <c r="W31" t="inlineStr">
        <is>
          <t>REGIÕES/GRUPOS</t>
        </is>
      </c>
    </row>
    <row r="32" ht="15" customHeight="1">
      <c r="A32" t="n">
        <v>2.12091</v>
      </c>
      <c r="B32" t="inlineStr">
        <is>
          <t>VERDE</t>
        </is>
      </c>
      <c r="C32" t="n">
        <v>5615.5</v>
      </c>
      <c r="D32" t="n">
        <v>11909.98</v>
      </c>
      <c r="E32" t="n">
        <v>5615.5</v>
      </c>
      <c r="F32" s="6" t="n">
        <v>2.12091</v>
      </c>
      <c r="G32" t="inlineStr">
        <is>
          <t>SEM GRUPO</t>
        </is>
      </c>
      <c r="H32" t="inlineStr">
        <is>
          <t>SC</t>
        </is>
      </c>
      <c r="I32" t="n">
        <v>4733636986</v>
      </c>
      <c r="J32" t="inlineStr">
        <is>
          <t>JBP</t>
        </is>
      </c>
      <c r="K32" t="inlineStr">
        <is>
          <t>SEM REDE</t>
        </is>
      </c>
      <c r="L32" t="inlineStr">
        <is>
          <t>SC</t>
        </is>
      </c>
      <c r="M32" t="n">
        <v>4733636986</v>
      </c>
      <c r="N32" t="n">
        <v>11909.98</v>
      </c>
      <c r="O32" t="n">
        <v>467.96</v>
      </c>
      <c r="P32" t="inlineStr">
        <is>
          <t>03 - SUL</t>
        </is>
      </c>
      <c r="Q32" t="inlineStr">
        <is>
          <t>HEMANUELE DITZEL (MANU)</t>
        </is>
      </c>
      <c r="S32" t="inlineStr">
        <is>
          <t>ZR - NAO APLICAVEL</t>
        </is>
      </c>
      <c r="T32" t="inlineStr">
        <is>
          <t>HEMANUELE ROSA DITZEL</t>
        </is>
      </c>
      <c r="V32" t="inlineStr">
        <is>
          <t>top 50</t>
        </is>
      </c>
      <c r="W32" t="inlineStr">
        <is>
          <t>REGIÕES/GRUPOS</t>
        </is>
      </c>
    </row>
    <row r="33" ht="15" customHeight="1">
      <c r="A33" t="n">
        <v>1.79635</v>
      </c>
      <c r="B33" t="inlineStr">
        <is>
          <t>VERDE</t>
        </is>
      </c>
      <c r="C33" t="n">
        <v>6566.04</v>
      </c>
      <c r="D33" t="n">
        <v>11794.9</v>
      </c>
      <c r="E33" t="n">
        <v>6566.04</v>
      </c>
      <c r="F33" s="6" t="n">
        <v>1.79635</v>
      </c>
      <c r="G33" t="inlineStr">
        <is>
          <t>DIVINA TERRA</t>
        </is>
      </c>
      <c r="H33" t="inlineStr">
        <is>
          <t>RS</t>
        </is>
      </c>
      <c r="I33" t="n">
        <v>51985429000</v>
      </c>
      <c r="J33" t="inlineStr">
        <is>
          <t>JBP</t>
        </is>
      </c>
      <c r="K33" t="inlineStr">
        <is>
          <t>DIVINA TERRA</t>
        </is>
      </c>
      <c r="L33" t="inlineStr">
        <is>
          <t>RS</t>
        </is>
      </c>
      <c r="M33" t="n">
        <v>51985429000</v>
      </c>
      <c r="N33" t="n">
        <v>11794.9</v>
      </c>
      <c r="O33" t="n">
        <v>547.17</v>
      </c>
      <c r="P33" t="inlineStr">
        <is>
          <t>03 - NACIONAL</t>
        </is>
      </c>
      <c r="Q33" t="inlineStr">
        <is>
          <t>DAIANE STAVICKI</t>
        </is>
      </c>
      <c r="S33" t="inlineStr">
        <is>
          <t>ZR - NAO APLICAVEL</t>
        </is>
      </c>
      <c r="T33" t="inlineStr">
        <is>
          <t>ZV - NAO APLICAVEL</t>
        </is>
      </c>
      <c r="V33" t="inlineStr">
        <is>
          <t>top 50</t>
        </is>
      </c>
      <c r="W33" t="inlineStr">
        <is>
          <t>REDES E FRANQUIAS</t>
        </is>
      </c>
    </row>
    <row r="34" ht="15" customHeight="1">
      <c r="A34" t="n">
        <v>2.005843</v>
      </c>
      <c r="B34" t="inlineStr">
        <is>
          <t>VERDE</t>
        </is>
      </c>
      <c r="C34" t="n">
        <v>5615.5</v>
      </c>
      <c r="D34" t="n">
        <v>11263.82</v>
      </c>
      <c r="E34" t="n">
        <v>5615.5</v>
      </c>
      <c r="F34" s="6" t="n">
        <v>2.005843</v>
      </c>
      <c r="G34" t="inlineStr">
        <is>
          <t>SEM GRUPO</t>
        </is>
      </c>
      <c r="H34" t="inlineStr">
        <is>
          <t>SP</t>
        </is>
      </c>
      <c r="I34" t="n">
        <v>1435542046</v>
      </c>
      <c r="J34" t="inlineStr">
        <is>
          <t>JBP</t>
        </is>
      </c>
      <c r="K34" t="inlineStr">
        <is>
          <t>SEM REDE</t>
        </is>
      </c>
      <c r="L34" t="inlineStr">
        <is>
          <t>SP</t>
        </is>
      </c>
      <c r="M34" t="n">
        <v>1435542046</v>
      </c>
      <c r="N34" t="n">
        <v>11263.82</v>
      </c>
      <c r="O34" t="n">
        <v>467.96</v>
      </c>
      <c r="P34" t="inlineStr">
        <is>
          <t>03 - SP INTERIOR</t>
        </is>
      </c>
      <c r="Q34" t="inlineStr">
        <is>
          <t>LARISSA PADILHA</t>
        </is>
      </c>
      <c r="S34" t="inlineStr">
        <is>
          <t>42.149.466 LARISSA DA SILVA PADILHA - ME</t>
        </is>
      </c>
      <c r="T34" t="inlineStr">
        <is>
          <t>ZV - NAO APLICAVEL</t>
        </is>
      </c>
      <c r="V34" t="inlineStr">
        <is>
          <t>top 50</t>
        </is>
      </c>
      <c r="W34" t="inlineStr">
        <is>
          <t>REGIÕES/GRUPOS</t>
        </is>
      </c>
    </row>
    <row r="35" ht="15" customHeight="1">
      <c r="A35" t="n">
        <v>1.00462</v>
      </c>
      <c r="B35" t="inlineStr">
        <is>
          <t>VERDE</t>
        </is>
      </c>
      <c r="C35" t="n">
        <v>10706.9</v>
      </c>
      <c r="D35" t="n">
        <v>10756.36</v>
      </c>
      <c r="E35" t="n">
        <v>10706.9</v>
      </c>
      <c r="F35" s="6" t="n">
        <v>1.00462</v>
      </c>
      <c r="G35" t="inlineStr">
        <is>
          <t>FITLAND</t>
        </is>
      </c>
      <c r="H35" t="inlineStr">
        <is>
          <t>SC</t>
        </is>
      </c>
      <c r="I35" t="n">
        <v>4799956980</v>
      </c>
      <c r="J35" t="inlineStr">
        <is>
          <t>JBP</t>
        </is>
      </c>
      <c r="K35" t="inlineStr">
        <is>
          <t>FITLAND</t>
        </is>
      </c>
      <c r="L35" t="inlineStr">
        <is>
          <t>SC</t>
        </is>
      </c>
      <c r="M35" t="n">
        <v>4799956980</v>
      </c>
      <c r="N35" t="n">
        <v>10756.36</v>
      </c>
      <c r="O35" t="n">
        <v>892.24</v>
      </c>
      <c r="P35" t="inlineStr">
        <is>
          <t>03 - NACIONAL</t>
        </is>
      </c>
      <c r="Q35" t="inlineStr">
        <is>
          <t>JULIO GADRET</t>
        </is>
      </c>
      <c r="S35" t="inlineStr">
        <is>
          <t>LG REPRESENTACOES LTDA - EPP</t>
        </is>
      </c>
      <c r="T35" t="inlineStr">
        <is>
          <t>ZV - NAO APLICAVEL</t>
        </is>
      </c>
      <c r="V35" t="inlineStr">
        <is>
          <t>top 50</t>
        </is>
      </c>
      <c r="W35" t="inlineStr">
        <is>
          <t>REDES E FRANQUIAS</t>
        </is>
      </c>
    </row>
    <row r="36" ht="15" customHeight="1">
      <c r="A36" t="n">
        <v>0.97781</v>
      </c>
      <c r="B36" t="inlineStr">
        <is>
          <t>VERDE</t>
        </is>
      </c>
      <c r="C36" t="n">
        <v>10706.9</v>
      </c>
      <c r="D36" t="n">
        <v>10469.31</v>
      </c>
      <c r="E36" t="n">
        <v>10706.9</v>
      </c>
      <c r="F36" s="6" t="n">
        <v>0.97781</v>
      </c>
      <c r="G36" t="inlineStr">
        <is>
          <t>FITLAND</t>
        </is>
      </c>
      <c r="H36" t="inlineStr">
        <is>
          <t>SC</t>
        </is>
      </c>
      <c r="I36" t="n">
        <v>47992780085</v>
      </c>
      <c r="J36" t="inlineStr">
        <is>
          <t>JBP</t>
        </is>
      </c>
      <c r="K36" t="inlineStr">
        <is>
          <t>FITLAND</t>
        </is>
      </c>
      <c r="L36" t="inlineStr">
        <is>
          <t>SC</t>
        </is>
      </c>
      <c r="M36" t="n">
        <v>47992780085</v>
      </c>
      <c r="N36" t="n">
        <v>10469.31</v>
      </c>
      <c r="O36" t="n">
        <v>892.24</v>
      </c>
      <c r="P36" t="inlineStr">
        <is>
          <t>03 - NACIONAL</t>
        </is>
      </c>
      <c r="Q36" t="inlineStr">
        <is>
          <t>JULIO GADRET</t>
        </is>
      </c>
      <c r="S36" t="inlineStr">
        <is>
          <t>LG REPRESENTACOES LTDA - EPP</t>
        </is>
      </c>
      <c r="T36" t="inlineStr">
        <is>
          <t>ZV - NAO APLICAVEL</t>
        </is>
      </c>
      <c r="V36" t="inlineStr">
        <is>
          <t>top 50</t>
        </is>
      </c>
      <c r="W36" t="inlineStr">
        <is>
          <t>REDES E FRANQUIAS</t>
        </is>
      </c>
    </row>
    <row r="37" ht="15" customHeight="1">
      <c r="A37" t="n">
        <v>0.971903</v>
      </c>
      <c r="B37" t="inlineStr">
        <is>
          <t>VERDE</t>
        </is>
      </c>
      <c r="C37" t="n">
        <v>10706.9</v>
      </c>
      <c r="D37" t="n">
        <v>10406.06</v>
      </c>
      <c r="E37" t="n">
        <v>10706.9</v>
      </c>
      <c r="F37" s="6" t="n">
        <v>0.971903</v>
      </c>
      <c r="G37" t="inlineStr">
        <is>
          <t>FITLAND</t>
        </is>
      </c>
      <c r="H37" t="inlineStr">
        <is>
          <t>SC</t>
        </is>
      </c>
      <c r="I37" t="n">
        <v>47999956980</v>
      </c>
      <c r="J37" t="inlineStr">
        <is>
          <t>JBP</t>
        </is>
      </c>
      <c r="K37" t="inlineStr">
        <is>
          <t>FITLAND</t>
        </is>
      </c>
      <c r="L37" t="inlineStr">
        <is>
          <t>SC</t>
        </is>
      </c>
      <c r="M37" t="n">
        <v>47999956980</v>
      </c>
      <c r="N37" t="n">
        <v>10406.06</v>
      </c>
      <c r="O37" t="n">
        <v>892.24</v>
      </c>
      <c r="P37" t="inlineStr">
        <is>
          <t>03 - NACIONAL</t>
        </is>
      </c>
      <c r="Q37" t="inlineStr">
        <is>
          <t>JULIO GADRET</t>
        </is>
      </c>
      <c r="S37" t="inlineStr">
        <is>
          <t>LG REPRESENTACOES LTDA - EPP</t>
        </is>
      </c>
      <c r="T37" t="inlineStr">
        <is>
          <t>ZV - NAO APLICAVEL</t>
        </is>
      </c>
      <c r="V37" t="inlineStr">
        <is>
          <t>top 50</t>
        </is>
      </c>
      <c r="W37" t="inlineStr">
        <is>
          <t>REDES E FRANQUIAS</t>
        </is>
      </c>
    </row>
    <row r="38" ht="15" customHeight="1">
      <c r="A38" t="n">
        <v>0.960942</v>
      </c>
      <c r="B38" t="inlineStr">
        <is>
          <t>VERDE</t>
        </is>
      </c>
      <c r="C38" t="n">
        <v>10706.9</v>
      </c>
      <c r="D38" t="n">
        <v>10288.71</v>
      </c>
      <c r="E38" t="n">
        <v>10706.9</v>
      </c>
      <c r="F38" s="6" t="n">
        <v>0.960942</v>
      </c>
      <c r="G38" t="inlineStr">
        <is>
          <t>FITLAND</t>
        </is>
      </c>
      <c r="H38" t="inlineStr">
        <is>
          <t>SC</t>
        </is>
      </c>
      <c r="I38" t="n">
        <v>4799956980</v>
      </c>
      <c r="J38" t="inlineStr">
        <is>
          <t>JBP</t>
        </is>
      </c>
      <c r="K38" t="inlineStr">
        <is>
          <t>FITLAND</t>
        </is>
      </c>
      <c r="L38" t="inlineStr">
        <is>
          <t>SC</t>
        </is>
      </c>
      <c r="M38" t="n">
        <v>4799956980</v>
      </c>
      <c r="N38" t="n">
        <v>10288.71</v>
      </c>
      <c r="O38" t="n">
        <v>892.24</v>
      </c>
      <c r="P38" t="inlineStr">
        <is>
          <t>03 - NACIONAL</t>
        </is>
      </c>
      <c r="Q38" t="inlineStr">
        <is>
          <t>JULIO GADRET</t>
        </is>
      </c>
      <c r="S38" t="inlineStr">
        <is>
          <t>LG REPRESENTACOES LTDA - EPP</t>
        </is>
      </c>
      <c r="T38" t="inlineStr">
        <is>
          <t>ZV - NAO APLICAVEL</t>
        </is>
      </c>
      <c r="V38" t="inlineStr">
        <is>
          <t>top 50</t>
        </is>
      </c>
      <c r="W38" t="inlineStr">
        <is>
          <t>REDES E FRANQUIAS</t>
        </is>
      </c>
    </row>
    <row r="39" ht="15" customHeight="1">
      <c r="A39" t="n">
        <v>1.821657</v>
      </c>
      <c r="B39" t="inlineStr">
        <is>
          <t>VERDE</t>
        </is>
      </c>
      <c r="C39" t="n">
        <v>5615.5</v>
      </c>
      <c r="D39" t="n">
        <v>10229.52</v>
      </c>
      <c r="E39" t="n">
        <v>5615.5</v>
      </c>
      <c r="F39" s="6" t="n">
        <v>1.821657</v>
      </c>
      <c r="G39" t="inlineStr">
        <is>
          <t>SEM GRUPO</t>
        </is>
      </c>
      <c r="H39" t="inlineStr">
        <is>
          <t>PR</t>
        </is>
      </c>
      <c r="I39" t="n">
        <v>4132177700</v>
      </c>
      <c r="J39" t="inlineStr">
        <is>
          <t>JBP</t>
        </is>
      </c>
      <c r="K39" t="inlineStr">
        <is>
          <t>SEM REDE</t>
        </is>
      </c>
      <c r="L39" t="inlineStr">
        <is>
          <t>PR</t>
        </is>
      </c>
      <c r="M39" t="n">
        <v>4132177700</v>
      </c>
      <c r="N39" t="n">
        <v>10229.52</v>
      </c>
      <c r="O39" t="n">
        <v>467.96</v>
      </c>
      <c r="P39" t="inlineStr">
        <is>
          <t>03 - SUL</t>
        </is>
      </c>
      <c r="Q39" t="inlineStr">
        <is>
          <t>HEMANUELE DITZEL (MANU)</t>
        </is>
      </c>
      <c r="S39" t="inlineStr">
        <is>
          <t>ZR - NAO APLICAVEL</t>
        </is>
      </c>
      <c r="T39" t="inlineStr">
        <is>
          <t>HEMANUELE ROSA DITZEL</t>
        </is>
      </c>
      <c r="V39" t="inlineStr">
        <is>
          <t>top 50</t>
        </is>
      </c>
      <c r="W39" t="inlineStr">
        <is>
          <t>REGIÕES/GRUPOS</t>
        </is>
      </c>
    </row>
    <row r="40" ht="15" customHeight="1">
      <c r="A40" t="n">
        <v>1.778423</v>
      </c>
      <c r="B40" t="inlineStr">
        <is>
          <t>VERDE</t>
        </is>
      </c>
      <c r="C40" t="n">
        <v>5615.5</v>
      </c>
      <c r="D40" t="n">
        <v>9986.74</v>
      </c>
      <c r="E40" t="n">
        <v>5615.5</v>
      </c>
      <c r="F40" s="6" t="n">
        <v>1.778423</v>
      </c>
      <c r="G40" t="inlineStr">
        <is>
          <t>SEM GRUPO</t>
        </is>
      </c>
      <c r="H40" t="inlineStr">
        <is>
          <t>MG</t>
        </is>
      </c>
      <c r="I40" t="n">
        <v>3196193930</v>
      </c>
      <c r="J40" t="inlineStr">
        <is>
          <t>JBP</t>
        </is>
      </c>
      <c r="K40" t="inlineStr">
        <is>
          <t>SEM REDE</t>
        </is>
      </c>
      <c r="L40" t="inlineStr">
        <is>
          <t>MG</t>
        </is>
      </c>
      <c r="M40" t="n">
        <v>3196193930</v>
      </c>
      <c r="N40" t="n">
        <v>9986.74</v>
      </c>
      <c r="O40" t="n">
        <v>467.96</v>
      </c>
      <c r="P40" t="inlineStr">
        <is>
          <t>03 - RJ + ES + MG</t>
        </is>
      </c>
      <c r="Q40" t="inlineStr">
        <is>
          <t>LARISSA PADILHA</t>
        </is>
      </c>
      <c r="S40" t="inlineStr">
        <is>
          <t>42.149.466 LARISSA DA SILVA PADILHA - ME</t>
        </is>
      </c>
      <c r="T40" t="inlineStr">
        <is>
          <t>ZV - NAO APLICAVEL</t>
        </is>
      </c>
      <c r="V40" t="inlineStr">
        <is>
          <t>top 50</t>
        </is>
      </c>
      <c r="W40" t="inlineStr">
        <is>
          <t>REGIÕES/GRUPOS</t>
        </is>
      </c>
    </row>
    <row r="41" ht="15" customHeight="1">
      <c r="A41" t="n">
        <v>1.762428</v>
      </c>
      <c r="B41" t="inlineStr">
        <is>
          <t>VERDE</t>
        </is>
      </c>
      <c r="C41" t="n">
        <v>5615.5</v>
      </c>
      <c r="D41" t="n">
        <v>9896.92</v>
      </c>
      <c r="E41" t="n">
        <v>5615.5</v>
      </c>
      <c r="F41" s="6" t="n">
        <v>1.762428</v>
      </c>
      <c r="G41" t="inlineStr">
        <is>
          <t>SEM GRUPO</t>
        </is>
      </c>
      <c r="H41" t="inlineStr">
        <is>
          <t>MG</t>
        </is>
      </c>
      <c r="I41" t="n">
        <v>31377187303</v>
      </c>
      <c r="J41" t="inlineStr">
        <is>
          <t>JBP</t>
        </is>
      </c>
      <c r="K41" t="inlineStr">
        <is>
          <t>SEM REDE</t>
        </is>
      </c>
      <c r="L41" t="inlineStr">
        <is>
          <t>MG</t>
        </is>
      </c>
      <c r="M41" t="n">
        <v>31377187303</v>
      </c>
      <c r="N41" t="n">
        <v>9896.92</v>
      </c>
      <c r="O41" t="n">
        <v>467.96</v>
      </c>
      <c r="P41" t="inlineStr">
        <is>
          <t>03 - RJ + ES + MG</t>
        </is>
      </c>
      <c r="Q41" t="inlineStr">
        <is>
          <t>LARISSA PADILHA</t>
        </is>
      </c>
      <c r="S41" t="inlineStr">
        <is>
          <t>42.149.466 LARISSA DA SILVA PADILHA - ME</t>
        </is>
      </c>
      <c r="T41" t="inlineStr">
        <is>
          <t>ZV - NAO APLICAVEL</t>
        </is>
      </c>
      <c r="V41" t="inlineStr">
        <is>
          <t>top 50</t>
        </is>
      </c>
      <c r="W41" t="inlineStr">
        <is>
          <t>REGIÕES/GRUPOS</t>
        </is>
      </c>
    </row>
    <row r="42" ht="15" customHeight="1">
      <c r="A42" t="n">
        <v>1.751966</v>
      </c>
      <c r="B42" t="inlineStr">
        <is>
          <t>VERDE</t>
        </is>
      </c>
      <c r="C42" t="n">
        <v>5615.5</v>
      </c>
      <c r="D42" t="n">
        <v>9838.17</v>
      </c>
      <c r="E42" t="n">
        <v>5615.5</v>
      </c>
      <c r="F42" s="6" t="n">
        <v>1.751966</v>
      </c>
      <c r="G42" t="inlineStr">
        <is>
          <t>SEM GRUPO</t>
        </is>
      </c>
      <c r="H42" t="inlineStr">
        <is>
          <t>GO</t>
        </is>
      </c>
      <c r="I42" t="n">
        <v>1</v>
      </c>
      <c r="J42" t="inlineStr">
        <is>
          <t>JBP</t>
        </is>
      </c>
      <c r="K42" t="inlineStr">
        <is>
          <t>SEM REDE</t>
        </is>
      </c>
      <c r="L42" t="inlineStr">
        <is>
          <t>GO</t>
        </is>
      </c>
      <c r="M42" t="n">
        <v>1</v>
      </c>
      <c r="N42" t="n">
        <v>9838.17</v>
      </c>
      <c r="O42" t="n">
        <v>467.96</v>
      </c>
      <c r="P42" t="inlineStr">
        <is>
          <t>03 - CENTRO OESTE</t>
        </is>
      </c>
      <c r="Q42" t="inlineStr">
        <is>
          <t>LARISSA PADILHA</t>
        </is>
      </c>
      <c r="S42" t="inlineStr">
        <is>
          <t>42.149.466 LARISSA DA SILVA PADILHA - ME</t>
        </is>
      </c>
      <c r="T42" t="inlineStr">
        <is>
          <t>ZV - NAO APLICAVEL</t>
        </is>
      </c>
      <c r="V42" t="inlineStr">
        <is>
          <t>top 50</t>
        </is>
      </c>
      <c r="W42" t="inlineStr">
        <is>
          <t>REGIÕES/GRUPOS</t>
        </is>
      </c>
    </row>
    <row r="43" ht="15" customHeight="1">
      <c r="A43" t="n">
        <v>1.751009</v>
      </c>
      <c r="B43" t="inlineStr">
        <is>
          <t>VERDE</t>
        </is>
      </c>
      <c r="C43" t="n">
        <v>5615.5</v>
      </c>
      <c r="D43" t="n">
        <v>9832.799999999999</v>
      </c>
      <c r="E43" t="n">
        <v>5615.5</v>
      </c>
      <c r="F43" s="6" t="n">
        <v>1.751009</v>
      </c>
      <c r="G43" t="inlineStr">
        <is>
          <t>SEM GRUPO</t>
        </is>
      </c>
      <c r="H43" t="inlineStr">
        <is>
          <t>PR</t>
        </is>
      </c>
      <c r="I43" t="n">
        <v>4388368610</v>
      </c>
      <c r="J43" t="inlineStr">
        <is>
          <t>JBP</t>
        </is>
      </c>
      <c r="K43" t="inlineStr">
        <is>
          <t>SEM REDE</t>
        </is>
      </c>
      <c r="L43" t="inlineStr">
        <is>
          <t>PR</t>
        </is>
      </c>
      <c r="M43" t="n">
        <v>4388368610</v>
      </c>
      <c r="N43" t="n">
        <v>9832.799999999999</v>
      </c>
      <c r="O43" t="n">
        <v>467.96</v>
      </c>
      <c r="P43" t="inlineStr">
        <is>
          <t>03 - SUL</t>
        </is>
      </c>
      <c r="Q43" t="inlineStr">
        <is>
          <t>HEMANUELE DITZEL (MANU)</t>
        </is>
      </c>
      <c r="S43" t="inlineStr">
        <is>
          <t>ZR - NAO APLICAVEL</t>
        </is>
      </c>
      <c r="T43" t="inlineStr">
        <is>
          <t>HEMANUELE ROSA DITZEL</t>
        </is>
      </c>
      <c r="V43" t="inlineStr">
        <is>
          <t>top 50</t>
        </is>
      </c>
      <c r="W43" t="inlineStr">
        <is>
          <t>REGIÕES/GRUPOS</t>
        </is>
      </c>
    </row>
    <row r="44" ht="15" customHeight="1">
      <c r="A44" t="n">
        <v>1.720269</v>
      </c>
      <c r="B44" t="inlineStr">
        <is>
          <t>VERDE</t>
        </is>
      </c>
      <c r="C44" t="n">
        <v>5615.5</v>
      </c>
      <c r="D44" t="n">
        <v>9660.18</v>
      </c>
      <c r="E44" t="n">
        <v>5615.5</v>
      </c>
      <c r="F44" s="6" t="n">
        <v>1.720269</v>
      </c>
      <c r="G44" t="inlineStr">
        <is>
          <t>SEM GRUPO</t>
        </is>
      </c>
      <c r="H44" t="inlineStr">
        <is>
          <t>PR</t>
        </is>
      </c>
      <c r="I44" t="n">
        <v>4188205031</v>
      </c>
      <c r="J44" t="inlineStr">
        <is>
          <t>JBP</t>
        </is>
      </c>
      <c r="K44" t="inlineStr">
        <is>
          <t>SEM REDE</t>
        </is>
      </c>
      <c r="L44" t="inlineStr">
        <is>
          <t>PR</t>
        </is>
      </c>
      <c r="M44" t="n">
        <v>4188205031</v>
      </c>
      <c r="N44" t="n">
        <v>9660.18</v>
      </c>
      <c r="O44" t="n">
        <v>467.96</v>
      </c>
      <c r="P44" t="inlineStr">
        <is>
          <t>03 - SUL</t>
        </is>
      </c>
      <c r="Q44" t="inlineStr">
        <is>
          <t>HEMANUELE DITZEL (MANU)</t>
        </is>
      </c>
      <c r="S44" t="inlineStr">
        <is>
          <t>ZR - NAO APLICAVEL</t>
        </is>
      </c>
      <c r="T44" t="inlineStr">
        <is>
          <t>HEMANUELE ROSA DITZEL</t>
        </is>
      </c>
      <c r="V44" t="inlineStr">
        <is>
          <t>top 50</t>
        </is>
      </c>
      <c r="W44" t="inlineStr">
        <is>
          <t>REGIÕES/GRUPOS</t>
        </is>
      </c>
    </row>
    <row r="45" ht="15" customHeight="1">
      <c r="A45" t="n">
        <v>1.698547</v>
      </c>
      <c r="B45" t="inlineStr">
        <is>
          <t>VERDE</t>
        </is>
      </c>
      <c r="C45" t="n">
        <v>5615.5</v>
      </c>
      <c r="D45" t="n">
        <v>9538.200000000001</v>
      </c>
      <c r="E45" t="n">
        <v>5615.5</v>
      </c>
      <c r="F45" s="6" t="n">
        <v>1.698547</v>
      </c>
      <c r="G45" t="inlineStr">
        <is>
          <t>SEM GRUPO</t>
        </is>
      </c>
      <c r="H45" t="inlineStr">
        <is>
          <t>SP</t>
        </is>
      </c>
      <c r="I45" t="n">
        <v>11996144707</v>
      </c>
      <c r="J45" t="inlineStr">
        <is>
          <t>JBP</t>
        </is>
      </c>
      <c r="K45" t="inlineStr">
        <is>
          <t>SEM REDE</t>
        </is>
      </c>
      <c r="L45" t="inlineStr">
        <is>
          <t>SP</t>
        </is>
      </c>
      <c r="M45" t="n">
        <v>11996144707</v>
      </c>
      <c r="N45" t="n">
        <v>9538.200000000001</v>
      </c>
      <c r="O45" t="n">
        <v>467.96</v>
      </c>
      <c r="P45" t="inlineStr">
        <is>
          <t>03 - SP CAPITAL</t>
        </is>
      </c>
      <c r="Q45" t="inlineStr">
        <is>
          <t>LARISSA PADILHA</t>
        </is>
      </c>
      <c r="S45" t="inlineStr">
        <is>
          <t>42.149.466 LARISSA DA SILVA PADILHA - ME</t>
        </is>
      </c>
      <c r="T45" t="inlineStr">
        <is>
          <t>ZV - NAO APLICAVEL</t>
        </is>
      </c>
      <c r="V45" t="inlineStr">
        <is>
          <t>top 50</t>
        </is>
      </c>
      <c r="W45" t="inlineStr">
        <is>
          <t>REGIÕES/GRUPOS</t>
        </is>
      </c>
    </row>
    <row r="46" ht="15" customHeight="1">
      <c r="A46" t="n">
        <v>1.656129</v>
      </c>
      <c r="B46" t="inlineStr">
        <is>
          <t>VERDE</t>
        </is>
      </c>
      <c r="C46" t="n">
        <v>5615.5</v>
      </c>
      <c r="D46" t="n">
        <v>9300</v>
      </c>
      <c r="E46" t="n">
        <v>5615.5</v>
      </c>
      <c r="F46" s="6" t="n">
        <v>1.656129</v>
      </c>
      <c r="G46" t="inlineStr">
        <is>
          <t>SEM GRUPO</t>
        </is>
      </c>
      <c r="H46" t="inlineStr">
        <is>
          <t>RS</t>
        </is>
      </c>
      <c r="I46" t="n">
        <v>5199944079</v>
      </c>
      <c r="J46" t="inlineStr">
        <is>
          <t>JBP</t>
        </is>
      </c>
      <c r="K46" t="inlineStr">
        <is>
          <t>SEM REDE</t>
        </is>
      </c>
      <c r="L46" t="inlineStr">
        <is>
          <t>RS</t>
        </is>
      </c>
      <c r="M46" t="n">
        <v>5199944079</v>
      </c>
      <c r="N46" t="n">
        <v>9300</v>
      </c>
      <c r="O46" t="n">
        <v>467.96</v>
      </c>
      <c r="P46" t="inlineStr">
        <is>
          <t>03 - SUL</t>
        </is>
      </c>
      <c r="Q46" t="inlineStr">
        <is>
          <t>HEMANUELE DITZEL (MANU)</t>
        </is>
      </c>
      <c r="S46" t="inlineStr">
        <is>
          <t>ZR - NAO APLICAVEL</t>
        </is>
      </c>
      <c r="T46" t="inlineStr">
        <is>
          <t>HEMANUELE ROSA DITZEL</t>
        </is>
      </c>
      <c r="V46" t="inlineStr">
        <is>
          <t>top 50</t>
        </is>
      </c>
      <c r="W46" t="inlineStr">
        <is>
          <t>REGIÕES/GRUPOS</t>
        </is>
      </c>
    </row>
    <row r="47" ht="15" customHeight="1">
      <c r="A47" t="n">
        <v>1.580278</v>
      </c>
      <c r="B47" t="inlineStr">
        <is>
          <t>VERDE</t>
        </is>
      </c>
      <c r="C47" t="n">
        <v>5615.5</v>
      </c>
      <c r="D47" t="n">
        <v>8874.059999999999</v>
      </c>
      <c r="E47" t="n">
        <v>5615.5</v>
      </c>
      <c r="F47" s="6" t="n">
        <v>1.580278</v>
      </c>
      <c r="G47" t="inlineStr">
        <is>
          <t>SEM GRUPO</t>
        </is>
      </c>
      <c r="H47" t="inlineStr">
        <is>
          <t>MT</t>
        </is>
      </c>
      <c r="I47" t="n">
        <v>66353200506</v>
      </c>
      <c r="J47" t="inlineStr">
        <is>
          <t>JBP</t>
        </is>
      </c>
      <c r="K47" t="inlineStr">
        <is>
          <t>SEM REDE</t>
        </is>
      </c>
      <c r="L47" t="inlineStr">
        <is>
          <t>MT</t>
        </is>
      </c>
      <c r="M47" t="n">
        <v>66353200506</v>
      </c>
      <c r="N47" t="n">
        <v>8874.059999999999</v>
      </c>
      <c r="O47" t="n">
        <v>467.96</v>
      </c>
      <c r="P47" t="inlineStr">
        <is>
          <t>03 - CENTRO OESTE</t>
        </is>
      </c>
      <c r="Q47" t="inlineStr">
        <is>
          <t>LARISSA PADILHA</t>
        </is>
      </c>
      <c r="S47" t="inlineStr">
        <is>
          <t>42.149.466 LARISSA DA SILVA PADILHA - ME</t>
        </is>
      </c>
      <c r="T47" t="inlineStr">
        <is>
          <t>ZV - NAO APLICAVEL</t>
        </is>
      </c>
      <c r="V47" t="inlineStr">
        <is>
          <t>top 50</t>
        </is>
      </c>
      <c r="W47" t="inlineStr">
        <is>
          <t>REGIÕES/GRUPOS</t>
        </is>
      </c>
    </row>
    <row r="48" ht="15" customHeight="1">
      <c r="A48" t="n">
        <v>1.507793</v>
      </c>
      <c r="B48" t="inlineStr">
        <is>
          <t>VERDE</t>
        </is>
      </c>
      <c r="C48" t="n">
        <v>5615.5</v>
      </c>
      <c r="D48" t="n">
        <v>8467.02</v>
      </c>
      <c r="E48" t="n">
        <v>5615.5</v>
      </c>
      <c r="F48" s="6" t="n">
        <v>1.507793</v>
      </c>
      <c r="G48" t="inlineStr">
        <is>
          <t>SEM GRUPO</t>
        </is>
      </c>
      <c r="H48" t="inlineStr">
        <is>
          <t>PR</t>
        </is>
      </c>
      <c r="I48" t="n">
        <v>4191966888</v>
      </c>
      <c r="J48" t="inlineStr">
        <is>
          <t>JBP</t>
        </is>
      </c>
      <c r="K48" t="inlineStr">
        <is>
          <t>SEM REDE</t>
        </is>
      </c>
      <c r="L48" t="inlineStr">
        <is>
          <t>PR</t>
        </is>
      </c>
      <c r="M48" t="n">
        <v>4191966888</v>
      </c>
      <c r="N48" t="n">
        <v>8467.02</v>
      </c>
      <c r="O48" t="n">
        <v>467.96</v>
      </c>
      <c r="P48" t="inlineStr">
        <is>
          <t>03 - SUL</t>
        </is>
      </c>
      <c r="Q48" t="inlineStr">
        <is>
          <t>HEMANUELE DITZEL (MANU)</t>
        </is>
      </c>
      <c r="S48" t="inlineStr">
        <is>
          <t>ZR - NAO APLICAVEL</t>
        </is>
      </c>
      <c r="T48" t="inlineStr">
        <is>
          <t>HEMANUELE ROSA DITZEL</t>
        </is>
      </c>
      <c r="V48" t="inlineStr">
        <is>
          <t>top 50</t>
        </is>
      </c>
      <c r="W48" t="inlineStr">
        <is>
          <t>REGIÕES/GRUPOS</t>
        </is>
      </c>
    </row>
    <row r="49" ht="15" customHeight="1">
      <c r="A49" t="n">
        <v>0.704813</v>
      </c>
      <c r="B49" t="inlineStr">
        <is>
          <t>VERDE</t>
        </is>
      </c>
      <c r="C49" t="n">
        <v>12000</v>
      </c>
      <c r="D49" t="n">
        <v>8457.75</v>
      </c>
      <c r="E49" t="n">
        <v>12000</v>
      </c>
      <c r="F49" s="6" t="n">
        <v>0.704813</v>
      </c>
      <c r="G49" t="inlineStr">
        <is>
          <t>NATURVIDA</t>
        </is>
      </c>
      <c r="H49" t="inlineStr">
        <is>
          <t>RS</t>
        </is>
      </c>
      <c r="I49" t="n">
        <v>5137193512</v>
      </c>
      <c r="J49" t="inlineStr">
        <is>
          <t>JBP</t>
        </is>
      </c>
      <c r="K49" t="inlineStr">
        <is>
          <t>NATURVIDA</t>
        </is>
      </c>
      <c r="L49" t="inlineStr">
        <is>
          <t>RS</t>
        </is>
      </c>
      <c r="M49" t="n">
        <v>5137193512</v>
      </c>
      <c r="N49" t="n">
        <v>8457.75</v>
      </c>
      <c r="O49" t="n">
        <v>1000</v>
      </c>
      <c r="P49" t="inlineStr">
        <is>
          <t>03 - NACIONAL</t>
        </is>
      </c>
      <c r="Q49" t="inlineStr">
        <is>
          <t>HEMANUELE DITZEL (MANU)</t>
        </is>
      </c>
      <c r="S49" t="inlineStr">
        <is>
          <t>ZR - NAO APLICAVEL</t>
        </is>
      </c>
      <c r="T49" t="inlineStr">
        <is>
          <t>HEMANUELE ROSA DITZEL</t>
        </is>
      </c>
      <c r="V49" t="inlineStr">
        <is>
          <t>top 50</t>
        </is>
      </c>
      <c r="W49" t="inlineStr">
        <is>
          <t>REDES E FRANQUIAS</t>
        </is>
      </c>
    </row>
    <row r="50" ht="15" customHeight="1">
      <c r="A50" t="n">
        <v>0.772213</v>
      </c>
      <c r="B50" t="inlineStr">
        <is>
          <t>VERDE</t>
        </is>
      </c>
      <c r="C50" t="n">
        <v>10706.9</v>
      </c>
      <c r="D50" t="n">
        <v>8268</v>
      </c>
      <c r="E50" t="n">
        <v>10706.9</v>
      </c>
      <c r="F50" s="6" t="n">
        <v>0.772213</v>
      </c>
      <c r="G50" t="inlineStr">
        <is>
          <t>FITLAND</t>
        </is>
      </c>
      <c r="H50" t="inlineStr">
        <is>
          <t>SC</t>
        </is>
      </c>
      <c r="I50" t="n">
        <v>4799956980</v>
      </c>
      <c r="J50" t="inlineStr">
        <is>
          <t>JBP</t>
        </is>
      </c>
      <c r="K50" t="inlineStr">
        <is>
          <t>FITLAND</t>
        </is>
      </c>
      <c r="L50" t="inlineStr">
        <is>
          <t>SC</t>
        </is>
      </c>
      <c r="M50" t="n">
        <v>4799956980</v>
      </c>
      <c r="N50" t="n">
        <v>8268</v>
      </c>
      <c r="O50" t="n">
        <v>892.24</v>
      </c>
      <c r="P50" t="inlineStr">
        <is>
          <t>03 - NACIONAL</t>
        </is>
      </c>
      <c r="Q50" t="inlineStr">
        <is>
          <t>JULIO GADRET</t>
        </is>
      </c>
      <c r="S50" t="inlineStr">
        <is>
          <t>LG REPRESENTACOES LTDA - EPP</t>
        </is>
      </c>
      <c r="T50" t="inlineStr">
        <is>
          <t>ZV - NAO APLICAVEL</t>
        </is>
      </c>
      <c r="V50" t="inlineStr">
        <is>
          <t>top 50</t>
        </is>
      </c>
      <c r="W50" t="inlineStr">
        <is>
          <t>REDES E FRANQUIAS</t>
        </is>
      </c>
    </row>
    <row r="51" ht="15" customHeight="1">
      <c r="A51" t="n">
        <v>1.467188</v>
      </c>
      <c r="B51" t="inlineStr">
        <is>
          <t>VERDE</t>
        </is>
      </c>
      <c r="C51" t="n">
        <v>5615.5</v>
      </c>
      <c r="D51" t="n">
        <v>8239</v>
      </c>
      <c r="E51" t="n">
        <v>5615.5</v>
      </c>
      <c r="F51" s="6" t="n">
        <v>1.467188</v>
      </c>
      <c r="G51" t="inlineStr">
        <is>
          <t>SEM GRUPO</t>
        </is>
      </c>
      <c r="H51" t="inlineStr">
        <is>
          <t>SP</t>
        </is>
      </c>
      <c r="I51" t="n">
        <v>11980250123</v>
      </c>
      <c r="J51" t="inlineStr">
        <is>
          <t>JBP</t>
        </is>
      </c>
      <c r="K51" t="inlineStr">
        <is>
          <t>SEM REDE</t>
        </is>
      </c>
      <c r="L51" t="inlineStr">
        <is>
          <t>SP</t>
        </is>
      </c>
      <c r="M51" t="n">
        <v>11980250123</v>
      </c>
      <c r="N51" t="n">
        <v>8239</v>
      </c>
      <c r="O51" t="n">
        <v>467.96</v>
      </c>
      <c r="P51" t="inlineStr">
        <is>
          <t>03 - SP INTERIOR</t>
        </is>
      </c>
      <c r="Q51" t="inlineStr">
        <is>
          <t>LARISSA PADILHA</t>
        </is>
      </c>
      <c r="S51" t="inlineStr">
        <is>
          <t>42.149.466 LARISSA DA SILVA PADILHA - ME</t>
        </is>
      </c>
      <c r="T51" t="inlineStr">
        <is>
          <t>ZV - NAO APLICAVEL</t>
        </is>
      </c>
      <c r="V51" t="inlineStr">
        <is>
          <t>top 50</t>
        </is>
      </c>
      <c r="W51" t="inlineStr">
        <is>
          <t>REGIÕES/GRUPOS</t>
        </is>
      </c>
    </row>
    <row r="52" ht="15" customHeight="1">
      <c r="A52" t="n">
        <v>1.466333</v>
      </c>
      <c r="B52" t="inlineStr">
        <is>
          <t>VERDE</t>
        </is>
      </c>
      <c r="C52" t="n">
        <v>5615.5</v>
      </c>
      <c r="D52" t="n">
        <v>8234.200000000001</v>
      </c>
      <c r="E52" t="n">
        <v>5615.5</v>
      </c>
      <c r="F52" s="6" t="n">
        <v>1.466333</v>
      </c>
      <c r="G52" t="inlineStr">
        <is>
          <t>SEM GRUPO</t>
        </is>
      </c>
      <c r="H52" t="inlineStr">
        <is>
          <t>SP</t>
        </is>
      </c>
      <c r="I52" t="n">
        <v>1140811061</v>
      </c>
      <c r="J52" t="inlineStr">
        <is>
          <t>JBP</t>
        </is>
      </c>
      <c r="K52" t="inlineStr">
        <is>
          <t>SEM REDE</t>
        </is>
      </c>
      <c r="L52" t="inlineStr">
        <is>
          <t>SP</t>
        </is>
      </c>
      <c r="M52" t="n">
        <v>1140811061</v>
      </c>
      <c r="N52" t="n">
        <v>8234.200000000001</v>
      </c>
      <c r="O52" t="n">
        <v>467.96</v>
      </c>
      <c r="P52" t="inlineStr">
        <is>
          <t>03 - SP CAPITAL</t>
        </is>
      </c>
      <c r="Q52" t="inlineStr">
        <is>
          <t>LARISSA PADILHA</t>
        </is>
      </c>
      <c r="S52" t="inlineStr">
        <is>
          <t>42.149.466 LARISSA DA SILVA PADILHA - ME</t>
        </is>
      </c>
      <c r="T52" t="inlineStr">
        <is>
          <t>ZV - NAO APLICAVEL</t>
        </is>
      </c>
      <c r="V52" t="inlineStr">
        <is>
          <t>top 50</t>
        </is>
      </c>
      <c r="W52" t="inlineStr">
        <is>
          <t>REGIÕES/GRUPOS</t>
        </is>
      </c>
    </row>
    <row r="53" ht="15" customHeight="1">
      <c r="A53" t="n">
        <v>1.445315</v>
      </c>
      <c r="B53" t="inlineStr">
        <is>
          <t>VERDE</t>
        </is>
      </c>
      <c r="C53" t="n">
        <v>5615.5</v>
      </c>
      <c r="D53" t="n">
        <v>8116.17</v>
      </c>
      <c r="E53" t="n">
        <v>5615.5</v>
      </c>
      <c r="F53" s="6" t="n">
        <v>1.445315</v>
      </c>
      <c r="G53" t="inlineStr">
        <is>
          <t>SEM GRUPO</t>
        </is>
      </c>
      <c r="H53" t="inlineStr">
        <is>
          <t>MG</t>
        </is>
      </c>
      <c r="I53" t="n">
        <v>3584162455</v>
      </c>
      <c r="J53" t="inlineStr">
        <is>
          <t>JBP</t>
        </is>
      </c>
      <c r="K53" t="inlineStr">
        <is>
          <t>SEM REDE</t>
        </is>
      </c>
      <c r="L53" t="inlineStr">
        <is>
          <t>MG</t>
        </is>
      </c>
      <c r="M53" t="n">
        <v>3584162455</v>
      </c>
      <c r="N53" t="n">
        <v>8116.17</v>
      </c>
      <c r="O53" t="n">
        <v>467.96</v>
      </c>
      <c r="P53" t="inlineStr">
        <is>
          <t>03 - RJ + ES + MG</t>
        </is>
      </c>
      <c r="Q53" t="inlineStr">
        <is>
          <t>LARISSA PADILHA</t>
        </is>
      </c>
      <c r="S53" t="inlineStr">
        <is>
          <t>42.149.466 LARISSA DA SILVA PADILHA - ME</t>
        </is>
      </c>
      <c r="T53" t="inlineStr">
        <is>
          <t>ZV - NAO APLICAVEL</t>
        </is>
      </c>
      <c r="V53" t="inlineStr">
        <is>
          <t>top 100</t>
        </is>
      </c>
      <c r="W53" t="inlineStr">
        <is>
          <t>REGIÕES/GRUPOS</t>
        </is>
      </c>
    </row>
    <row r="54" ht="15" customHeight="1">
      <c r="A54" t="n">
        <v>1.430799</v>
      </c>
      <c r="B54" t="inlineStr">
        <is>
          <t>VERDE</t>
        </is>
      </c>
      <c r="C54" t="n">
        <v>5615.5</v>
      </c>
      <c r="D54" t="n">
        <v>8034.66</v>
      </c>
      <c r="E54" t="n">
        <v>5615.5</v>
      </c>
      <c r="F54" s="6" t="n">
        <v>1.430799</v>
      </c>
      <c r="G54" t="inlineStr">
        <is>
          <t>SEM GRUPO</t>
        </is>
      </c>
      <c r="H54" t="inlineStr">
        <is>
          <t>BA</t>
        </is>
      </c>
      <c r="I54" t="n">
        <v>75999105787</v>
      </c>
      <c r="J54" t="inlineStr">
        <is>
          <t>JBP</t>
        </is>
      </c>
      <c r="K54" t="inlineStr">
        <is>
          <t>SEM REDE</t>
        </is>
      </c>
      <c r="L54" t="inlineStr">
        <is>
          <t>BA</t>
        </is>
      </c>
      <c r="M54" t="n">
        <v>75999105787</v>
      </c>
      <c r="N54" t="n">
        <v>8034.66</v>
      </c>
      <c r="O54" t="n">
        <v>467.96</v>
      </c>
      <c r="P54" t="inlineStr">
        <is>
          <t>03 - NORDESTE (SEM MA)</t>
        </is>
      </c>
      <c r="Q54" t="inlineStr">
        <is>
          <t>HEMANUELE DITZEL (MANU)</t>
        </is>
      </c>
      <c r="S54" t="inlineStr">
        <is>
          <t>ZR - NAO APLICAVEL</t>
        </is>
      </c>
      <c r="T54" t="inlineStr">
        <is>
          <t>HEMANUELE ROSA DITZEL</t>
        </is>
      </c>
      <c r="V54" t="inlineStr">
        <is>
          <t>top 100</t>
        </is>
      </c>
      <c r="W54" t="inlineStr">
        <is>
          <t>REGIÕES/GRUPOS</t>
        </is>
      </c>
    </row>
    <row r="55" ht="15" customHeight="1">
      <c r="A55" t="n">
        <v>1.414922</v>
      </c>
      <c r="B55" t="inlineStr">
        <is>
          <t>VERDE</t>
        </is>
      </c>
      <c r="C55" t="n">
        <v>5615.5</v>
      </c>
      <c r="D55" t="n">
        <v>7945.5</v>
      </c>
      <c r="E55" t="n">
        <v>5615.5</v>
      </c>
      <c r="F55" s="6" t="n">
        <v>1.414922</v>
      </c>
      <c r="G55" t="inlineStr">
        <is>
          <t>SEM GRUPO</t>
        </is>
      </c>
      <c r="H55" t="inlineStr">
        <is>
          <t>PR</t>
        </is>
      </c>
      <c r="I55" t="n">
        <v>4184420498</v>
      </c>
      <c r="J55" t="inlineStr">
        <is>
          <t>JBP</t>
        </is>
      </c>
      <c r="K55" t="inlineStr">
        <is>
          <t>SEM REDE</t>
        </is>
      </c>
      <c r="L55" t="inlineStr">
        <is>
          <t>PR</t>
        </is>
      </c>
      <c r="M55" t="n">
        <v>4184420498</v>
      </c>
      <c r="N55" t="n">
        <v>7945.5</v>
      </c>
      <c r="O55" t="n">
        <v>467.96</v>
      </c>
      <c r="P55" t="inlineStr">
        <is>
          <t>03 - SUL</t>
        </is>
      </c>
      <c r="Q55" t="inlineStr">
        <is>
          <t>HEMANUELE DITZEL (MANU)</t>
        </is>
      </c>
      <c r="S55" t="inlineStr">
        <is>
          <t>ZR - NAO APLICAVEL</t>
        </is>
      </c>
      <c r="T55" t="inlineStr">
        <is>
          <t>HEMANUELE ROSA DITZEL</t>
        </is>
      </c>
      <c r="V55" t="inlineStr">
        <is>
          <t>top 100</t>
        </is>
      </c>
      <c r="W55" t="inlineStr">
        <is>
          <t>REGIÕES/GRUPOS</t>
        </is>
      </c>
    </row>
    <row r="56" ht="15" customHeight="1">
      <c r="A56" t="n">
        <v>1.404136</v>
      </c>
      <c r="B56" t="inlineStr">
        <is>
          <t>VERDE</t>
        </is>
      </c>
      <c r="C56" t="n">
        <v>5615.5</v>
      </c>
      <c r="D56" t="n">
        <v>7884.93</v>
      </c>
      <c r="E56" t="n">
        <v>5615.5</v>
      </c>
      <c r="F56" s="6" t="n">
        <v>1.404136</v>
      </c>
      <c r="G56" t="inlineStr">
        <is>
          <t>SEM GRUPO</t>
        </is>
      </c>
      <c r="H56" t="inlineStr">
        <is>
          <t>PA</t>
        </is>
      </c>
      <c r="I56" t="n">
        <v>9491722241</v>
      </c>
      <c r="J56" t="inlineStr">
        <is>
          <t>JBP</t>
        </is>
      </c>
      <c r="K56" t="inlineStr">
        <is>
          <t>SEM REDE</t>
        </is>
      </c>
      <c r="L56" t="inlineStr">
        <is>
          <t>PA</t>
        </is>
      </c>
      <c r="M56" t="n">
        <v>9491722241</v>
      </c>
      <c r="N56" t="n">
        <v>7884.93</v>
      </c>
      <c r="O56" t="n">
        <v>467.96</v>
      </c>
      <c r="P56" t="inlineStr">
        <is>
          <t>03 - NORTE + MA</t>
        </is>
      </c>
      <c r="Q56" t="inlineStr">
        <is>
          <t>LARISSA PADILHA</t>
        </is>
      </c>
      <c r="S56" t="inlineStr">
        <is>
          <t>42.149.466 LARISSA DA SILVA PADILHA - ME</t>
        </is>
      </c>
      <c r="T56" t="inlineStr">
        <is>
          <t>ZV - NAO APLICAVEL</t>
        </is>
      </c>
      <c r="V56" t="inlineStr">
        <is>
          <t>top 100</t>
        </is>
      </c>
      <c r="W56" t="inlineStr">
        <is>
          <t>REGIÕES/GRUPOS</t>
        </is>
      </c>
    </row>
    <row r="57" ht="15" customHeight="1">
      <c r="A57" t="n">
        <v>1.397575</v>
      </c>
      <c r="B57" t="inlineStr">
        <is>
          <t>VERDE</t>
        </is>
      </c>
      <c r="C57" t="n">
        <v>5615.5</v>
      </c>
      <c r="D57" t="n">
        <v>7848.09</v>
      </c>
      <c r="E57" t="n">
        <v>5615.5</v>
      </c>
      <c r="F57" s="6" t="n">
        <v>1.397575</v>
      </c>
      <c r="G57" t="inlineStr">
        <is>
          <t>SEM GRUPO</t>
        </is>
      </c>
      <c r="H57" t="inlineStr">
        <is>
          <t>ES</t>
        </is>
      </c>
      <c r="I57" t="n">
        <v>27999386912</v>
      </c>
      <c r="J57" t="inlineStr">
        <is>
          <t>JBP</t>
        </is>
      </c>
      <c r="K57" t="inlineStr">
        <is>
          <t>SEM REDE</t>
        </is>
      </c>
      <c r="L57" t="inlineStr">
        <is>
          <t>ES</t>
        </is>
      </c>
      <c r="M57" t="n">
        <v>27999386912</v>
      </c>
      <c r="N57" t="n">
        <v>7848.09</v>
      </c>
      <c r="O57" t="n">
        <v>467.96</v>
      </c>
      <c r="P57" t="inlineStr">
        <is>
          <t>03 - RJ + ES + MG</t>
        </is>
      </c>
      <c r="Q57" t="inlineStr">
        <is>
          <t>LARISSA PADILHA</t>
        </is>
      </c>
      <c r="S57" t="inlineStr">
        <is>
          <t>42.149.466 LARISSA DA SILVA PADILHA - ME</t>
        </is>
      </c>
      <c r="T57" t="inlineStr">
        <is>
          <t>ZV - NAO APLICAVEL</t>
        </is>
      </c>
      <c r="V57" t="inlineStr">
        <is>
          <t>top 100</t>
        </is>
      </c>
      <c r="W57" t="inlineStr">
        <is>
          <t>REGIÕES/GRUPOS</t>
        </is>
      </c>
    </row>
    <row r="58" ht="15" customHeight="1">
      <c r="A58" t="n">
        <v>1.388812</v>
      </c>
      <c r="B58" t="inlineStr">
        <is>
          <t>VERDE</t>
        </is>
      </c>
      <c r="C58" t="n">
        <v>5615.5</v>
      </c>
      <c r="D58" t="n">
        <v>7798.88</v>
      </c>
      <c r="E58" t="n">
        <v>5615.5</v>
      </c>
      <c r="F58" s="6" t="n">
        <v>1.388812</v>
      </c>
      <c r="G58" t="inlineStr">
        <is>
          <t>SEM GRUPO</t>
        </is>
      </c>
      <c r="H58" t="inlineStr">
        <is>
          <t>MG</t>
        </is>
      </c>
      <c r="I58" t="n">
        <v>33988822904</v>
      </c>
      <c r="J58" t="inlineStr">
        <is>
          <t>JBP</t>
        </is>
      </c>
      <c r="K58" t="inlineStr">
        <is>
          <t>SEM REDE</t>
        </is>
      </c>
      <c r="L58" t="inlineStr">
        <is>
          <t>MG</t>
        </is>
      </c>
      <c r="M58" t="n">
        <v>33988822904</v>
      </c>
      <c r="N58" t="n">
        <v>7798.88</v>
      </c>
      <c r="O58" t="n">
        <v>467.96</v>
      </c>
      <c r="P58" t="inlineStr">
        <is>
          <t>03 - RJ + ES + MG</t>
        </is>
      </c>
      <c r="Q58" t="inlineStr">
        <is>
          <t>LARISSA PADILHA</t>
        </is>
      </c>
      <c r="S58" t="inlineStr">
        <is>
          <t>42.149.466 LARISSA DA SILVA PADILHA - ME</t>
        </is>
      </c>
      <c r="T58" t="inlineStr">
        <is>
          <t>ZV - NAO APLICAVEL</t>
        </is>
      </c>
      <c r="V58" t="inlineStr">
        <is>
          <t>top 100</t>
        </is>
      </c>
      <c r="W58" t="inlineStr">
        <is>
          <t>REGIÕES/GRUPOS</t>
        </is>
      </c>
    </row>
    <row r="59" ht="15" customHeight="1">
      <c r="A59" t="n">
        <v>0.262383</v>
      </c>
      <c r="B59" t="inlineStr">
        <is>
          <t>VERMELHO</t>
        </is>
      </c>
      <c r="C59" t="n">
        <v>28500</v>
      </c>
      <c r="D59" t="n">
        <v>7477.91</v>
      </c>
      <c r="E59" t="n">
        <v>28500</v>
      </c>
      <c r="F59" s="6" t="n">
        <v>0.262383</v>
      </c>
      <c r="G59" t="inlineStr">
        <is>
          <t>MAIS NATURAL</t>
        </is>
      </c>
      <c r="H59" t="inlineStr">
        <is>
          <t>RS</t>
        </is>
      </c>
      <c r="I59" t="n">
        <v>5535351201</v>
      </c>
      <c r="J59" t="inlineStr">
        <is>
          <t>Plano de Negócio</t>
        </is>
      </c>
      <c r="K59" t="inlineStr">
        <is>
          <t>MAIS NATURAL</t>
        </is>
      </c>
      <c r="L59" t="inlineStr">
        <is>
          <t>RS</t>
        </is>
      </c>
      <c r="M59" t="n">
        <v>5535351201</v>
      </c>
      <c r="N59" t="n">
        <v>7477.91</v>
      </c>
      <c r="O59" t="n">
        <v>2375</v>
      </c>
      <c r="P59" t="inlineStr">
        <is>
          <t>03 - NACIONAL</t>
        </is>
      </c>
      <c r="Q59" t="inlineStr">
        <is>
          <t>DAIANE STAVICKI</t>
        </is>
      </c>
      <c r="S59" t="inlineStr">
        <is>
          <t>ZR - NAO APLICAVEL</t>
        </is>
      </c>
      <c r="T59" t="inlineStr">
        <is>
          <t>ZV - NAO APLICAVEL</t>
        </is>
      </c>
      <c r="V59" t="inlineStr">
        <is>
          <t>top 100</t>
        </is>
      </c>
      <c r="W59" t="inlineStr">
        <is>
          <t>REDES E FRANQUIAS</t>
        </is>
      </c>
    </row>
    <row r="60" ht="15" customHeight="1">
      <c r="A60" t="n">
        <v>0.8441</v>
      </c>
      <c r="B60" t="inlineStr">
        <is>
          <t>VERDE</t>
        </is>
      </c>
      <c r="C60" t="n">
        <v>8833.33</v>
      </c>
      <c r="D60" t="n">
        <v>7456.22</v>
      </c>
      <c r="E60" t="n">
        <v>8833.33</v>
      </c>
      <c r="F60" s="6" t="n">
        <v>0.8441</v>
      </c>
      <c r="G60" t="inlineStr">
        <is>
          <t>TUDO EM GRAOS / VGA</t>
        </is>
      </c>
      <c r="H60" t="inlineStr">
        <is>
          <t>RS</t>
        </is>
      </c>
      <c r="I60" t="n">
        <v>5196592848</v>
      </c>
      <c r="J60" t="inlineStr">
        <is>
          <t>JBP</t>
        </is>
      </c>
      <c r="K60" t="inlineStr">
        <is>
          <t>TUDO EM GRAOS</t>
        </is>
      </c>
      <c r="L60" t="inlineStr">
        <is>
          <t>RS</t>
        </is>
      </c>
      <c r="M60" t="n">
        <v>5196592848</v>
      </c>
      <c r="N60" t="n">
        <v>7456.22</v>
      </c>
      <c r="O60" t="n">
        <v>736.11</v>
      </c>
      <c r="P60" t="inlineStr">
        <is>
          <t>03 - NACIONAL</t>
        </is>
      </c>
      <c r="Q60" t="inlineStr">
        <is>
          <t>DAIANE STAVICKI</t>
        </is>
      </c>
      <c r="S60" t="inlineStr">
        <is>
          <t>ZR - NAO APLICAVEL</t>
        </is>
      </c>
      <c r="T60" t="inlineStr">
        <is>
          <t>ZV - NAO APLICAVEL</t>
        </is>
      </c>
      <c r="V60" t="inlineStr">
        <is>
          <t>top 100</t>
        </is>
      </c>
      <c r="W60" t="inlineStr">
        <is>
          <t>REDES E FRANQUIAS</t>
        </is>
      </c>
    </row>
    <row r="61" ht="15" customHeight="1">
      <c r="A61" t="n">
        <v>1.320152</v>
      </c>
      <c r="B61" t="inlineStr">
        <is>
          <t>VERDE</t>
        </is>
      </c>
      <c r="C61" t="n">
        <v>5615.5</v>
      </c>
      <c r="D61" t="n">
        <v>7413.32</v>
      </c>
      <c r="E61" t="n">
        <v>5615.5</v>
      </c>
      <c r="F61" s="6" t="n">
        <v>1.320152</v>
      </c>
      <c r="G61" t="inlineStr">
        <is>
          <t>SEM GRUPO</t>
        </is>
      </c>
      <c r="H61" t="inlineStr">
        <is>
          <t>RJ</t>
        </is>
      </c>
      <c r="I61" t="n">
        <v>22981040677</v>
      </c>
      <c r="J61" t="inlineStr">
        <is>
          <t>JBP</t>
        </is>
      </c>
      <c r="K61" t="inlineStr">
        <is>
          <t>SEM REDE</t>
        </is>
      </c>
      <c r="L61" t="inlineStr">
        <is>
          <t>RJ</t>
        </is>
      </c>
      <c r="M61" t="n">
        <v>22981040677</v>
      </c>
      <c r="N61" t="n">
        <v>7413.32</v>
      </c>
      <c r="O61" t="n">
        <v>467.96</v>
      </c>
      <c r="P61" t="inlineStr">
        <is>
          <t>03 - RJ + ES + MG</t>
        </is>
      </c>
      <c r="Q61" t="inlineStr">
        <is>
          <t>LARISSA PADILHA</t>
        </is>
      </c>
      <c r="S61" t="inlineStr">
        <is>
          <t>ZR - NAO APLICAVEL</t>
        </is>
      </c>
      <c r="T61" t="inlineStr">
        <is>
          <t>ZV - NAO APLICAVEL</t>
        </is>
      </c>
      <c r="V61" t="inlineStr">
        <is>
          <t>top 100</t>
        </is>
      </c>
      <c r="W61" t="inlineStr">
        <is>
          <t>REGIÕES/GRUPOS</t>
        </is>
      </c>
    </row>
    <row r="62" ht="15" customHeight="1">
      <c r="A62" t="n">
        <v>1.293106</v>
      </c>
      <c r="B62" t="inlineStr">
        <is>
          <t>VERDE</t>
        </is>
      </c>
      <c r="C62" t="n">
        <v>5615.5</v>
      </c>
      <c r="D62" t="n">
        <v>7261.44</v>
      </c>
      <c r="E62" t="n">
        <v>5615.5</v>
      </c>
      <c r="F62" s="6" t="n">
        <v>1.293106</v>
      </c>
      <c r="G62" t="inlineStr">
        <is>
          <t>SEM GRUPO</t>
        </is>
      </c>
      <c r="H62" t="inlineStr">
        <is>
          <t>MS</t>
        </is>
      </c>
      <c r="I62" t="n">
        <v>6796842698</v>
      </c>
      <c r="J62" t="inlineStr">
        <is>
          <t>JBP</t>
        </is>
      </c>
      <c r="K62" t="inlineStr">
        <is>
          <t>SEM REDE</t>
        </is>
      </c>
      <c r="L62" t="inlineStr">
        <is>
          <t>MS</t>
        </is>
      </c>
      <c r="M62" t="n">
        <v>6796842698</v>
      </c>
      <c r="N62" t="n">
        <v>7261.44</v>
      </c>
      <c r="O62" t="n">
        <v>467.96</v>
      </c>
      <c r="P62" t="inlineStr">
        <is>
          <t>03 - CENTRO OESTE</t>
        </is>
      </c>
      <c r="Q62" t="inlineStr">
        <is>
          <t>LARISSA PADILHA</t>
        </is>
      </c>
      <c r="S62" t="inlineStr">
        <is>
          <t>42.149.466 LARISSA DA SILVA PADILHA - ME</t>
        </is>
      </c>
      <c r="T62" t="inlineStr">
        <is>
          <t>ZV - NAO APLICAVEL</t>
        </is>
      </c>
      <c r="V62" t="inlineStr">
        <is>
          <t>top 100</t>
        </is>
      </c>
      <c r="W62" t="inlineStr">
        <is>
          <t>REGIÕES/GRUPOS</t>
        </is>
      </c>
    </row>
    <row r="63" ht="15" customHeight="1">
      <c r="A63" t="n">
        <v>1.284932</v>
      </c>
      <c r="B63" t="inlineStr">
        <is>
          <t>VERDE</t>
        </is>
      </c>
      <c r="C63" t="n">
        <v>5615.5</v>
      </c>
      <c r="D63" t="n">
        <v>7215.54</v>
      </c>
      <c r="E63" t="n">
        <v>5615.5</v>
      </c>
      <c r="F63" s="6" t="n">
        <v>1.284932</v>
      </c>
      <c r="G63" t="inlineStr">
        <is>
          <t>SEM GRUPO</t>
        </is>
      </c>
      <c r="H63" t="inlineStr">
        <is>
          <t>PE</t>
        </is>
      </c>
      <c r="I63" t="n">
        <v>81995212316</v>
      </c>
      <c r="J63" t="inlineStr">
        <is>
          <t>JBP</t>
        </is>
      </c>
      <c r="K63" t="inlineStr">
        <is>
          <t>SEM REDE</t>
        </is>
      </c>
      <c r="L63" t="inlineStr">
        <is>
          <t>PE</t>
        </is>
      </c>
      <c r="M63" t="n">
        <v>81995212316</v>
      </c>
      <c r="N63" t="n">
        <v>7215.54</v>
      </c>
      <c r="O63" t="n">
        <v>467.96</v>
      </c>
      <c r="P63" t="inlineStr">
        <is>
          <t>03 - NORDESTE (SEM MA)</t>
        </is>
      </c>
      <c r="Q63" t="inlineStr">
        <is>
          <t>JULIO GADRET</t>
        </is>
      </c>
      <c r="S63" t="inlineStr">
        <is>
          <t>LG REPRESENTACOES LTDA - EPP</t>
        </is>
      </c>
      <c r="T63" t="inlineStr">
        <is>
          <t>ZV - NAO APLICAVEL</t>
        </is>
      </c>
      <c r="V63" t="inlineStr">
        <is>
          <t>top 100</t>
        </is>
      </c>
      <c r="W63" t="inlineStr">
        <is>
          <t>REGIÕES/GRUPOS</t>
        </is>
      </c>
    </row>
    <row r="64" ht="15" customHeight="1">
      <c r="A64" t="n">
        <v>1.267605</v>
      </c>
      <c r="B64" t="inlineStr">
        <is>
          <t>VERDE</t>
        </is>
      </c>
      <c r="C64" t="n">
        <v>5615.5</v>
      </c>
      <c r="D64" t="n">
        <v>7118.24</v>
      </c>
      <c r="E64" t="n">
        <v>5615.5</v>
      </c>
      <c r="F64" s="6" t="n">
        <v>1.267605</v>
      </c>
      <c r="G64" t="inlineStr">
        <is>
          <t>SEM GRUPO</t>
        </is>
      </c>
      <c r="H64" t="inlineStr">
        <is>
          <t>MA</t>
        </is>
      </c>
      <c r="I64" t="n">
        <v>98984017711</v>
      </c>
      <c r="J64" t="inlineStr">
        <is>
          <t>JBP</t>
        </is>
      </c>
      <c r="K64" t="inlineStr">
        <is>
          <t>SEM REDE</t>
        </is>
      </c>
      <c r="L64" t="inlineStr">
        <is>
          <t>MA</t>
        </is>
      </c>
      <c r="M64" t="n">
        <v>98984017711</v>
      </c>
      <c r="N64" t="n">
        <v>7118.24</v>
      </c>
      <c r="O64" t="n">
        <v>467.96</v>
      </c>
      <c r="P64" t="inlineStr">
        <is>
          <t>03 - NORTE + MA</t>
        </is>
      </c>
      <c r="Q64" t="inlineStr">
        <is>
          <t>LARISSA PADILHA</t>
        </is>
      </c>
      <c r="S64" t="inlineStr">
        <is>
          <t>42.149.466 LARISSA DA SILVA PADILHA - ME</t>
        </is>
      </c>
      <c r="T64" t="inlineStr">
        <is>
          <t>ZV - NAO APLICAVEL</t>
        </is>
      </c>
      <c r="V64" t="inlineStr">
        <is>
          <t>top 100</t>
        </is>
      </c>
      <c r="W64" t="inlineStr">
        <is>
          <t>REGIÕES/GRUPOS</t>
        </is>
      </c>
    </row>
    <row r="65" ht="15" customHeight="1">
      <c r="A65" t="n">
        <v>1.260261</v>
      </c>
      <c r="B65" t="inlineStr">
        <is>
          <t>VERDE</t>
        </is>
      </c>
      <c r="C65" t="n">
        <v>5615.5</v>
      </c>
      <c r="D65" t="n">
        <v>7077</v>
      </c>
      <c r="E65" t="n">
        <v>5615.5</v>
      </c>
      <c r="F65" s="6" t="n">
        <v>1.260261</v>
      </c>
      <c r="G65" t="inlineStr">
        <is>
          <t>SEM GRUPO</t>
        </is>
      </c>
      <c r="H65" t="inlineStr">
        <is>
          <t>SC</t>
        </is>
      </c>
      <c r="I65" t="n">
        <v>4792695047</v>
      </c>
      <c r="J65" t="inlineStr">
        <is>
          <t>JBP</t>
        </is>
      </c>
      <c r="K65" t="inlineStr">
        <is>
          <t>SEM REDE</t>
        </is>
      </c>
      <c r="L65" t="inlineStr">
        <is>
          <t>SC</t>
        </is>
      </c>
      <c r="M65" t="n">
        <v>4792695047</v>
      </c>
      <c r="N65" t="n">
        <v>7077</v>
      </c>
      <c r="O65" t="n">
        <v>467.96</v>
      </c>
      <c r="P65" t="inlineStr">
        <is>
          <t>03 - SUL</t>
        </is>
      </c>
      <c r="Q65" t="inlineStr">
        <is>
          <t>HEMANUELE DITZEL (MANU)</t>
        </is>
      </c>
      <c r="S65" t="inlineStr">
        <is>
          <t>ZR - NAO APLICAVEL</t>
        </is>
      </c>
      <c r="T65" t="inlineStr">
        <is>
          <t>HEMANUELE ROSA DITZEL</t>
        </is>
      </c>
      <c r="V65" t="inlineStr">
        <is>
          <t>top 100</t>
        </is>
      </c>
      <c r="W65" t="inlineStr">
        <is>
          <t>REGIÕES/GRUPOS</t>
        </is>
      </c>
    </row>
    <row r="66" ht="15" customHeight="1">
      <c r="A66" t="n">
        <v>1.235864</v>
      </c>
      <c r="B66" t="inlineStr">
        <is>
          <t>VERDE</t>
        </is>
      </c>
      <c r="C66" t="n">
        <v>5615.5</v>
      </c>
      <c r="D66" t="n">
        <v>6940</v>
      </c>
      <c r="E66" t="n">
        <v>5615.5</v>
      </c>
      <c r="F66" s="6" t="n">
        <v>1.235864</v>
      </c>
      <c r="G66" t="inlineStr">
        <is>
          <t>SEM GRUPO</t>
        </is>
      </c>
      <c r="H66" t="inlineStr">
        <is>
          <t>PR</t>
        </is>
      </c>
      <c r="I66" t="n">
        <v>4430289322</v>
      </c>
      <c r="J66" t="inlineStr">
        <is>
          <t>JBP</t>
        </is>
      </c>
      <c r="K66" t="inlineStr">
        <is>
          <t>SEM REDE</t>
        </is>
      </c>
      <c r="L66" t="inlineStr">
        <is>
          <t>PR</t>
        </is>
      </c>
      <c r="M66" t="n">
        <v>4430289322</v>
      </c>
      <c r="N66" t="n">
        <v>6940</v>
      </c>
      <c r="O66" t="n">
        <v>467.96</v>
      </c>
      <c r="P66" t="inlineStr">
        <is>
          <t>03 - SUL</t>
        </is>
      </c>
      <c r="Q66" t="inlineStr">
        <is>
          <t>HEMANUELE DITZEL (MANU)</t>
        </is>
      </c>
      <c r="S66" t="inlineStr">
        <is>
          <t>ZR - NAO APLICAVEL</t>
        </is>
      </c>
      <c r="T66" t="inlineStr">
        <is>
          <t>HEMANUELE ROSA DITZEL</t>
        </is>
      </c>
      <c r="V66" t="inlineStr">
        <is>
          <t>top 100</t>
        </is>
      </c>
      <c r="W66" t="inlineStr">
        <is>
          <t>REGIÕES/GRUPOS</t>
        </is>
      </c>
    </row>
    <row r="67" ht="15" customHeight="1">
      <c r="A67" t="n">
        <v>1.204879</v>
      </c>
      <c r="B67" t="inlineStr">
        <is>
          <t>VERDE</t>
        </is>
      </c>
      <c r="C67" t="n">
        <v>5615.5</v>
      </c>
      <c r="D67" t="n">
        <v>6766</v>
      </c>
      <c r="E67" t="n">
        <v>5615.5</v>
      </c>
      <c r="F67" s="6" t="n">
        <v>1.204879</v>
      </c>
      <c r="G67" t="inlineStr">
        <is>
          <t>SEM GRUPO</t>
        </is>
      </c>
      <c r="H67" t="inlineStr">
        <is>
          <t>SC</t>
        </is>
      </c>
      <c r="I67" t="n">
        <v>4731219552</v>
      </c>
      <c r="J67" t="inlineStr">
        <is>
          <t>JBP</t>
        </is>
      </c>
      <c r="K67" t="inlineStr">
        <is>
          <t>SEM REDE</t>
        </is>
      </c>
      <c r="L67" t="inlineStr">
        <is>
          <t>SC</t>
        </is>
      </c>
      <c r="M67" t="n">
        <v>4731219552</v>
      </c>
      <c r="N67" t="n">
        <v>6766</v>
      </c>
      <c r="O67" t="n">
        <v>467.96</v>
      </c>
      <c r="P67" t="inlineStr">
        <is>
          <t>03 - SUL</t>
        </is>
      </c>
      <c r="Q67" t="inlineStr">
        <is>
          <t>HEMANUELE DITZEL (MANU)</t>
        </is>
      </c>
      <c r="S67" t="inlineStr">
        <is>
          <t>ZR - NAO APLICAVEL</t>
        </is>
      </c>
      <c r="T67" t="inlineStr">
        <is>
          <t>HEMANUELE ROSA DITZEL</t>
        </is>
      </c>
      <c r="V67" t="inlineStr">
        <is>
          <t>top 100</t>
        </is>
      </c>
      <c r="W67" t="inlineStr">
        <is>
          <t>REGIÕES/GRUPOS</t>
        </is>
      </c>
    </row>
    <row r="68" ht="15" customHeight="1">
      <c r="A68" t="n">
        <v>0.738911</v>
      </c>
      <c r="B68" t="inlineStr">
        <is>
          <t>VERDE</t>
        </is>
      </c>
      <c r="C68" t="n">
        <v>9000</v>
      </c>
      <c r="D68" t="n">
        <v>6650.2</v>
      </c>
      <c r="E68" t="n">
        <v>9000</v>
      </c>
      <c r="F68" s="6" t="n">
        <v>0.738911</v>
      </c>
      <c r="G68" t="inlineStr">
        <is>
          <t>TRIP</t>
        </is>
      </c>
      <c r="H68" t="inlineStr">
        <is>
          <t>PR</t>
        </is>
      </c>
      <c r="I68" t="n">
        <v>4188063826</v>
      </c>
      <c r="J68" t="inlineStr">
        <is>
          <t>JBP</t>
        </is>
      </c>
      <c r="K68" t="inlineStr">
        <is>
          <t>TRIP</t>
        </is>
      </c>
      <c r="L68" t="inlineStr">
        <is>
          <t>PR</t>
        </is>
      </c>
      <c r="M68" t="n">
        <v>4188063826</v>
      </c>
      <c r="N68" t="n">
        <v>6650.2</v>
      </c>
      <c r="O68" t="n">
        <v>750</v>
      </c>
      <c r="P68" t="inlineStr">
        <is>
          <t>03 - SUL</t>
        </is>
      </c>
      <c r="Q68" t="inlineStr">
        <is>
          <t>DAIANE STAVICKI</t>
        </is>
      </c>
      <c r="S68" t="inlineStr">
        <is>
          <t>ZR - NAO APLICAVEL</t>
        </is>
      </c>
      <c r="T68" t="inlineStr">
        <is>
          <t>ZV - NAO APLICAVEL</t>
        </is>
      </c>
      <c r="V68" t="inlineStr">
        <is>
          <t>top 100</t>
        </is>
      </c>
      <c r="W68" t="inlineStr">
        <is>
          <t>REDES E FRANQUIAS</t>
        </is>
      </c>
    </row>
    <row r="69" ht="15" customHeight="1">
      <c r="A69" t="n">
        <v>1.175935</v>
      </c>
      <c r="B69" t="inlineStr">
        <is>
          <t>VERDE</t>
        </is>
      </c>
      <c r="C69" t="n">
        <v>5615.5</v>
      </c>
      <c r="D69" t="n">
        <v>6603.47</v>
      </c>
      <c r="E69" t="n">
        <v>5615.5</v>
      </c>
      <c r="F69" s="6" t="n">
        <v>1.175935</v>
      </c>
      <c r="G69" t="inlineStr">
        <is>
          <t>SEM GRUPO</t>
        </is>
      </c>
      <c r="H69" t="inlineStr">
        <is>
          <t>PE</t>
        </is>
      </c>
      <c r="I69" t="n">
        <v>81996894202</v>
      </c>
      <c r="J69" t="inlineStr">
        <is>
          <t>JBP</t>
        </is>
      </c>
      <c r="K69" t="inlineStr">
        <is>
          <t>SEM REDE</t>
        </is>
      </c>
      <c r="L69" t="inlineStr">
        <is>
          <t>PE</t>
        </is>
      </c>
      <c r="M69" t="n">
        <v>81996894202</v>
      </c>
      <c r="N69" t="n">
        <v>6603.47</v>
      </c>
      <c r="O69" t="n">
        <v>467.96</v>
      </c>
      <c r="P69" t="inlineStr">
        <is>
          <t>03 - NORDESTE (SEM MA)</t>
        </is>
      </c>
      <c r="Q69" t="inlineStr">
        <is>
          <t>LARISSA PADILHA</t>
        </is>
      </c>
      <c r="S69" t="inlineStr">
        <is>
          <t>42.149.466 LARISSA DA SILVA PADILHA - ME</t>
        </is>
      </c>
      <c r="T69" t="inlineStr">
        <is>
          <t>ZV - NAO APLICAVEL</t>
        </is>
      </c>
      <c r="V69" t="inlineStr">
        <is>
          <t>top 100</t>
        </is>
      </c>
      <c r="W69" t="inlineStr">
        <is>
          <t>REGIÕES/GRUPOS</t>
        </is>
      </c>
    </row>
    <row r="70" ht="15" customHeight="1">
      <c r="A70" t="n">
        <v>1.153756</v>
      </c>
      <c r="B70" t="inlineStr">
        <is>
          <t>VERDE</t>
        </is>
      </c>
      <c r="C70" t="n">
        <v>5615.5</v>
      </c>
      <c r="D70" t="n">
        <v>6478.92</v>
      </c>
      <c r="E70" t="n">
        <v>5615.5</v>
      </c>
      <c r="F70" s="6" t="n">
        <v>1.153756</v>
      </c>
      <c r="G70" t="inlineStr">
        <is>
          <t>SEM GRUPO</t>
        </is>
      </c>
      <c r="H70" t="inlineStr">
        <is>
          <t>TO</t>
        </is>
      </c>
      <c r="I70" t="n">
        <v>6381482975</v>
      </c>
      <c r="J70" t="inlineStr">
        <is>
          <t>JBP</t>
        </is>
      </c>
      <c r="K70" t="inlineStr">
        <is>
          <t>SEM REDE</t>
        </is>
      </c>
      <c r="L70" t="inlineStr">
        <is>
          <t>TO</t>
        </is>
      </c>
      <c r="M70" t="n">
        <v>6381482975</v>
      </c>
      <c r="N70" t="n">
        <v>6478.92</v>
      </c>
      <c r="O70" t="n">
        <v>467.96</v>
      </c>
      <c r="P70" t="inlineStr">
        <is>
          <t>03 - CENTRO OESTE</t>
        </is>
      </c>
      <c r="Q70" t="inlineStr">
        <is>
          <t>LARISSA PADILHA</t>
        </is>
      </c>
      <c r="S70" t="inlineStr">
        <is>
          <t>42.149.466 LARISSA DA SILVA PADILHA - ME</t>
        </is>
      </c>
      <c r="T70" t="inlineStr">
        <is>
          <t>ZV - NAO APLICAVEL</t>
        </is>
      </c>
      <c r="V70" t="inlineStr">
        <is>
          <t>top 100</t>
        </is>
      </c>
      <c r="W70" t="inlineStr">
        <is>
          <t>REGIÕES/GRUPOS</t>
        </is>
      </c>
    </row>
    <row r="71" ht="15" customHeight="1">
      <c r="A71" t="n">
        <v>1.143157</v>
      </c>
      <c r="B71" t="inlineStr">
        <is>
          <t>VERDE</t>
        </is>
      </c>
      <c r="C71" t="n">
        <v>5615.5</v>
      </c>
      <c r="D71" t="n">
        <v>6419.4</v>
      </c>
      <c r="E71" t="n">
        <v>5615.5</v>
      </c>
      <c r="F71" s="6" t="n">
        <v>1.143157</v>
      </c>
      <c r="G71" t="inlineStr">
        <is>
          <t>SEM GRUPO</t>
        </is>
      </c>
      <c r="H71" t="inlineStr">
        <is>
          <t>ES</t>
        </is>
      </c>
      <c r="I71" t="n">
        <v>27995190618</v>
      </c>
      <c r="J71" t="inlineStr">
        <is>
          <t>JBP</t>
        </is>
      </c>
      <c r="K71" t="inlineStr">
        <is>
          <t>SEM REDE</t>
        </is>
      </c>
      <c r="L71" t="inlineStr">
        <is>
          <t>ES</t>
        </is>
      </c>
      <c r="M71" t="n">
        <v>27995190618</v>
      </c>
      <c r="N71" t="n">
        <v>6419.4</v>
      </c>
      <c r="O71" t="n">
        <v>467.96</v>
      </c>
      <c r="P71" t="inlineStr">
        <is>
          <t>03 - RJ + ES + MG</t>
        </is>
      </c>
      <c r="Q71" t="inlineStr">
        <is>
          <t>LARISSA PADILHA</t>
        </is>
      </c>
      <c r="S71" t="inlineStr">
        <is>
          <t>42.149.466 LARISSA DA SILVA PADILHA - ME</t>
        </is>
      </c>
      <c r="T71" t="inlineStr">
        <is>
          <t>ZV - NAO APLICAVEL</t>
        </is>
      </c>
      <c r="V71" t="inlineStr">
        <is>
          <t>top 100</t>
        </is>
      </c>
      <c r="W71" t="inlineStr">
        <is>
          <t>REGIÕES/GRUPOS</t>
        </is>
      </c>
    </row>
    <row r="72" ht="15" customHeight="1">
      <c r="A72" t="n">
        <v>1.123655</v>
      </c>
      <c r="B72" t="inlineStr">
        <is>
          <t>VERDE</t>
        </is>
      </c>
      <c r="C72" t="n">
        <v>5615.5</v>
      </c>
      <c r="D72" t="n">
        <v>6309.89</v>
      </c>
      <c r="E72" t="n">
        <v>5615.5</v>
      </c>
      <c r="F72" s="6" t="n">
        <v>1.123655</v>
      </c>
      <c r="G72" t="inlineStr">
        <is>
          <t>SEM GRUPO</t>
        </is>
      </c>
      <c r="H72" t="inlineStr">
        <is>
          <t>BA</t>
        </is>
      </c>
      <c r="I72" t="n">
        <v>75999105787</v>
      </c>
      <c r="J72" t="inlineStr">
        <is>
          <t>JBP</t>
        </is>
      </c>
      <c r="K72" t="inlineStr">
        <is>
          <t>SEM REDE</t>
        </is>
      </c>
      <c r="L72" t="inlineStr">
        <is>
          <t>BA</t>
        </is>
      </c>
      <c r="M72" t="n">
        <v>75999105787</v>
      </c>
      <c r="N72" t="n">
        <v>6309.89</v>
      </c>
      <c r="O72" t="n">
        <v>467.96</v>
      </c>
      <c r="P72" t="inlineStr">
        <is>
          <t>03 - NORDESTE (SEM MA)</t>
        </is>
      </c>
      <c r="Q72" t="inlineStr">
        <is>
          <t>HEMANUELE DITZEL (MANU)</t>
        </is>
      </c>
      <c r="S72" t="inlineStr">
        <is>
          <t>ZR - NAO APLICAVEL</t>
        </is>
      </c>
      <c r="T72" t="inlineStr">
        <is>
          <t>HEMANUELE ROSA DITZEL</t>
        </is>
      </c>
      <c r="V72" t="inlineStr">
        <is>
          <t>top 100</t>
        </is>
      </c>
      <c r="W72" t="inlineStr">
        <is>
          <t>REGIÕES/GRUPOS</t>
        </is>
      </c>
    </row>
    <row r="73" ht="15" customHeight="1">
      <c r="A73" t="n">
        <v>1.107126</v>
      </c>
      <c r="B73" t="inlineStr">
        <is>
          <t>VERDE</t>
        </is>
      </c>
      <c r="C73" t="n">
        <v>5615.5</v>
      </c>
      <c r="D73" t="n">
        <v>6217.07</v>
      </c>
      <c r="E73" t="n">
        <v>5615.5</v>
      </c>
      <c r="F73" s="6" t="n">
        <v>1.107126</v>
      </c>
      <c r="G73" t="inlineStr">
        <is>
          <t>SEM GRUPO</t>
        </is>
      </c>
      <c r="H73" t="inlineStr">
        <is>
          <t>PE</t>
        </is>
      </c>
      <c r="I73" t="n">
        <v>8198699280</v>
      </c>
      <c r="J73" t="inlineStr">
        <is>
          <t>JBP</t>
        </is>
      </c>
      <c r="K73" t="inlineStr">
        <is>
          <t>SEM REDE</t>
        </is>
      </c>
      <c r="L73" t="inlineStr">
        <is>
          <t>PE</t>
        </is>
      </c>
      <c r="M73" t="n">
        <v>8198699280</v>
      </c>
      <c r="N73" t="n">
        <v>6217.07</v>
      </c>
      <c r="O73" t="n">
        <v>467.96</v>
      </c>
      <c r="P73" t="inlineStr">
        <is>
          <t>03 - NORDESTE (SEM MA)</t>
        </is>
      </c>
      <c r="Q73" t="inlineStr">
        <is>
          <t>LARISSA PADILHA</t>
        </is>
      </c>
      <c r="S73" t="inlineStr">
        <is>
          <t>42.149.466 LARISSA DA SILVA PADILHA - ME</t>
        </is>
      </c>
      <c r="T73" t="inlineStr">
        <is>
          <t>ZV - NAO APLICAVEL</t>
        </is>
      </c>
      <c r="V73" t="inlineStr">
        <is>
          <t>top 100</t>
        </is>
      </c>
      <c r="W73" t="inlineStr">
        <is>
          <t>REGIÕES/GRUPOS</t>
        </is>
      </c>
    </row>
    <row r="74" ht="15" customHeight="1">
      <c r="A74" t="n">
        <v>1.03359</v>
      </c>
      <c r="B74" t="inlineStr">
        <is>
          <t>VERDE</t>
        </is>
      </c>
      <c r="C74" t="n">
        <v>6000</v>
      </c>
      <c r="D74" t="n">
        <v>6201.54</v>
      </c>
      <c r="E74" t="n">
        <v>6000</v>
      </c>
      <c r="F74" s="6" t="n">
        <v>1.03359</v>
      </c>
      <c r="G74" t="inlineStr">
        <is>
          <t>LIGEIRINHO</t>
        </is>
      </c>
      <c r="H74" t="inlineStr">
        <is>
          <t>RJ</t>
        </is>
      </c>
      <c r="I74" t="n">
        <v>2137880348</v>
      </c>
      <c r="J74" t="inlineStr">
        <is>
          <t>JBP</t>
        </is>
      </c>
      <c r="K74" t="inlineStr">
        <is>
          <t>LIGEIRINHO</t>
        </is>
      </c>
      <c r="L74" t="inlineStr">
        <is>
          <t>RJ</t>
        </is>
      </c>
      <c r="M74" t="n">
        <v>2137880348</v>
      </c>
      <c r="N74" t="n">
        <v>6201.54</v>
      </c>
      <c r="O74" t="n">
        <v>500</v>
      </c>
      <c r="P74" t="inlineStr">
        <is>
          <t>03 - NACIONAL</t>
        </is>
      </c>
      <c r="Q74" t="inlineStr">
        <is>
          <t>LARISSA PADILHA</t>
        </is>
      </c>
      <c r="S74" t="inlineStr">
        <is>
          <t>42.149.466 LARISSA DA SILVA PADILHA - ME</t>
        </is>
      </c>
      <c r="T74" t="inlineStr">
        <is>
          <t>ZV - NAO APLICAVEL</t>
        </is>
      </c>
      <c r="V74" t="inlineStr">
        <is>
          <t>top 100</t>
        </is>
      </c>
      <c r="W74" t="inlineStr">
        <is>
          <t>REDES E FRANQUIAS</t>
        </is>
      </c>
    </row>
    <row r="75" ht="15" customHeight="1">
      <c r="A75" t="n">
        <v>1.094824</v>
      </c>
      <c r="B75" t="inlineStr">
        <is>
          <t>VERDE</t>
        </is>
      </c>
      <c r="C75" t="n">
        <v>5615.5</v>
      </c>
      <c r="D75" t="n">
        <v>6147.99</v>
      </c>
      <c r="E75" t="n">
        <v>5615.5</v>
      </c>
      <c r="F75" s="6" t="n">
        <v>1.094824</v>
      </c>
      <c r="G75" t="inlineStr">
        <is>
          <t>SEM GRUPO</t>
        </is>
      </c>
      <c r="H75" t="inlineStr">
        <is>
          <t>MS</t>
        </is>
      </c>
      <c r="I75" t="n">
        <v>6734230280</v>
      </c>
      <c r="J75" t="inlineStr">
        <is>
          <t>JBP</t>
        </is>
      </c>
      <c r="K75" t="inlineStr">
        <is>
          <t>SEM REDE</t>
        </is>
      </c>
      <c r="L75" t="inlineStr">
        <is>
          <t>MS</t>
        </is>
      </c>
      <c r="M75" t="n">
        <v>6734230280</v>
      </c>
      <c r="N75" t="n">
        <v>6147.99</v>
      </c>
      <c r="O75" t="n">
        <v>467.96</v>
      </c>
      <c r="P75" t="inlineStr">
        <is>
          <t>03 - CENTRO OESTE</t>
        </is>
      </c>
      <c r="Q75" t="inlineStr">
        <is>
          <t>LARISSA PADILHA</t>
        </is>
      </c>
      <c r="S75" t="inlineStr">
        <is>
          <t>42.149.466 LARISSA DA SILVA PADILHA - ME</t>
        </is>
      </c>
      <c r="T75" t="inlineStr">
        <is>
          <t>ZV - NAO APLICAVEL</t>
        </is>
      </c>
      <c r="V75" t="inlineStr">
        <is>
          <t>top 100</t>
        </is>
      </c>
      <c r="W75" t="inlineStr">
        <is>
          <t>REGIÕES/GRUPOS</t>
        </is>
      </c>
    </row>
    <row r="76" ht="15" customHeight="1">
      <c r="A76" t="n">
        <v>0.5096619999999999</v>
      </c>
      <c r="B76" t="inlineStr">
        <is>
          <t>AMARELO</t>
        </is>
      </c>
      <c r="C76" t="n">
        <v>12000</v>
      </c>
      <c r="D76" t="n">
        <v>6115.94</v>
      </c>
      <c r="E76" t="n">
        <v>12000</v>
      </c>
      <c r="F76" s="6" t="n">
        <v>0.5096619999999999</v>
      </c>
      <c r="G76" t="inlineStr">
        <is>
          <t>NATURVIDA</t>
        </is>
      </c>
      <c r="H76" t="inlineStr">
        <is>
          <t>RS</t>
        </is>
      </c>
      <c r="I76" t="n">
        <v>5137193512</v>
      </c>
      <c r="J76" t="inlineStr">
        <is>
          <t>Plano de Sell Out</t>
        </is>
      </c>
      <c r="K76" t="inlineStr">
        <is>
          <t>NATURVIDA</t>
        </is>
      </c>
      <c r="L76" t="inlineStr">
        <is>
          <t>RS</t>
        </is>
      </c>
      <c r="M76" t="n">
        <v>5137193512</v>
      </c>
      <c r="N76" t="n">
        <v>6115.94</v>
      </c>
      <c r="O76" t="n">
        <v>1000</v>
      </c>
      <c r="P76" t="inlineStr">
        <is>
          <t>03 - NACIONAL</t>
        </is>
      </c>
      <c r="Q76" t="inlineStr">
        <is>
          <t>HEMANUELE DITZEL (MANU)</t>
        </is>
      </c>
      <c r="S76" t="inlineStr">
        <is>
          <t>ZR - NAO APLICAVEL</t>
        </is>
      </c>
      <c r="T76" t="inlineStr">
        <is>
          <t>HEMANUELE ROSA DITZEL</t>
        </is>
      </c>
      <c r="V76" t="inlineStr">
        <is>
          <t>top 100</t>
        </is>
      </c>
      <c r="W76" t="inlineStr">
        <is>
          <t>REDES E FRANQUIAS</t>
        </is>
      </c>
    </row>
    <row r="77" ht="15" customHeight="1">
      <c r="A77" t="n">
        <v>0.599075</v>
      </c>
      <c r="B77" t="inlineStr">
        <is>
          <t>AMARELO</t>
        </is>
      </c>
      <c r="C77" t="n">
        <v>10200</v>
      </c>
      <c r="D77" t="n">
        <v>6110.57</v>
      </c>
      <c r="E77" t="n">
        <v>10200</v>
      </c>
      <c r="F77" s="6" t="n">
        <v>0.599075</v>
      </c>
      <c r="G77" t="inlineStr">
        <is>
          <t>VIDA LEVE</t>
        </is>
      </c>
      <c r="H77" t="inlineStr">
        <is>
          <t>GO</t>
        </is>
      </c>
      <c r="I77" t="n">
        <v>64992783399</v>
      </c>
      <c r="J77" t="inlineStr">
        <is>
          <t>Plano de Sell Out</t>
        </is>
      </c>
      <c r="K77" t="inlineStr">
        <is>
          <t>VIDA LEVE</t>
        </is>
      </c>
      <c r="L77" t="inlineStr">
        <is>
          <t>GO</t>
        </is>
      </c>
      <c r="M77" t="n">
        <v>64992783399</v>
      </c>
      <c r="N77" t="n">
        <v>6110.57</v>
      </c>
      <c r="O77" t="n">
        <v>850</v>
      </c>
      <c r="P77" t="inlineStr">
        <is>
          <t>03 - NACIONAL</t>
        </is>
      </c>
      <c r="Q77" t="inlineStr">
        <is>
          <t>HEMANUELE DITZEL (MANU)</t>
        </is>
      </c>
      <c r="S77" t="inlineStr">
        <is>
          <t>ZR - NAO APLICAVEL</t>
        </is>
      </c>
      <c r="T77" t="inlineStr">
        <is>
          <t>HEMANUELE ROSA DITZEL</t>
        </is>
      </c>
      <c r="V77" t="inlineStr">
        <is>
          <t>top 100</t>
        </is>
      </c>
      <c r="W77" t="inlineStr">
        <is>
          <t>REDES E FRANQUIAS</t>
        </is>
      </c>
    </row>
    <row r="78" ht="15" customHeight="1">
      <c r="A78" t="n">
        <v>1.086141</v>
      </c>
      <c r="B78" t="inlineStr">
        <is>
          <t>VERDE</t>
        </is>
      </c>
      <c r="C78" t="n">
        <v>5615.5</v>
      </c>
      <c r="D78" t="n">
        <v>6099.23</v>
      </c>
      <c r="E78" t="n">
        <v>5615.5</v>
      </c>
      <c r="F78" s="6" t="n">
        <v>1.086141</v>
      </c>
      <c r="G78" t="inlineStr">
        <is>
          <t>SEM GRUPO</t>
        </is>
      </c>
      <c r="H78" t="inlineStr">
        <is>
          <t>SP</t>
        </is>
      </c>
      <c r="I78" t="n">
        <v>12988122166</v>
      </c>
      <c r="J78" t="inlineStr">
        <is>
          <t>JBP</t>
        </is>
      </c>
      <c r="K78" t="inlineStr">
        <is>
          <t>SEM REDE</t>
        </is>
      </c>
      <c r="L78" t="inlineStr">
        <is>
          <t>SP</t>
        </is>
      </c>
      <c r="M78" t="n">
        <v>12988122166</v>
      </c>
      <c r="N78" t="n">
        <v>6099.23</v>
      </c>
      <c r="O78" t="n">
        <v>467.96</v>
      </c>
      <c r="P78" t="inlineStr">
        <is>
          <t>03 - SP INTERIOR</t>
        </is>
      </c>
      <c r="Q78" t="inlineStr">
        <is>
          <t>LARISSA PADILHA</t>
        </is>
      </c>
      <c r="S78" t="inlineStr">
        <is>
          <t>42.149.466 LARISSA DA SILVA PADILHA - ME</t>
        </is>
      </c>
      <c r="T78" t="inlineStr">
        <is>
          <t>ZV - NAO APLICAVEL</t>
        </is>
      </c>
      <c r="V78" t="inlineStr">
        <is>
          <t>top 100</t>
        </is>
      </c>
      <c r="W78" t="inlineStr">
        <is>
          <t>REGIÕES/GRUPOS</t>
        </is>
      </c>
    </row>
    <row r="79" ht="15" customHeight="1">
      <c r="A79" t="n">
        <v>0.94475</v>
      </c>
      <c r="B79" t="inlineStr">
        <is>
          <t>VERDE</t>
        </is>
      </c>
      <c r="C79" t="n">
        <v>6281.25</v>
      </c>
      <c r="D79" t="n">
        <v>5934.21</v>
      </c>
      <c r="E79" t="n">
        <v>6281.25</v>
      </c>
      <c r="F79" s="6" t="n">
        <v>0.94475</v>
      </c>
      <c r="G79" t="inlineStr">
        <is>
          <t>BIO MUNDO</t>
        </is>
      </c>
      <c r="H79" t="inlineStr">
        <is>
          <t>SC</t>
        </is>
      </c>
      <c r="I79" t="n">
        <v>4833804868</v>
      </c>
      <c r="J79" t="inlineStr">
        <is>
          <t>JBP</t>
        </is>
      </c>
      <c r="K79" t="inlineStr">
        <is>
          <t>BIO MUNDO</t>
        </is>
      </c>
      <c r="L79" t="inlineStr">
        <is>
          <t>SC</t>
        </is>
      </c>
      <c r="M79" t="n">
        <v>4833804868</v>
      </c>
      <c r="N79" t="n">
        <v>5934.21</v>
      </c>
      <c r="O79" t="n">
        <v>523.4400000000001</v>
      </c>
      <c r="P79" t="inlineStr">
        <is>
          <t>03 - NACIONAL</t>
        </is>
      </c>
      <c r="Q79" t="inlineStr">
        <is>
          <t>DAIANE STAVICKI</t>
        </is>
      </c>
      <c r="S79" t="inlineStr">
        <is>
          <t>ZR - NAO APLICAVEL</t>
        </is>
      </c>
      <c r="T79" t="inlineStr">
        <is>
          <t>ZV - NAO APLICAVEL</t>
        </is>
      </c>
      <c r="V79" t="inlineStr">
        <is>
          <t>top 100</t>
        </is>
      </c>
      <c r="W79" t="inlineStr">
        <is>
          <t>REDES E FRANQUIAS</t>
        </is>
      </c>
    </row>
    <row r="80" ht="15" customHeight="1">
      <c r="A80" t="n">
        <v>0.529843</v>
      </c>
      <c r="B80" t="inlineStr">
        <is>
          <t>AMARELO</t>
        </is>
      </c>
      <c r="C80" t="n">
        <v>10706.9</v>
      </c>
      <c r="D80" t="n">
        <v>5672.97</v>
      </c>
      <c r="E80" t="n">
        <v>10706.9</v>
      </c>
      <c r="F80" s="6" t="n">
        <v>0.529843</v>
      </c>
      <c r="G80" t="inlineStr">
        <is>
          <t>FITLAND</t>
        </is>
      </c>
      <c r="H80" t="inlineStr">
        <is>
          <t>SC</t>
        </is>
      </c>
      <c r="I80" t="n">
        <v>4792254513</v>
      </c>
      <c r="J80" t="inlineStr">
        <is>
          <t>Plano de Sell Out</t>
        </is>
      </c>
      <c r="K80" t="inlineStr">
        <is>
          <t>FITLAND</t>
        </is>
      </c>
      <c r="L80" t="inlineStr">
        <is>
          <t>SC</t>
        </is>
      </c>
      <c r="M80" t="n">
        <v>4792254513</v>
      </c>
      <c r="N80" t="n">
        <v>5672.97</v>
      </c>
      <c r="O80" t="n">
        <v>892.24</v>
      </c>
      <c r="P80" t="inlineStr">
        <is>
          <t>03 - NACIONAL</t>
        </is>
      </c>
      <c r="Q80" t="inlineStr">
        <is>
          <t>JULIO GADRET</t>
        </is>
      </c>
      <c r="S80" t="inlineStr">
        <is>
          <t>LG REPRESENTACOES LTDA - EPP</t>
        </is>
      </c>
      <c r="T80" t="inlineStr">
        <is>
          <t>ZV - NAO APLICAVEL</t>
        </is>
      </c>
      <c r="V80" t="inlineStr">
        <is>
          <t>top 100</t>
        </is>
      </c>
      <c r="W80" t="inlineStr">
        <is>
          <t>REDES E FRANQUIAS</t>
        </is>
      </c>
    </row>
    <row r="81" ht="15" customHeight="1">
      <c r="A81" t="n">
        <v>1.009064</v>
      </c>
      <c r="B81" t="inlineStr">
        <is>
          <t>VERDE</t>
        </is>
      </c>
      <c r="C81" t="n">
        <v>5615.5</v>
      </c>
      <c r="D81" t="n">
        <v>5666.4</v>
      </c>
      <c r="E81" t="n">
        <v>5615.5</v>
      </c>
      <c r="F81" s="6" t="n">
        <v>1.009064</v>
      </c>
      <c r="G81" t="inlineStr">
        <is>
          <t>SEM GRUPO</t>
        </is>
      </c>
      <c r="H81" t="inlineStr">
        <is>
          <t>PR</t>
        </is>
      </c>
      <c r="I81" t="n">
        <v>4133512200</v>
      </c>
      <c r="J81" t="inlineStr">
        <is>
          <t>JBP</t>
        </is>
      </c>
      <c r="K81" t="inlineStr">
        <is>
          <t>SEM REDE</t>
        </is>
      </c>
      <c r="L81" t="inlineStr">
        <is>
          <t>PR</t>
        </is>
      </c>
      <c r="M81" t="n">
        <v>4133512200</v>
      </c>
      <c r="N81" t="n">
        <v>5666.4</v>
      </c>
      <c r="O81" t="n">
        <v>467.96</v>
      </c>
      <c r="P81" t="inlineStr">
        <is>
          <t>03 - SUL</t>
        </is>
      </c>
      <c r="Q81" t="inlineStr">
        <is>
          <t>HEMANUELE DITZEL (MANU)</t>
        </is>
      </c>
      <c r="S81" t="inlineStr">
        <is>
          <t>ZR - NAO APLICAVEL</t>
        </is>
      </c>
      <c r="T81" t="inlineStr">
        <is>
          <t>HEMANUELE ROSA DITZEL</t>
        </is>
      </c>
      <c r="V81" t="inlineStr">
        <is>
          <t>top 100</t>
        </is>
      </c>
      <c r="W81" t="inlineStr">
        <is>
          <t>REGIÕES/GRUPOS</t>
        </is>
      </c>
    </row>
    <row r="82" ht="15" customHeight="1">
      <c r="A82" t="n">
        <v>0.992573</v>
      </c>
      <c r="B82" t="inlineStr">
        <is>
          <t>VERDE</t>
        </is>
      </c>
      <c r="C82" t="n">
        <v>5615.5</v>
      </c>
      <c r="D82" t="n">
        <v>5573.8</v>
      </c>
      <c r="E82" t="n">
        <v>5615.5</v>
      </c>
      <c r="F82" s="6" t="n">
        <v>0.992573</v>
      </c>
      <c r="G82" t="inlineStr">
        <is>
          <t>SEM GRUPO</t>
        </is>
      </c>
      <c r="H82" t="inlineStr">
        <is>
          <t>RS</t>
        </is>
      </c>
      <c r="I82" t="n">
        <v>5135828602</v>
      </c>
      <c r="J82" t="inlineStr">
        <is>
          <t>JBP</t>
        </is>
      </c>
      <c r="K82" t="inlineStr">
        <is>
          <t>SEM REDE</t>
        </is>
      </c>
      <c r="L82" t="inlineStr">
        <is>
          <t>RS</t>
        </is>
      </c>
      <c r="M82" t="n">
        <v>5135828602</v>
      </c>
      <c r="N82" t="n">
        <v>5573.8</v>
      </c>
      <c r="O82" t="n">
        <v>467.96</v>
      </c>
      <c r="P82" t="inlineStr">
        <is>
          <t>03 - SUL</t>
        </is>
      </c>
      <c r="Q82" t="inlineStr">
        <is>
          <t>HEMANUELE DITZEL (MANU)</t>
        </is>
      </c>
      <c r="S82" t="inlineStr">
        <is>
          <t>ZR - NAO APLICAVEL</t>
        </is>
      </c>
      <c r="T82" t="inlineStr">
        <is>
          <t>ZV - NAO APLICAVEL</t>
        </is>
      </c>
      <c r="V82" t="inlineStr">
        <is>
          <t>top 100</t>
        </is>
      </c>
      <c r="W82" t="inlineStr">
        <is>
          <t>REGIÕES/GRUPOS</t>
        </is>
      </c>
    </row>
    <row r="83" ht="15" customHeight="1">
      <c r="A83" t="n">
        <v>0.989411</v>
      </c>
      <c r="B83" t="inlineStr">
        <is>
          <t>VERDE</t>
        </is>
      </c>
      <c r="C83" t="n">
        <v>5615.5</v>
      </c>
      <c r="D83" t="n">
        <v>5556.04</v>
      </c>
      <c r="E83" t="n">
        <v>5615.5</v>
      </c>
      <c r="F83" s="6" t="n">
        <v>0.989411</v>
      </c>
      <c r="G83" t="inlineStr">
        <is>
          <t>SEM GRUPO</t>
        </is>
      </c>
      <c r="H83" t="inlineStr">
        <is>
          <t>SC</t>
        </is>
      </c>
      <c r="I83" t="n">
        <v>4530553644</v>
      </c>
      <c r="J83" t="inlineStr">
        <is>
          <t>JBP</t>
        </is>
      </c>
      <c r="K83" t="inlineStr">
        <is>
          <t>SEM REDE</t>
        </is>
      </c>
      <c r="L83" t="inlineStr">
        <is>
          <t>SC</t>
        </is>
      </c>
      <c r="M83" t="n">
        <v>4530553644</v>
      </c>
      <c r="N83" t="n">
        <v>5556.04</v>
      </c>
      <c r="O83" t="n">
        <v>467.96</v>
      </c>
      <c r="P83" t="inlineStr">
        <is>
          <t>03 - SUL</t>
        </is>
      </c>
      <c r="Q83" t="inlineStr">
        <is>
          <t>HEMANUELE DITZEL (MANU)</t>
        </is>
      </c>
      <c r="S83" t="inlineStr">
        <is>
          <t>ZR - NAO APLICAVEL</t>
        </is>
      </c>
      <c r="T83" t="inlineStr">
        <is>
          <t>HEMANUELE ROSA DITZEL</t>
        </is>
      </c>
      <c r="V83" t="inlineStr">
        <is>
          <t>top 100</t>
        </is>
      </c>
      <c r="W83" t="inlineStr">
        <is>
          <t>REGIÕES/GRUPOS</t>
        </is>
      </c>
    </row>
    <row r="84" ht="15" customHeight="1">
      <c r="A84" t="n">
        <v>0.982565</v>
      </c>
      <c r="B84" t="inlineStr">
        <is>
          <t>VERDE</t>
        </is>
      </c>
      <c r="C84" t="n">
        <v>5615.5</v>
      </c>
      <c r="D84" t="n">
        <v>5517.6</v>
      </c>
      <c r="E84" t="n">
        <v>5615.5</v>
      </c>
      <c r="F84" s="6" t="n">
        <v>0.982565</v>
      </c>
      <c r="G84" t="inlineStr">
        <is>
          <t>SEM GRUPO</t>
        </is>
      </c>
      <c r="H84" t="inlineStr">
        <is>
          <t>PR</t>
        </is>
      </c>
      <c r="I84" t="n">
        <v>41998819180</v>
      </c>
      <c r="J84" t="inlineStr">
        <is>
          <t>JBP</t>
        </is>
      </c>
      <c r="K84" t="inlineStr">
        <is>
          <t>SEM REDE</t>
        </is>
      </c>
      <c r="L84" t="inlineStr">
        <is>
          <t>PR</t>
        </is>
      </c>
      <c r="M84" t="n">
        <v>41998819180</v>
      </c>
      <c r="N84" t="n">
        <v>5517.6</v>
      </c>
      <c r="O84" t="n">
        <v>467.96</v>
      </c>
      <c r="P84" t="inlineStr">
        <is>
          <t>03 - SUL</t>
        </is>
      </c>
      <c r="Q84" t="inlineStr">
        <is>
          <t>HEMANUELE DITZEL (MANU)</t>
        </is>
      </c>
      <c r="S84" t="inlineStr">
        <is>
          <t>ZR - NAO APLICAVEL</t>
        </is>
      </c>
      <c r="T84" t="inlineStr">
        <is>
          <t>HEMANUELE ROSA DITZEL</t>
        </is>
      </c>
      <c r="V84" t="inlineStr">
        <is>
          <t>top 100</t>
        </is>
      </c>
      <c r="W84" t="inlineStr">
        <is>
          <t>REGIÕES/GRUPOS</t>
        </is>
      </c>
    </row>
    <row r="85" ht="15" customHeight="1">
      <c r="A85" t="n">
        <v>0.96667</v>
      </c>
      <c r="B85" t="inlineStr">
        <is>
          <t>VERDE</t>
        </is>
      </c>
      <c r="C85" t="n">
        <v>5615.5</v>
      </c>
      <c r="D85" t="n">
        <v>5428.34</v>
      </c>
      <c r="E85" t="n">
        <v>5615.5</v>
      </c>
      <c r="F85" s="6" t="n">
        <v>0.96667</v>
      </c>
      <c r="G85" t="inlineStr">
        <is>
          <t>SEM GRUPO</t>
        </is>
      </c>
      <c r="H85" t="inlineStr">
        <is>
          <t>DF</t>
        </is>
      </c>
      <c r="I85" t="n">
        <v>6136867677</v>
      </c>
      <c r="J85" t="inlineStr">
        <is>
          <t>JBP</t>
        </is>
      </c>
      <c r="K85" t="inlineStr">
        <is>
          <t>SEM REDE</t>
        </is>
      </c>
      <c r="L85" t="inlineStr">
        <is>
          <t>DF</t>
        </is>
      </c>
      <c r="M85" t="n">
        <v>6136867677</v>
      </c>
      <c r="N85" t="n">
        <v>5428.34</v>
      </c>
      <c r="O85" t="n">
        <v>467.96</v>
      </c>
      <c r="P85" t="inlineStr">
        <is>
          <t>03 - CENTRO OESTE</t>
        </is>
      </c>
      <c r="Q85" t="inlineStr">
        <is>
          <t>LARISSA PADILHA</t>
        </is>
      </c>
      <c r="S85" t="inlineStr">
        <is>
          <t>42.149.466 LARISSA DA SILVA PADILHA - ME</t>
        </is>
      </c>
      <c r="T85" t="inlineStr">
        <is>
          <t>ZV - NAO APLICAVEL</t>
        </is>
      </c>
      <c r="V85" t="inlineStr">
        <is>
          <t>top 100</t>
        </is>
      </c>
      <c r="W85" t="inlineStr">
        <is>
          <t>REGIÕES/GRUPOS</t>
        </is>
      </c>
    </row>
    <row r="86" ht="15" customHeight="1">
      <c r="A86" t="n">
        <v>0.495924</v>
      </c>
      <c r="B86" t="inlineStr">
        <is>
          <t>AMARELO</t>
        </is>
      </c>
      <c r="C86" t="n">
        <v>10706.9</v>
      </c>
      <c r="D86" t="n">
        <v>5309.81</v>
      </c>
      <c r="E86" t="n">
        <v>10706.9</v>
      </c>
      <c r="F86" s="6" t="n">
        <v>0.495924</v>
      </c>
      <c r="G86" t="inlineStr">
        <is>
          <t>FITLAND</t>
        </is>
      </c>
      <c r="H86" t="inlineStr">
        <is>
          <t>SC</t>
        </is>
      </c>
      <c r="I86" t="n">
        <v>4796102611</v>
      </c>
      <c r="J86" t="inlineStr">
        <is>
          <t>Plano de Sell Out</t>
        </is>
      </c>
      <c r="K86" t="inlineStr">
        <is>
          <t>FITLAND</t>
        </is>
      </c>
      <c r="L86" t="inlineStr">
        <is>
          <t>SC</t>
        </is>
      </c>
      <c r="M86" t="n">
        <v>4796102611</v>
      </c>
      <c r="N86" t="n">
        <v>5309.81</v>
      </c>
      <c r="O86" t="n">
        <v>892.24</v>
      </c>
      <c r="P86" t="inlineStr">
        <is>
          <t>03 - NACIONAL</t>
        </is>
      </c>
      <c r="Q86" t="inlineStr">
        <is>
          <t>JULIO GADRET</t>
        </is>
      </c>
      <c r="S86" t="inlineStr">
        <is>
          <t>LG REPRESENTACOES LTDA - EPP</t>
        </is>
      </c>
      <c r="T86" t="inlineStr">
        <is>
          <t>ZV - NAO APLICAVEL</t>
        </is>
      </c>
      <c r="V86" t="inlineStr">
        <is>
          <t>top 100</t>
        </is>
      </c>
      <c r="W86" t="inlineStr">
        <is>
          <t>REDES E FRANQUIAS</t>
        </is>
      </c>
    </row>
    <row r="87" ht="15" customHeight="1">
      <c r="A87" t="n">
        <v>0.94493</v>
      </c>
      <c r="B87" t="inlineStr">
        <is>
          <t>VERDE</t>
        </is>
      </c>
      <c r="C87" t="n">
        <v>5615.5</v>
      </c>
      <c r="D87" t="n">
        <v>5306.26</v>
      </c>
      <c r="E87" t="n">
        <v>5615.5</v>
      </c>
      <c r="F87" s="6" t="n">
        <v>0.94493</v>
      </c>
      <c r="G87" t="inlineStr">
        <is>
          <t>SEM GRUPO</t>
        </is>
      </c>
      <c r="H87" t="inlineStr">
        <is>
          <t>SC</t>
        </is>
      </c>
      <c r="I87" t="n">
        <v>47997065444</v>
      </c>
      <c r="J87" t="inlineStr">
        <is>
          <t>JBP</t>
        </is>
      </c>
      <c r="K87" t="inlineStr">
        <is>
          <t>SEM REDE</t>
        </is>
      </c>
      <c r="L87" t="inlineStr">
        <is>
          <t>SC</t>
        </is>
      </c>
      <c r="M87" t="n">
        <v>47997065444</v>
      </c>
      <c r="N87" t="n">
        <v>5306.26</v>
      </c>
      <c r="O87" t="n">
        <v>467.96</v>
      </c>
      <c r="P87" t="inlineStr">
        <is>
          <t>03 - SUL</t>
        </is>
      </c>
      <c r="Q87" t="inlineStr">
        <is>
          <t>HEMANUELE DITZEL (MANU)</t>
        </is>
      </c>
      <c r="S87" t="inlineStr">
        <is>
          <t>ZR - NAO APLICAVEL</t>
        </is>
      </c>
      <c r="T87" t="inlineStr">
        <is>
          <t>HEMANUELE ROSA DITZEL</t>
        </is>
      </c>
      <c r="V87" t="inlineStr">
        <is>
          <t>top 100</t>
        </is>
      </c>
      <c r="W87" t="inlineStr">
        <is>
          <t>REGIÕES/GRUPOS</t>
        </is>
      </c>
    </row>
    <row r="88" ht="15" customHeight="1">
      <c r="A88" t="n">
        <v>0.940779</v>
      </c>
      <c r="B88" t="inlineStr">
        <is>
          <t>VERDE</t>
        </is>
      </c>
      <c r="C88" t="n">
        <v>5615.5</v>
      </c>
      <c r="D88" t="n">
        <v>5282.95</v>
      </c>
      <c r="E88" t="n">
        <v>5615.5</v>
      </c>
      <c r="F88" s="6" t="n">
        <v>0.940779</v>
      </c>
      <c r="G88" t="inlineStr">
        <is>
          <t>SEM GRUPO</t>
        </is>
      </c>
      <c r="H88" t="inlineStr">
        <is>
          <t>SC</t>
        </is>
      </c>
      <c r="I88" t="n">
        <v>4733874642</v>
      </c>
      <c r="J88" t="inlineStr">
        <is>
          <t>JBP</t>
        </is>
      </c>
      <c r="K88" t="inlineStr">
        <is>
          <t>SEM REDE</t>
        </is>
      </c>
      <c r="L88" t="inlineStr">
        <is>
          <t>SC</t>
        </is>
      </c>
      <c r="M88" t="n">
        <v>4733874642</v>
      </c>
      <c r="N88" t="n">
        <v>5282.95</v>
      </c>
      <c r="O88" t="n">
        <v>467.96</v>
      </c>
      <c r="P88" t="inlineStr">
        <is>
          <t>03 - SUL</t>
        </is>
      </c>
      <c r="Q88" t="inlineStr">
        <is>
          <t>HEMANUELE DITZEL (MANU)</t>
        </is>
      </c>
      <c r="S88" t="inlineStr">
        <is>
          <t>ZR - NAO APLICAVEL</t>
        </is>
      </c>
      <c r="T88" t="inlineStr">
        <is>
          <t>HEMANUELE ROSA DITZEL</t>
        </is>
      </c>
      <c r="V88" t="inlineStr">
        <is>
          <t>top 100</t>
        </is>
      </c>
      <c r="W88" t="inlineStr">
        <is>
          <t>REGIÕES/GRUPOS</t>
        </is>
      </c>
    </row>
    <row r="89" ht="15" customHeight="1">
      <c r="A89" t="n">
        <v>0.487815</v>
      </c>
      <c r="B89" t="inlineStr">
        <is>
          <t>AMARELO</t>
        </is>
      </c>
      <c r="C89" t="n">
        <v>10706.9</v>
      </c>
      <c r="D89" t="n">
        <v>5222.99</v>
      </c>
      <c r="E89" t="n">
        <v>10706.9</v>
      </c>
      <c r="F89" s="6" t="n">
        <v>0.487815</v>
      </c>
      <c r="G89" t="inlineStr">
        <is>
          <t>FITLAND</t>
        </is>
      </c>
      <c r="H89" t="inlineStr">
        <is>
          <t>SC</t>
        </is>
      </c>
      <c r="I89" t="n">
        <v>4899570928</v>
      </c>
      <c r="J89" t="inlineStr">
        <is>
          <t>Plano de Sell Out</t>
        </is>
      </c>
      <c r="K89" t="inlineStr">
        <is>
          <t>FITLAND</t>
        </is>
      </c>
      <c r="L89" t="inlineStr">
        <is>
          <t>SC</t>
        </is>
      </c>
      <c r="M89" t="n">
        <v>4899570928</v>
      </c>
      <c r="N89" t="n">
        <v>5222.99</v>
      </c>
      <c r="O89" t="n">
        <v>892.24</v>
      </c>
      <c r="P89" t="inlineStr">
        <is>
          <t>03 - NACIONAL</t>
        </is>
      </c>
      <c r="Q89" t="inlineStr">
        <is>
          <t>JULIO GADRET</t>
        </is>
      </c>
      <c r="S89" t="inlineStr">
        <is>
          <t>ZR - NAO APLICAVEL</t>
        </is>
      </c>
      <c r="T89" t="inlineStr">
        <is>
          <t>ZV - NAO APLICAVEL</t>
        </is>
      </c>
      <c r="V89" t="inlineStr">
        <is>
          <t>top 100</t>
        </is>
      </c>
      <c r="W89" t="inlineStr">
        <is>
          <t>REDES E FRANQUIAS</t>
        </is>
      </c>
    </row>
    <row r="90" ht="15" customHeight="1">
      <c r="A90" t="n">
        <v>0.927279</v>
      </c>
      <c r="B90" t="inlineStr">
        <is>
          <t>VERDE</t>
        </is>
      </c>
      <c r="C90" t="n">
        <v>5615.5</v>
      </c>
      <c r="D90" t="n">
        <v>5207.14</v>
      </c>
      <c r="E90" t="n">
        <v>5615.5</v>
      </c>
      <c r="F90" s="6" t="n">
        <v>0.927279</v>
      </c>
      <c r="G90" t="inlineStr">
        <is>
          <t>SEM GRUPO</t>
        </is>
      </c>
      <c r="H90" t="inlineStr">
        <is>
          <t>BA</t>
        </is>
      </c>
      <c r="I90" t="n">
        <v>7599893413</v>
      </c>
      <c r="J90" t="inlineStr">
        <is>
          <t>JBP</t>
        </is>
      </c>
      <c r="K90" t="inlineStr">
        <is>
          <t>SEM REDE</t>
        </is>
      </c>
      <c r="L90" t="inlineStr">
        <is>
          <t>BA</t>
        </is>
      </c>
      <c r="M90" t="n">
        <v>7599893413</v>
      </c>
      <c r="N90" t="n">
        <v>5207.14</v>
      </c>
      <c r="O90" t="n">
        <v>467.96</v>
      </c>
      <c r="P90" t="inlineStr">
        <is>
          <t>03 - NORDESTE (SEM MA)</t>
        </is>
      </c>
      <c r="Q90" t="inlineStr">
        <is>
          <t>LARISSA PADILHA</t>
        </is>
      </c>
      <c r="S90" t="inlineStr">
        <is>
          <t>42.149.466 LARISSA DA SILVA PADILHA - ME</t>
        </is>
      </c>
      <c r="T90" t="inlineStr">
        <is>
          <t>ZV - NAO APLICAVEL</t>
        </is>
      </c>
      <c r="V90" t="inlineStr">
        <is>
          <t>top 100</t>
        </is>
      </c>
      <c r="W90" t="inlineStr">
        <is>
          <t>REGIÕES/GRUPOS</t>
        </is>
      </c>
    </row>
    <row r="91" ht="15" customHeight="1">
      <c r="A91" t="n">
        <v>0.474218</v>
      </c>
      <c r="B91" t="inlineStr">
        <is>
          <t>AMARELO</t>
        </is>
      </c>
      <c r="C91" t="n">
        <v>10706.9</v>
      </c>
      <c r="D91" t="n">
        <v>5077.4</v>
      </c>
      <c r="E91" t="n">
        <v>10706.9</v>
      </c>
      <c r="F91" s="6" t="n">
        <v>0.474218</v>
      </c>
      <c r="G91" t="inlineStr">
        <is>
          <t>FITLAND</t>
        </is>
      </c>
      <c r="H91" t="inlineStr">
        <is>
          <t>SC</t>
        </is>
      </c>
      <c r="I91" t="n">
        <v>4899277117</v>
      </c>
      <c r="J91" t="inlineStr">
        <is>
          <t>Plano de Sell Out</t>
        </is>
      </c>
      <c r="K91" t="inlineStr">
        <is>
          <t>FITLAND</t>
        </is>
      </c>
      <c r="L91" t="inlineStr">
        <is>
          <t>SC</t>
        </is>
      </c>
      <c r="M91" t="n">
        <v>4899277117</v>
      </c>
      <c r="N91" t="n">
        <v>5077.4</v>
      </c>
      <c r="O91" t="n">
        <v>892.24</v>
      </c>
      <c r="P91" t="inlineStr">
        <is>
          <t>03 - NACIONAL</t>
        </is>
      </c>
      <c r="Q91" t="inlineStr">
        <is>
          <t>JULIO GADRET</t>
        </is>
      </c>
      <c r="S91" t="inlineStr">
        <is>
          <t>ZR - NAO APLICAVEL</t>
        </is>
      </c>
      <c r="T91" t="inlineStr">
        <is>
          <t>ZV - NAO APLICAVEL</t>
        </is>
      </c>
      <c r="V91" t="inlineStr">
        <is>
          <t>top 100</t>
        </is>
      </c>
      <c r="W91" t="inlineStr">
        <is>
          <t>REDES E FRANQUIAS</t>
        </is>
      </c>
    </row>
    <row r="92" ht="15" customHeight="1">
      <c r="A92" t="n">
        <v>0.895546</v>
      </c>
      <c r="B92" t="inlineStr">
        <is>
          <t>VERDE</t>
        </is>
      </c>
      <c r="C92" t="n">
        <v>5615.5</v>
      </c>
      <c r="D92" t="n">
        <v>5028.94</v>
      </c>
      <c r="E92" t="n">
        <v>5615.5</v>
      </c>
      <c r="F92" s="6" t="n">
        <v>0.895546</v>
      </c>
      <c r="G92" t="inlineStr">
        <is>
          <t>SEM GRUPO</t>
        </is>
      </c>
      <c r="H92" t="inlineStr">
        <is>
          <t>MG</t>
        </is>
      </c>
      <c r="I92" t="n">
        <v>17991844024</v>
      </c>
      <c r="J92" t="inlineStr">
        <is>
          <t>JBP</t>
        </is>
      </c>
      <c r="K92" t="inlineStr">
        <is>
          <t>SEM REDE</t>
        </is>
      </c>
      <c r="L92" t="inlineStr">
        <is>
          <t>MG</t>
        </is>
      </c>
      <c r="M92" t="n">
        <v>17991844024</v>
      </c>
      <c r="N92" t="n">
        <v>5028.94</v>
      </c>
      <c r="O92" t="n">
        <v>467.96</v>
      </c>
      <c r="P92" t="inlineStr">
        <is>
          <t>03 - RJ + ES + MG</t>
        </is>
      </c>
      <c r="Q92" t="inlineStr">
        <is>
          <t>LARISSA PADILHA</t>
        </is>
      </c>
      <c r="S92" t="inlineStr">
        <is>
          <t>42.149.466 LARISSA DA SILVA PADILHA - ME</t>
        </is>
      </c>
      <c r="T92" t="inlineStr">
        <is>
          <t>ZV - NAO APLICAVEL</t>
        </is>
      </c>
      <c r="V92" t="inlineStr">
        <is>
          <t>top 100</t>
        </is>
      </c>
      <c r="W92" t="inlineStr">
        <is>
          <t>REGIÕES/GRUPOS</t>
        </is>
      </c>
    </row>
    <row r="93" ht="15" customHeight="1">
      <c r="A93" t="n">
        <v>0.895312</v>
      </c>
      <c r="B93" t="inlineStr">
        <is>
          <t>VERDE</t>
        </is>
      </c>
      <c r="C93" t="n">
        <v>5615.5</v>
      </c>
      <c r="D93" t="n">
        <v>5027.63</v>
      </c>
      <c r="E93" t="n">
        <v>5615.5</v>
      </c>
      <c r="F93" s="6" t="n">
        <v>0.895312</v>
      </c>
      <c r="G93" t="inlineStr">
        <is>
          <t>SEM GRUPO</t>
        </is>
      </c>
      <c r="H93" t="inlineStr">
        <is>
          <t>RJ</t>
        </is>
      </c>
      <c r="I93" t="n">
        <v>21968769347</v>
      </c>
      <c r="J93" t="inlineStr">
        <is>
          <t>JBP</t>
        </is>
      </c>
      <c r="K93" t="inlineStr">
        <is>
          <t>SEM REDE</t>
        </is>
      </c>
      <c r="L93" t="inlineStr">
        <is>
          <t>RJ</t>
        </is>
      </c>
      <c r="M93" t="n">
        <v>21968769347</v>
      </c>
      <c r="N93" t="n">
        <v>5027.63</v>
      </c>
      <c r="O93" t="n">
        <v>467.96</v>
      </c>
      <c r="P93" t="inlineStr">
        <is>
          <t>03 - RJ + ES + MG</t>
        </is>
      </c>
      <c r="Q93" t="inlineStr">
        <is>
          <t>HEMANUELE DITZEL (MANU)</t>
        </is>
      </c>
      <c r="S93" t="inlineStr">
        <is>
          <t>ZR - NAO APLICAVEL</t>
        </is>
      </c>
      <c r="T93" t="inlineStr">
        <is>
          <t>HEMANUELE ROSA DITZEL</t>
        </is>
      </c>
      <c r="V93" t="inlineStr">
        <is>
          <t>top 100</t>
        </is>
      </c>
      <c r="W93" t="inlineStr">
        <is>
          <t>REGIÕES/GRUPOS</t>
        </is>
      </c>
    </row>
    <row r="94" ht="15" customHeight="1">
      <c r="A94" t="n">
        <v>0.8949780000000001</v>
      </c>
      <c r="B94" t="inlineStr">
        <is>
          <t>VERDE</t>
        </is>
      </c>
      <c r="C94" t="n">
        <v>5615.5</v>
      </c>
      <c r="D94" t="n">
        <v>5025.75</v>
      </c>
      <c r="E94" t="n">
        <v>5615.5</v>
      </c>
      <c r="F94" s="6" t="n">
        <v>0.8949780000000001</v>
      </c>
      <c r="G94" t="inlineStr">
        <is>
          <t>SEM GRUPO</t>
        </is>
      </c>
      <c r="H94" t="inlineStr">
        <is>
          <t>RJ</t>
        </is>
      </c>
      <c r="I94" t="n">
        <v>22999447675</v>
      </c>
      <c r="J94" t="inlineStr">
        <is>
          <t>JBP</t>
        </is>
      </c>
      <c r="K94" t="inlineStr">
        <is>
          <t>SEM REDE</t>
        </is>
      </c>
      <c r="L94" t="inlineStr">
        <is>
          <t>RJ</t>
        </is>
      </c>
      <c r="M94" t="n">
        <v>22999447675</v>
      </c>
      <c r="N94" t="n">
        <v>5025.75</v>
      </c>
      <c r="O94" t="n">
        <v>467.96</v>
      </c>
      <c r="P94" t="inlineStr">
        <is>
          <t>03 - RJ + ES + MG</t>
        </is>
      </c>
      <c r="Q94" t="inlineStr">
        <is>
          <t>LARISSA PADILHA</t>
        </is>
      </c>
      <c r="S94" t="inlineStr">
        <is>
          <t>42.149.466 LARISSA DA SILVA PADILHA - ME</t>
        </is>
      </c>
      <c r="T94" t="inlineStr">
        <is>
          <t>ZV - NAO APLICAVEL</t>
        </is>
      </c>
      <c r="V94" t="inlineStr">
        <is>
          <t>top 100</t>
        </is>
      </c>
      <c r="W94" t="inlineStr">
        <is>
          <t>REGIÕES/GRUPOS</t>
        </is>
      </c>
    </row>
    <row r="95" ht="15" customHeight="1">
      <c r="A95" t="n">
        <v>0.876167</v>
      </c>
      <c r="B95" t="inlineStr">
        <is>
          <t>VERDE</t>
        </is>
      </c>
      <c r="C95" t="n">
        <v>5615.5</v>
      </c>
      <c r="D95" t="n">
        <v>4920.12</v>
      </c>
      <c r="E95" t="n">
        <v>5615.5</v>
      </c>
      <c r="F95" s="6" t="n">
        <v>0.876167</v>
      </c>
      <c r="G95" t="inlineStr">
        <is>
          <t>SEM GRUPO</t>
        </is>
      </c>
      <c r="H95" t="inlineStr">
        <is>
          <t>GO</t>
        </is>
      </c>
      <c r="I95" t="n">
        <v>6299448165</v>
      </c>
      <c r="J95" t="inlineStr">
        <is>
          <t>JBP</t>
        </is>
      </c>
      <c r="K95" t="inlineStr">
        <is>
          <t>SEM REDE</t>
        </is>
      </c>
      <c r="L95" t="inlineStr">
        <is>
          <t>GO</t>
        </is>
      </c>
      <c r="M95" t="n">
        <v>6299448165</v>
      </c>
      <c r="N95" t="n">
        <v>4920.12</v>
      </c>
      <c r="O95" t="n">
        <v>467.96</v>
      </c>
      <c r="P95" t="inlineStr">
        <is>
          <t>03 - CENTRO OESTE</t>
        </is>
      </c>
      <c r="Q95" t="inlineStr">
        <is>
          <t>LARISSA PADILHA</t>
        </is>
      </c>
      <c r="S95" t="inlineStr">
        <is>
          <t>42.149.466 LARISSA DA SILVA PADILHA - ME</t>
        </is>
      </c>
      <c r="T95" t="inlineStr">
        <is>
          <t>ZV - NAO APLICAVEL</t>
        </is>
      </c>
      <c r="V95" t="inlineStr">
        <is>
          <t>top 100</t>
        </is>
      </c>
      <c r="W95" t="inlineStr">
        <is>
          <t>REGIÕES/GRUPOS</t>
        </is>
      </c>
    </row>
    <row r="96" ht="15" customHeight="1">
      <c r="A96" t="n">
        <v>0.871161</v>
      </c>
      <c r="B96" t="inlineStr">
        <is>
          <t>VERDE</t>
        </is>
      </c>
      <c r="C96" t="n">
        <v>5615.5</v>
      </c>
      <c r="D96" t="n">
        <v>4892.01</v>
      </c>
      <c r="E96" t="n">
        <v>5615.5</v>
      </c>
      <c r="F96" s="6" t="n">
        <v>0.871161</v>
      </c>
      <c r="G96" t="inlineStr">
        <is>
          <t>SEM GRUPO</t>
        </is>
      </c>
      <c r="H96" t="inlineStr">
        <is>
          <t>SP</t>
        </is>
      </c>
      <c r="I96" t="n">
        <v>1166425526</v>
      </c>
      <c r="J96" t="inlineStr">
        <is>
          <t>JBP</t>
        </is>
      </c>
      <c r="K96" t="inlineStr">
        <is>
          <t>SEM REDE</t>
        </is>
      </c>
      <c r="L96" t="inlineStr">
        <is>
          <t>SP</t>
        </is>
      </c>
      <c r="M96" t="n">
        <v>1166425526</v>
      </c>
      <c r="N96" t="n">
        <v>4892.01</v>
      </c>
      <c r="O96" t="n">
        <v>467.96</v>
      </c>
      <c r="P96" t="inlineStr">
        <is>
          <t>03 - SP CAPITAL</t>
        </is>
      </c>
      <c r="Q96" t="inlineStr">
        <is>
          <t>LARISSA PADILHA</t>
        </is>
      </c>
      <c r="S96" t="inlineStr">
        <is>
          <t>42.149.466 LARISSA DA SILVA PADILHA - ME</t>
        </is>
      </c>
      <c r="T96" t="inlineStr">
        <is>
          <t>ZV - NAO APLICAVEL</t>
        </is>
      </c>
      <c r="V96" t="inlineStr">
        <is>
          <t>top 100</t>
        </is>
      </c>
      <c r="W96" t="inlineStr">
        <is>
          <t>REGIÕES/GRUPOS</t>
        </is>
      </c>
    </row>
    <row r="97" ht="15" customHeight="1">
      <c r="A97" t="n">
        <v>0.411259</v>
      </c>
      <c r="B97" t="inlineStr">
        <is>
          <t>AMARELO</t>
        </is>
      </c>
      <c r="C97" t="n">
        <v>11700</v>
      </c>
      <c r="D97" t="n">
        <v>4811.73</v>
      </c>
      <c r="E97" t="n">
        <v>11700</v>
      </c>
      <c r="F97" s="6" t="n">
        <v>0.411259</v>
      </c>
      <c r="G97" t="inlineStr">
        <is>
          <t>MUNDO VERDE</t>
        </is>
      </c>
      <c r="H97" t="inlineStr">
        <is>
          <t>RJ</t>
        </is>
      </c>
      <c r="I97" t="n">
        <v>22981512892</v>
      </c>
      <c r="J97" t="inlineStr">
        <is>
          <t>Plano de Sell Out</t>
        </is>
      </c>
      <c r="K97" t="inlineStr">
        <is>
          <t>MUNDO VERDE</t>
        </is>
      </c>
      <c r="L97" t="inlineStr">
        <is>
          <t>RJ</t>
        </is>
      </c>
      <c r="M97" t="n">
        <v>22981512892</v>
      </c>
      <c r="N97" t="n">
        <v>4811.73</v>
      </c>
      <c r="O97" t="n">
        <v>975</v>
      </c>
      <c r="P97" t="inlineStr">
        <is>
          <t>03 - NACIONAL</t>
        </is>
      </c>
      <c r="Q97" t="inlineStr">
        <is>
          <t>HEMANUELE DITZEL (MANU)</t>
        </is>
      </c>
      <c r="S97" t="inlineStr">
        <is>
          <t>ZR - NAO APLICAVEL</t>
        </is>
      </c>
      <c r="T97" t="inlineStr">
        <is>
          <t>HEMANUELE ROSA DITZEL</t>
        </is>
      </c>
      <c r="V97" t="inlineStr">
        <is>
          <t>top 100</t>
        </is>
      </c>
      <c r="W97" t="inlineStr">
        <is>
          <t>REDES E FRANQUIAS</t>
        </is>
      </c>
    </row>
    <row r="98" ht="15" customHeight="1">
      <c r="A98" t="n">
        <v>0.8470569999999999</v>
      </c>
      <c r="B98" t="inlineStr">
        <is>
          <t>VERDE</t>
        </is>
      </c>
      <c r="C98" t="n">
        <v>5615.5</v>
      </c>
      <c r="D98" t="n">
        <v>4756.65</v>
      </c>
      <c r="E98" t="n">
        <v>5615.5</v>
      </c>
      <c r="F98" s="6" t="n">
        <v>0.8470569999999999</v>
      </c>
      <c r="G98" t="inlineStr">
        <is>
          <t>SEM GRUPO</t>
        </is>
      </c>
      <c r="H98" t="inlineStr">
        <is>
          <t>PR</t>
        </is>
      </c>
      <c r="I98" t="n">
        <v>43305638984</v>
      </c>
      <c r="J98" t="inlineStr">
        <is>
          <t>JBP</t>
        </is>
      </c>
      <c r="K98" t="inlineStr">
        <is>
          <t>SEM REDE</t>
        </is>
      </c>
      <c r="L98" t="inlineStr">
        <is>
          <t>PR</t>
        </is>
      </c>
      <c r="M98" t="n">
        <v>43305638984</v>
      </c>
      <c r="N98" t="n">
        <v>4756.65</v>
      </c>
      <c r="O98" t="n">
        <v>467.96</v>
      </c>
      <c r="P98" t="inlineStr">
        <is>
          <t>03 - SUL</t>
        </is>
      </c>
      <c r="Q98" t="inlineStr">
        <is>
          <t>HEMANUELE DITZEL (MANU)</t>
        </is>
      </c>
      <c r="S98" t="inlineStr">
        <is>
          <t>ZR - NAO APLICAVEL</t>
        </is>
      </c>
      <c r="T98" t="inlineStr">
        <is>
          <t>HEMANUELE ROSA DITZEL</t>
        </is>
      </c>
      <c r="V98" t="inlineStr">
        <is>
          <t>top 100</t>
        </is>
      </c>
      <c r="W98" t="inlineStr">
        <is>
          <t>REGIÕES/GRUPOS</t>
        </is>
      </c>
    </row>
    <row r="99" ht="15" customHeight="1">
      <c r="A99" t="n">
        <v>0.832032</v>
      </c>
      <c r="B99" t="inlineStr">
        <is>
          <t>VERDE</t>
        </is>
      </c>
      <c r="C99" t="n">
        <v>5615.5</v>
      </c>
      <c r="D99" t="n">
        <v>4672.28</v>
      </c>
      <c r="E99" t="n">
        <v>5615.5</v>
      </c>
      <c r="F99" s="6" t="n">
        <v>0.832032</v>
      </c>
      <c r="G99" t="inlineStr">
        <is>
          <t>SEM GRUPO</t>
        </is>
      </c>
      <c r="H99" t="inlineStr">
        <is>
          <t>RJ</t>
        </is>
      </c>
      <c r="I99" t="n">
        <v>24248461152</v>
      </c>
      <c r="J99" t="inlineStr">
        <is>
          <t>JBP</t>
        </is>
      </c>
      <c r="K99" t="inlineStr">
        <is>
          <t>SEM REDE</t>
        </is>
      </c>
      <c r="L99" t="inlineStr">
        <is>
          <t>RJ</t>
        </is>
      </c>
      <c r="M99" t="n">
        <v>24248461152</v>
      </c>
      <c r="N99" t="n">
        <v>4672.28</v>
      </c>
      <c r="O99" t="n">
        <v>467.96</v>
      </c>
      <c r="P99" t="inlineStr">
        <is>
          <t>03 - RJ + ES + MG</t>
        </is>
      </c>
      <c r="Q99" t="inlineStr">
        <is>
          <t>LARISSA PADILHA</t>
        </is>
      </c>
      <c r="S99" t="inlineStr">
        <is>
          <t>42.149.466 LARISSA DA SILVA PADILHA - ME</t>
        </is>
      </c>
      <c r="T99" t="inlineStr">
        <is>
          <t>ZV - NAO APLICAVEL</t>
        </is>
      </c>
      <c r="V99" t="inlineStr">
        <is>
          <t>top 100</t>
        </is>
      </c>
      <c r="W99" t="inlineStr">
        <is>
          <t>REGIÕES/GRUPOS</t>
        </is>
      </c>
    </row>
    <row r="100" ht="15" customHeight="1">
      <c r="A100" t="n">
        <v>0.826341</v>
      </c>
      <c r="B100" t="inlineStr">
        <is>
          <t>VERDE</t>
        </is>
      </c>
      <c r="C100" t="n">
        <v>5615.5</v>
      </c>
      <c r="D100" t="n">
        <v>4640.32</v>
      </c>
      <c r="E100" t="n">
        <v>5615.5</v>
      </c>
      <c r="F100" s="6" t="n">
        <v>0.826341</v>
      </c>
      <c r="G100" t="inlineStr">
        <is>
          <t>SEM GRUPO</t>
        </is>
      </c>
      <c r="H100" t="inlineStr">
        <is>
          <t>SC</t>
        </is>
      </c>
      <c r="I100" t="n">
        <v>4899466830</v>
      </c>
      <c r="J100" t="inlineStr">
        <is>
          <t>JBP</t>
        </is>
      </c>
      <c r="K100" t="inlineStr">
        <is>
          <t>SEM REDE</t>
        </is>
      </c>
      <c r="L100" t="inlineStr">
        <is>
          <t>SC</t>
        </is>
      </c>
      <c r="M100" t="n">
        <v>4899466830</v>
      </c>
      <c r="N100" t="n">
        <v>4640.32</v>
      </c>
      <c r="O100" t="n">
        <v>467.96</v>
      </c>
      <c r="P100" t="inlineStr">
        <is>
          <t>03 - SUL</t>
        </is>
      </c>
      <c r="Q100" t="inlineStr">
        <is>
          <t>HEMANUELE DITZEL (MANU)</t>
        </is>
      </c>
      <c r="S100" t="inlineStr">
        <is>
          <t>ZR - NAO APLICAVEL</t>
        </is>
      </c>
      <c r="T100" t="inlineStr">
        <is>
          <t>HEMANUELE ROSA DITZEL</t>
        </is>
      </c>
      <c r="V100" t="inlineStr">
        <is>
          <t>top 100</t>
        </is>
      </c>
      <c r="W100" t="inlineStr">
        <is>
          <t>REGIÕES/GRUPOS</t>
        </is>
      </c>
    </row>
    <row r="101" ht="15" customHeight="1">
      <c r="A101" t="n">
        <v>0.512482</v>
      </c>
      <c r="B101" t="inlineStr">
        <is>
          <t>AMARELO</t>
        </is>
      </c>
      <c r="C101" t="n">
        <v>9000</v>
      </c>
      <c r="D101" t="n">
        <v>4612.34</v>
      </c>
      <c r="E101" t="n">
        <v>9000</v>
      </c>
      <c r="F101" s="6" t="n">
        <v>0.512482</v>
      </c>
      <c r="G101" t="inlineStr">
        <is>
          <t>TRIP</t>
        </is>
      </c>
      <c r="H101" t="inlineStr">
        <is>
          <t>PR</t>
        </is>
      </c>
      <c r="I101" t="n">
        <v>41992150461</v>
      </c>
      <c r="J101" t="inlineStr">
        <is>
          <t>Plano de Sell Out</t>
        </is>
      </c>
      <c r="K101" t="inlineStr">
        <is>
          <t>TRIP</t>
        </is>
      </c>
      <c r="L101" t="inlineStr">
        <is>
          <t>PR</t>
        </is>
      </c>
      <c r="M101" t="n">
        <v>41992150461</v>
      </c>
      <c r="N101" t="n">
        <v>4612.34</v>
      </c>
      <c r="O101" t="n">
        <v>750</v>
      </c>
      <c r="P101" t="inlineStr">
        <is>
          <t>03 - SUL</t>
        </is>
      </c>
      <c r="Q101" t="inlineStr">
        <is>
          <t>DAIANE STAVICKI</t>
        </is>
      </c>
      <c r="S101" t="inlineStr">
        <is>
          <t>ZR - NAO APLICAVEL</t>
        </is>
      </c>
      <c r="T101" t="inlineStr">
        <is>
          <t>ZV - NAO APLICAVEL</t>
        </is>
      </c>
      <c r="V101" t="inlineStr">
        <is>
          <t>top 100</t>
        </is>
      </c>
      <c r="W101" t="inlineStr">
        <is>
          <t>REDES E FRANQUIAS</t>
        </is>
      </c>
    </row>
    <row r="102" ht="15" customHeight="1">
      <c r="A102" t="n">
        <v>0.820475</v>
      </c>
      <c r="B102" t="inlineStr">
        <is>
          <t>VERDE</t>
        </is>
      </c>
      <c r="C102" t="n">
        <v>5615.5</v>
      </c>
      <c r="D102" t="n">
        <v>4607.38</v>
      </c>
      <c r="E102" t="n">
        <v>5615.5</v>
      </c>
      <c r="F102" s="6" t="n">
        <v>0.820475</v>
      </c>
      <c r="G102" t="inlineStr">
        <is>
          <t>SEM GRUPO</t>
        </is>
      </c>
      <c r="H102" t="inlineStr">
        <is>
          <t>PE</t>
        </is>
      </c>
      <c r="I102" t="n">
        <v>81999226106</v>
      </c>
      <c r="J102" t="inlineStr">
        <is>
          <t>JBP</t>
        </is>
      </c>
      <c r="K102" t="inlineStr">
        <is>
          <t>SEM REDE</t>
        </is>
      </c>
      <c r="L102" t="inlineStr">
        <is>
          <t>PE</t>
        </is>
      </c>
      <c r="M102" t="n">
        <v>81999226106</v>
      </c>
      <c r="N102" t="n">
        <v>4607.38</v>
      </c>
      <c r="O102" t="n">
        <v>467.96</v>
      </c>
      <c r="P102" t="inlineStr">
        <is>
          <t>03 - NORDESTE (SEM MA)</t>
        </is>
      </c>
      <c r="Q102" t="inlineStr">
        <is>
          <t>LARISSA PADILHA</t>
        </is>
      </c>
      <c r="S102" t="inlineStr">
        <is>
          <t>42.149.466 LARISSA DA SILVA PADILHA - ME</t>
        </is>
      </c>
      <c r="T102" t="inlineStr">
        <is>
          <t>ZV - NAO APLICAVEL</t>
        </is>
      </c>
      <c r="V102" t="inlineStr">
        <is>
          <t>top 100</t>
        </is>
      </c>
      <c r="W102" t="inlineStr">
        <is>
          <t>REGIÕES/GRUPOS</t>
        </is>
      </c>
    </row>
    <row r="103" ht="15" customHeight="1">
      <c r="A103" t="n">
        <v>0.8083979999999999</v>
      </c>
      <c r="B103" t="inlineStr">
        <is>
          <t>VERDE</t>
        </is>
      </c>
      <c r="C103" t="n">
        <v>5615.5</v>
      </c>
      <c r="D103" t="n">
        <v>4539.56</v>
      </c>
      <c r="E103" t="n">
        <v>5615.5</v>
      </c>
      <c r="F103" s="6" t="n">
        <v>0.8083979999999999</v>
      </c>
      <c r="G103" t="inlineStr">
        <is>
          <t>SEM GRUPO</t>
        </is>
      </c>
      <c r="H103" t="inlineStr">
        <is>
          <t>PI</t>
        </is>
      </c>
      <c r="I103" t="n">
        <v>86999385815</v>
      </c>
      <c r="J103" t="inlineStr">
        <is>
          <t>JBP</t>
        </is>
      </c>
      <c r="K103" t="inlineStr">
        <is>
          <t>SEM REDE</t>
        </is>
      </c>
      <c r="L103" t="inlineStr">
        <is>
          <t>PI</t>
        </is>
      </c>
      <c r="M103" t="n">
        <v>86999385815</v>
      </c>
      <c r="N103" t="n">
        <v>4539.56</v>
      </c>
      <c r="O103" t="n">
        <v>467.96</v>
      </c>
      <c r="P103" t="inlineStr">
        <is>
          <t>03 - NORDESTE (SEM MA)</t>
        </is>
      </c>
      <c r="Q103" t="inlineStr">
        <is>
          <t>LARISSA PADILHA</t>
        </is>
      </c>
      <c r="S103" t="inlineStr">
        <is>
          <t>ZR - NAO APLICAVEL</t>
        </is>
      </c>
      <c r="T103" t="inlineStr">
        <is>
          <t>ZV - NAO APLICAVEL</t>
        </is>
      </c>
      <c r="V103" t="inlineStr">
        <is>
          <t>top 200</t>
        </is>
      </c>
      <c r="W103" t="inlineStr">
        <is>
          <t>REGIÕES/GRUPOS</t>
        </is>
      </c>
    </row>
    <row r="104" ht="15" customHeight="1">
      <c r="A104" t="n">
        <v>0.796847</v>
      </c>
      <c r="B104" t="inlineStr">
        <is>
          <t>VERDE</t>
        </is>
      </c>
      <c r="C104" t="n">
        <v>5615.5</v>
      </c>
      <c r="D104" t="n">
        <v>4474.7</v>
      </c>
      <c r="E104" t="n">
        <v>5615.5</v>
      </c>
      <c r="F104" s="6" t="n">
        <v>0.796847</v>
      </c>
      <c r="G104" t="inlineStr">
        <is>
          <t>SEM GRUPO</t>
        </is>
      </c>
      <c r="H104" t="inlineStr">
        <is>
          <t>TO</t>
        </is>
      </c>
      <c r="I104" t="n">
        <v>6334120602</v>
      </c>
      <c r="J104" t="inlineStr">
        <is>
          <t>JBP</t>
        </is>
      </c>
      <c r="K104" t="inlineStr">
        <is>
          <t>SEM REDE</t>
        </is>
      </c>
      <c r="L104" t="inlineStr">
        <is>
          <t>TO</t>
        </is>
      </c>
      <c r="M104" t="n">
        <v>6334120602</v>
      </c>
      <c r="N104" t="n">
        <v>4474.7</v>
      </c>
      <c r="O104" t="n">
        <v>467.96</v>
      </c>
      <c r="P104" t="inlineStr">
        <is>
          <t>03 - CENTRO OESTE</t>
        </is>
      </c>
      <c r="Q104" t="inlineStr">
        <is>
          <t>LARISSA PADILHA</t>
        </is>
      </c>
      <c r="S104" t="inlineStr">
        <is>
          <t>42.149.466 LARISSA DA SILVA PADILHA - ME</t>
        </is>
      </c>
      <c r="T104" t="inlineStr">
        <is>
          <t>ZV - NAO APLICAVEL</t>
        </is>
      </c>
      <c r="V104" t="inlineStr">
        <is>
          <t>top 200</t>
        </is>
      </c>
      <c r="W104" t="inlineStr">
        <is>
          <t>REGIÕES/GRUPOS</t>
        </is>
      </c>
    </row>
    <row r="105" ht="15" customHeight="1">
      <c r="A105" t="n">
        <v>0.377109</v>
      </c>
      <c r="B105" t="inlineStr">
        <is>
          <t>VERMELHO</t>
        </is>
      </c>
      <c r="C105" t="n">
        <v>11700</v>
      </c>
      <c r="D105" t="n">
        <v>4412.17</v>
      </c>
      <c r="E105" t="n">
        <v>11700</v>
      </c>
      <c r="F105" s="6" t="n">
        <v>0.377109</v>
      </c>
      <c r="G105" t="inlineStr">
        <is>
          <t>MUNDO VERDE</t>
        </is>
      </c>
      <c r="H105" t="inlineStr">
        <is>
          <t>SP</t>
        </is>
      </c>
      <c r="I105" t="n">
        <v>1433016896</v>
      </c>
      <c r="J105" t="inlineStr">
        <is>
          <t>Plano de Negócio</t>
        </is>
      </c>
      <c r="K105" t="inlineStr">
        <is>
          <t>MUNDO VERDE</t>
        </is>
      </c>
      <c r="L105" t="inlineStr">
        <is>
          <t>SP</t>
        </is>
      </c>
      <c r="M105" t="n">
        <v>1433016896</v>
      </c>
      <c r="N105" t="n">
        <v>4412.17</v>
      </c>
      <c r="O105" t="n">
        <v>975</v>
      </c>
      <c r="P105" t="inlineStr">
        <is>
          <t>03 - NACIONAL</t>
        </is>
      </c>
      <c r="Q105" t="inlineStr">
        <is>
          <t>LARISSA PADILHA</t>
        </is>
      </c>
      <c r="S105" t="inlineStr">
        <is>
          <t>42.149.466 LARISSA DA SILVA PADILHA - ME</t>
        </is>
      </c>
      <c r="T105" t="inlineStr">
        <is>
          <t>ZV - NAO APLICAVEL</t>
        </is>
      </c>
      <c r="V105" t="inlineStr">
        <is>
          <t>top 200</t>
        </is>
      </c>
      <c r="W105" t="inlineStr">
        <is>
          <t>REDES E FRANQUIAS</t>
        </is>
      </c>
    </row>
    <row r="106" ht="15" customHeight="1">
      <c r="A106" t="n">
        <v>0.784841</v>
      </c>
      <c r="B106" t="inlineStr">
        <is>
          <t>VERDE</t>
        </is>
      </c>
      <c r="C106" t="n">
        <v>5615.5</v>
      </c>
      <c r="D106" t="n">
        <v>4407.28</v>
      </c>
      <c r="E106" t="n">
        <v>5615.5</v>
      </c>
      <c r="F106" s="6" t="n">
        <v>0.784841</v>
      </c>
      <c r="G106" t="inlineStr">
        <is>
          <t>SEM GRUPO</t>
        </is>
      </c>
      <c r="H106" t="inlineStr">
        <is>
          <t>RJ</t>
        </is>
      </c>
      <c r="I106" t="n">
        <v>21996572344</v>
      </c>
      <c r="J106" t="inlineStr">
        <is>
          <t>JBP</t>
        </is>
      </c>
      <c r="K106" t="inlineStr">
        <is>
          <t>SEM REDE</t>
        </is>
      </c>
      <c r="L106" t="inlineStr">
        <is>
          <t>RJ</t>
        </is>
      </c>
      <c r="M106" t="n">
        <v>21996572344</v>
      </c>
      <c r="N106" t="n">
        <v>4407.28</v>
      </c>
      <c r="O106" t="n">
        <v>467.96</v>
      </c>
      <c r="P106" t="inlineStr">
        <is>
          <t>03 - RJ + ES + MG</t>
        </is>
      </c>
      <c r="Q106" t="inlineStr">
        <is>
          <t>LARISSA PADILHA</t>
        </is>
      </c>
      <c r="S106" t="inlineStr">
        <is>
          <t>42.149.466 LARISSA DA SILVA PADILHA - ME</t>
        </is>
      </c>
      <c r="T106" t="inlineStr">
        <is>
          <t>ZV - NAO APLICAVEL</t>
        </is>
      </c>
      <c r="V106" t="inlineStr">
        <is>
          <t>top 200</t>
        </is>
      </c>
      <c r="W106" t="inlineStr">
        <is>
          <t>REGIÕES/GRUPOS</t>
        </is>
      </c>
    </row>
    <row r="107" ht="15" customHeight="1">
      <c r="A107" t="n">
        <v>0.781586</v>
      </c>
      <c r="B107" t="inlineStr">
        <is>
          <t>VERDE</t>
        </is>
      </c>
      <c r="C107" t="n">
        <v>5615.5</v>
      </c>
      <c r="D107" t="n">
        <v>4389</v>
      </c>
      <c r="E107" t="n">
        <v>5615.5</v>
      </c>
      <c r="F107" s="6" t="n">
        <v>0.781586</v>
      </c>
      <c r="G107" t="inlineStr">
        <is>
          <t>SEM GRUPO</t>
        </is>
      </c>
      <c r="H107" t="inlineStr">
        <is>
          <t>SP</t>
        </is>
      </c>
      <c r="I107" t="n">
        <v>1141872356</v>
      </c>
      <c r="J107" t="inlineStr">
        <is>
          <t>JBP</t>
        </is>
      </c>
      <c r="K107" t="inlineStr">
        <is>
          <t>SEM REDE</t>
        </is>
      </c>
      <c r="L107" t="inlineStr">
        <is>
          <t>SP</t>
        </is>
      </c>
      <c r="M107" t="n">
        <v>1141872356</v>
      </c>
      <c r="N107" t="n">
        <v>4389</v>
      </c>
      <c r="O107" t="n">
        <v>467.96</v>
      </c>
      <c r="P107" t="inlineStr">
        <is>
          <t>03 - SP CAPITAL</t>
        </is>
      </c>
      <c r="Q107" t="inlineStr">
        <is>
          <t>LARISSA PADILHA</t>
        </is>
      </c>
      <c r="S107" t="inlineStr">
        <is>
          <t>42.149.466 LARISSA DA SILVA PADILHA - ME</t>
        </is>
      </c>
      <c r="T107" t="inlineStr">
        <is>
          <t>ZV - NAO APLICAVEL</t>
        </is>
      </c>
      <c r="V107" t="inlineStr">
        <is>
          <t>top 200</t>
        </is>
      </c>
      <c r="W107" t="inlineStr">
        <is>
          <t>REGIÕES/GRUPOS</t>
        </is>
      </c>
    </row>
    <row r="108" ht="15" customHeight="1">
      <c r="A108" t="n">
        <v>0.372439</v>
      </c>
      <c r="B108" t="inlineStr">
        <is>
          <t>VERMELHO</t>
        </is>
      </c>
      <c r="C108" t="n">
        <v>11700</v>
      </c>
      <c r="D108" t="n">
        <v>4357.54</v>
      </c>
      <c r="E108" t="n">
        <v>11700</v>
      </c>
      <c r="F108" s="6" t="n">
        <v>0.372439</v>
      </c>
      <c r="G108" t="inlineStr">
        <is>
          <t>MUNDO VERDE</t>
        </is>
      </c>
      <c r="H108" t="inlineStr">
        <is>
          <t>RJ</t>
        </is>
      </c>
      <c r="I108" t="n">
        <v>2225231684</v>
      </c>
      <c r="J108" t="inlineStr">
        <is>
          <t>Plano de Negócio</t>
        </is>
      </c>
      <c r="K108" t="inlineStr">
        <is>
          <t>MUNDO VERDE</t>
        </is>
      </c>
      <c r="L108" t="inlineStr">
        <is>
          <t>RJ</t>
        </is>
      </c>
      <c r="M108" t="n">
        <v>2225231684</v>
      </c>
      <c r="N108" t="n">
        <v>4357.54</v>
      </c>
      <c r="O108" t="n">
        <v>975</v>
      </c>
      <c r="P108" t="inlineStr">
        <is>
          <t>03 - NACIONAL</t>
        </is>
      </c>
      <c r="Q108" t="inlineStr">
        <is>
          <t>HEMANUELE DITZEL (MANU)</t>
        </is>
      </c>
      <c r="S108" t="inlineStr">
        <is>
          <t>ZR - NAO APLICAVEL</t>
        </is>
      </c>
      <c r="T108" t="inlineStr">
        <is>
          <t>HEMANUELE ROSA DITZEL</t>
        </is>
      </c>
      <c r="V108" t="inlineStr">
        <is>
          <t>top 200</t>
        </is>
      </c>
      <c r="W108" t="inlineStr">
        <is>
          <t>REDES E FRANQUIAS</t>
        </is>
      </c>
    </row>
    <row r="109" ht="15" customHeight="1">
      <c r="A109" t="n">
        <v>0.768444</v>
      </c>
      <c r="B109" t="inlineStr">
        <is>
          <t>VERDE</t>
        </is>
      </c>
      <c r="C109" t="n">
        <v>5615.5</v>
      </c>
      <c r="D109" t="n">
        <v>4315.2</v>
      </c>
      <c r="E109" t="n">
        <v>5615.5</v>
      </c>
      <c r="F109" s="6" t="n">
        <v>0.768444</v>
      </c>
      <c r="G109" t="inlineStr">
        <is>
          <t>SEM GRUPO</t>
        </is>
      </c>
      <c r="H109" t="inlineStr">
        <is>
          <t>RJ</t>
        </is>
      </c>
      <c r="I109" t="n">
        <v>2125687899</v>
      </c>
      <c r="J109" t="inlineStr">
        <is>
          <t>JBP</t>
        </is>
      </c>
      <c r="K109" t="inlineStr">
        <is>
          <t>SEM REDE</t>
        </is>
      </c>
      <c r="L109" t="inlineStr">
        <is>
          <t>RJ</t>
        </is>
      </c>
      <c r="M109" t="n">
        <v>2125687899</v>
      </c>
      <c r="N109" t="n">
        <v>4315.2</v>
      </c>
      <c r="O109" t="n">
        <v>467.96</v>
      </c>
      <c r="P109" t="inlineStr">
        <is>
          <t>03 - RJ + ES + MG</t>
        </is>
      </c>
      <c r="Q109" t="inlineStr">
        <is>
          <t>LARISSA PADILHA</t>
        </is>
      </c>
      <c r="S109" t="inlineStr">
        <is>
          <t>42.149.466 LARISSA DA SILVA PADILHA - ME</t>
        </is>
      </c>
      <c r="T109" t="inlineStr">
        <is>
          <t>ZV - NAO APLICAVEL</t>
        </is>
      </c>
      <c r="V109" t="inlineStr">
        <is>
          <t>top 200</t>
        </is>
      </c>
      <c r="W109" t="inlineStr">
        <is>
          <t>REGIÕES/GRUPOS</t>
        </is>
      </c>
    </row>
    <row r="110" ht="15" customHeight="1">
      <c r="A110" t="n">
        <v>0.765853</v>
      </c>
      <c r="B110" t="inlineStr">
        <is>
          <t>VERDE</t>
        </is>
      </c>
      <c r="C110" t="n">
        <v>5615.5</v>
      </c>
      <c r="D110" t="n">
        <v>4300.65</v>
      </c>
      <c r="E110" t="n">
        <v>5615.5</v>
      </c>
      <c r="F110" s="6" t="n">
        <v>0.765853</v>
      </c>
      <c r="G110" t="inlineStr">
        <is>
          <t>SEM GRUPO</t>
        </is>
      </c>
      <c r="H110" t="inlineStr">
        <is>
          <t>PR</t>
        </is>
      </c>
      <c r="I110" t="n">
        <v>4191786674</v>
      </c>
      <c r="J110" t="inlineStr">
        <is>
          <t>JBP</t>
        </is>
      </c>
      <c r="K110" t="inlineStr">
        <is>
          <t>SEM REDE</t>
        </is>
      </c>
      <c r="L110" t="inlineStr">
        <is>
          <t>PR</t>
        </is>
      </c>
      <c r="M110" t="n">
        <v>4191786674</v>
      </c>
      <c r="N110" t="n">
        <v>4300.65</v>
      </c>
      <c r="O110" t="n">
        <v>467.96</v>
      </c>
      <c r="P110" t="inlineStr">
        <is>
          <t>03 - SUL</t>
        </is>
      </c>
      <c r="Q110" t="inlineStr">
        <is>
          <t>HEMANUELE DITZEL (MANU)</t>
        </is>
      </c>
      <c r="S110" t="inlineStr">
        <is>
          <t>ZR - NAO APLICAVEL</t>
        </is>
      </c>
      <c r="T110" t="inlineStr">
        <is>
          <t>HEMANUELE ROSA DITZEL</t>
        </is>
      </c>
      <c r="V110" t="inlineStr">
        <is>
          <t>top 200</t>
        </is>
      </c>
      <c r="W110" t="inlineStr">
        <is>
          <t>REGIÕES/GRUPOS</t>
        </is>
      </c>
    </row>
    <row r="111" ht="15" customHeight="1">
      <c r="A111" t="n">
        <v>0.747153</v>
      </c>
      <c r="B111" t="inlineStr">
        <is>
          <t>VERDE</t>
        </is>
      </c>
      <c r="C111" t="n">
        <v>5615.5</v>
      </c>
      <c r="D111" t="n">
        <v>4195.64</v>
      </c>
      <c r="E111" t="n">
        <v>5615.5</v>
      </c>
      <c r="F111" s="6" t="n">
        <v>0.747153</v>
      </c>
      <c r="G111" t="inlineStr">
        <is>
          <t>SEM GRUPO</t>
        </is>
      </c>
      <c r="H111" t="inlineStr">
        <is>
          <t>PR</t>
        </is>
      </c>
      <c r="I111" t="n">
        <v>4599791742</v>
      </c>
      <c r="J111" t="inlineStr">
        <is>
          <t>JBP</t>
        </is>
      </c>
      <c r="K111" t="inlineStr">
        <is>
          <t>SEM REDE</t>
        </is>
      </c>
      <c r="L111" t="inlineStr">
        <is>
          <t>PR</t>
        </is>
      </c>
      <c r="M111" t="n">
        <v>4599791742</v>
      </c>
      <c r="N111" t="n">
        <v>4195.64</v>
      </c>
      <c r="O111" t="n">
        <v>467.96</v>
      </c>
      <c r="P111" t="inlineStr">
        <is>
          <t>03 - SUL</t>
        </is>
      </c>
      <c r="Q111" t="inlineStr">
        <is>
          <t>HEMANUELE DITZEL (MANU)</t>
        </is>
      </c>
      <c r="S111" t="inlineStr">
        <is>
          <t>ZR - NAO APLICAVEL</t>
        </is>
      </c>
      <c r="T111" t="inlineStr">
        <is>
          <t>HEMANUELE ROSA DITZEL</t>
        </is>
      </c>
      <c r="V111" t="inlineStr">
        <is>
          <t>top 200</t>
        </is>
      </c>
      <c r="W111" t="inlineStr">
        <is>
          <t>REGIÕES/GRUPOS</t>
        </is>
      </c>
    </row>
    <row r="112" ht="15" customHeight="1">
      <c r="A112" t="n">
        <v>0.386618</v>
      </c>
      <c r="B112" t="inlineStr">
        <is>
          <t>VERMELHO</t>
        </is>
      </c>
      <c r="C112" t="n">
        <v>10706.9</v>
      </c>
      <c r="D112" t="n">
        <v>4139.48</v>
      </c>
      <c r="E112" t="n">
        <v>10706.9</v>
      </c>
      <c r="F112" s="6" t="n">
        <v>0.386618</v>
      </c>
      <c r="G112" t="inlineStr">
        <is>
          <t>FITLAND</t>
        </is>
      </c>
      <c r="H112" t="inlineStr">
        <is>
          <t>RS</t>
        </is>
      </c>
      <c r="I112" t="n">
        <v>53991811072</v>
      </c>
      <c r="J112" t="inlineStr">
        <is>
          <t>Plano de Negócio</t>
        </is>
      </c>
      <c r="K112" t="inlineStr">
        <is>
          <t>FITLAND</t>
        </is>
      </c>
      <c r="L112" t="inlineStr">
        <is>
          <t>RS</t>
        </is>
      </c>
      <c r="M112" t="n">
        <v>53991811072</v>
      </c>
      <c r="N112" t="n">
        <v>4139.48</v>
      </c>
      <c r="O112" t="n">
        <v>892.24</v>
      </c>
      <c r="P112" t="inlineStr">
        <is>
          <t>03 - NACIONAL</t>
        </is>
      </c>
      <c r="Q112" t="inlineStr">
        <is>
          <t>JULIO GADRET</t>
        </is>
      </c>
      <c r="S112" t="inlineStr">
        <is>
          <t>LG REPRESENTACOES LTDA - EPP</t>
        </is>
      </c>
      <c r="T112" t="inlineStr">
        <is>
          <t>ZV - NAO APLICAVEL</t>
        </is>
      </c>
      <c r="V112" t="inlineStr">
        <is>
          <t>top 200</t>
        </is>
      </c>
      <c r="W112" t="inlineStr">
        <is>
          <t>REDES E FRANQUIAS</t>
        </is>
      </c>
    </row>
    <row r="113" ht="15" customHeight="1">
      <c r="A113" t="n">
        <v>0.729694</v>
      </c>
      <c r="B113" t="inlineStr">
        <is>
          <t>VERDE</t>
        </is>
      </c>
      <c r="C113" t="n">
        <v>5615.5</v>
      </c>
      <c r="D113" t="n">
        <v>4097.6</v>
      </c>
      <c r="E113" t="n">
        <v>5615.5</v>
      </c>
      <c r="F113" s="6" t="n">
        <v>0.729694</v>
      </c>
      <c r="G113" t="inlineStr">
        <is>
          <t>SEM GRUPO</t>
        </is>
      </c>
      <c r="H113" t="inlineStr">
        <is>
          <t>MS</t>
        </is>
      </c>
      <c r="I113" t="n">
        <v>17991844024</v>
      </c>
      <c r="J113" t="inlineStr">
        <is>
          <t>JBP</t>
        </is>
      </c>
      <c r="K113" t="inlineStr">
        <is>
          <t>SEM REDE</t>
        </is>
      </c>
      <c r="L113" t="inlineStr">
        <is>
          <t>MS</t>
        </is>
      </c>
      <c r="M113" t="n">
        <v>17991844024</v>
      </c>
      <c r="N113" t="n">
        <v>4097.6</v>
      </c>
      <c r="O113" t="n">
        <v>467.96</v>
      </c>
      <c r="P113" t="inlineStr">
        <is>
          <t>03 - CENTRO OESTE</t>
        </is>
      </c>
      <c r="Q113" t="inlineStr">
        <is>
          <t>LARISSA PADILHA</t>
        </is>
      </c>
      <c r="S113" t="inlineStr">
        <is>
          <t>42.149.466 LARISSA DA SILVA PADILHA - ME</t>
        </is>
      </c>
      <c r="T113" t="inlineStr">
        <is>
          <t>ZV - NAO APLICAVEL</t>
        </is>
      </c>
      <c r="V113" t="inlineStr">
        <is>
          <t>top 200</t>
        </is>
      </c>
      <c r="W113" t="inlineStr">
        <is>
          <t>REGIÕES/GRUPOS</t>
        </is>
      </c>
    </row>
    <row r="114" ht="15" customHeight="1">
      <c r="A114" t="n">
        <v>0.726542</v>
      </c>
      <c r="B114" t="inlineStr">
        <is>
          <t>VERDE</t>
        </is>
      </c>
      <c r="C114" t="n">
        <v>5615.5</v>
      </c>
      <c r="D114" t="n">
        <v>4079.9</v>
      </c>
      <c r="E114" t="n">
        <v>5615.5</v>
      </c>
      <c r="F114" s="6" t="n">
        <v>0.726542</v>
      </c>
      <c r="G114" t="inlineStr">
        <is>
          <t>SEM GRUPO</t>
        </is>
      </c>
      <c r="H114" t="inlineStr">
        <is>
          <t>RS</t>
        </is>
      </c>
      <c r="I114" t="n">
        <v>5391064552</v>
      </c>
      <c r="J114" t="inlineStr">
        <is>
          <t>JBP</t>
        </is>
      </c>
      <c r="K114" t="inlineStr">
        <is>
          <t>SEM REDE</t>
        </is>
      </c>
      <c r="L114" t="inlineStr">
        <is>
          <t>RS</t>
        </is>
      </c>
      <c r="M114" t="n">
        <v>5391064552</v>
      </c>
      <c r="N114" t="n">
        <v>4079.9</v>
      </c>
      <c r="O114" t="n">
        <v>467.96</v>
      </c>
      <c r="P114" t="inlineStr">
        <is>
          <t>03 - SUL</t>
        </is>
      </c>
      <c r="Q114" t="inlineStr">
        <is>
          <t>HEMANUELE DITZEL (MANU)</t>
        </is>
      </c>
      <c r="S114" t="inlineStr">
        <is>
          <t>ZR - NAO APLICAVEL</t>
        </is>
      </c>
      <c r="T114" t="inlineStr">
        <is>
          <t>HEMANUELE ROSA DITZEL</t>
        </is>
      </c>
      <c r="V114" t="inlineStr">
        <is>
          <t>top 200</t>
        </is>
      </c>
      <c r="W114" t="inlineStr">
        <is>
          <t>REGIÕES/GRUPOS</t>
        </is>
      </c>
    </row>
    <row r="115" ht="15" customHeight="1">
      <c r="A115" t="n">
        <v>0.713738</v>
      </c>
      <c r="B115" t="inlineStr">
        <is>
          <t>VERDE</t>
        </is>
      </c>
      <c r="C115" t="n">
        <v>5615.5</v>
      </c>
      <c r="D115" t="n">
        <v>4008</v>
      </c>
      <c r="E115" t="n">
        <v>5615.5</v>
      </c>
      <c r="F115" s="6" t="n">
        <v>0.713738</v>
      </c>
      <c r="G115" t="inlineStr">
        <is>
          <t>SEM GRUPO</t>
        </is>
      </c>
      <c r="H115" t="inlineStr">
        <is>
          <t>SP</t>
        </is>
      </c>
      <c r="I115" t="n">
        <v>1143288977</v>
      </c>
      <c r="J115" t="inlineStr">
        <is>
          <t>JBP</t>
        </is>
      </c>
      <c r="K115" t="inlineStr">
        <is>
          <t>SEM REDE</t>
        </is>
      </c>
      <c r="L115" t="inlineStr">
        <is>
          <t>SP</t>
        </is>
      </c>
      <c r="M115" t="n">
        <v>1143288977</v>
      </c>
      <c r="N115" t="n">
        <v>4008</v>
      </c>
      <c r="O115" t="n">
        <v>467.96</v>
      </c>
      <c r="P115" t="inlineStr">
        <is>
          <t>03 - SP CAPITAL</t>
        </is>
      </c>
      <c r="Q115" t="inlineStr">
        <is>
          <t>HEMANUELE DITZEL (MANU)</t>
        </is>
      </c>
      <c r="S115" t="inlineStr">
        <is>
          <t>ZR - NAO APLICAVEL</t>
        </is>
      </c>
      <c r="T115" t="inlineStr">
        <is>
          <t>HEMANUELE ROSA DITZEL</t>
        </is>
      </c>
      <c r="V115" t="inlineStr">
        <is>
          <t>top 200</t>
        </is>
      </c>
      <c r="W115" t="inlineStr">
        <is>
          <t>REGIÕES/GRUPOS</t>
        </is>
      </c>
    </row>
    <row r="116" ht="15" customHeight="1">
      <c r="A116" t="n">
        <v>0.36388</v>
      </c>
      <c r="B116" t="inlineStr">
        <is>
          <t>VERMELHO</t>
        </is>
      </c>
      <c r="C116" t="n">
        <v>10875</v>
      </c>
      <c r="D116" t="n">
        <v>3957.2</v>
      </c>
      <c r="E116" t="n">
        <v>10875</v>
      </c>
      <c r="F116" s="6" t="n">
        <v>0.36388</v>
      </c>
      <c r="G116" t="inlineStr">
        <is>
          <t>CIA DA SAUDE</t>
        </is>
      </c>
      <c r="H116" t="inlineStr">
        <is>
          <t>SC</t>
        </is>
      </c>
      <c r="I116" t="n">
        <v>11952819565</v>
      </c>
      <c r="J116" t="inlineStr">
        <is>
          <t>Plano de Negócio</t>
        </is>
      </c>
      <c r="K116" t="inlineStr">
        <is>
          <t>CIA DA SAUDE</t>
        </is>
      </c>
      <c r="L116" t="inlineStr">
        <is>
          <t>SC</t>
        </is>
      </c>
      <c r="M116" t="n">
        <v>11952819565</v>
      </c>
      <c r="N116" t="n">
        <v>3957.2</v>
      </c>
      <c r="O116" t="n">
        <v>906.25</v>
      </c>
      <c r="P116" t="inlineStr">
        <is>
          <t>03 - NACIONAL</t>
        </is>
      </c>
      <c r="Q116" t="inlineStr">
        <is>
          <t>JULIO GADRET</t>
        </is>
      </c>
      <c r="S116" t="inlineStr">
        <is>
          <t>LG REPRESENTACOES LTDA - EPP</t>
        </is>
      </c>
      <c r="T116" t="inlineStr">
        <is>
          <t>ZV - NAO APLICAVEL</t>
        </is>
      </c>
      <c r="V116" t="inlineStr">
        <is>
          <t>top 200</t>
        </is>
      </c>
      <c r="W116" t="inlineStr">
        <is>
          <t>REDES E FRANQUIAS</t>
        </is>
      </c>
    </row>
    <row r="117" ht="15" customHeight="1">
      <c r="A117" t="n">
        <v>0.701141</v>
      </c>
      <c r="B117" t="inlineStr">
        <is>
          <t>VERDE</t>
        </is>
      </c>
      <c r="C117" t="n">
        <v>5615.5</v>
      </c>
      <c r="D117" t="n">
        <v>3937.26</v>
      </c>
      <c r="E117" t="n">
        <v>5615.5</v>
      </c>
      <c r="F117" s="6" t="n">
        <v>0.701141</v>
      </c>
      <c r="G117" t="inlineStr">
        <is>
          <t>SEM GRUPO</t>
        </is>
      </c>
      <c r="H117" t="inlineStr">
        <is>
          <t>SC</t>
        </is>
      </c>
      <c r="I117" t="n">
        <v>48999658556</v>
      </c>
      <c r="J117" t="inlineStr">
        <is>
          <t>JBP</t>
        </is>
      </c>
      <c r="K117" t="inlineStr">
        <is>
          <t>SEM REDE</t>
        </is>
      </c>
      <c r="L117" t="inlineStr">
        <is>
          <t>SC</t>
        </is>
      </c>
      <c r="M117" t="n">
        <v>48999658556</v>
      </c>
      <c r="N117" t="n">
        <v>3937.26</v>
      </c>
      <c r="O117" t="n">
        <v>467.96</v>
      </c>
      <c r="P117" t="inlineStr">
        <is>
          <t>03 - SUL</t>
        </is>
      </c>
      <c r="Q117" t="inlineStr">
        <is>
          <t>HEMANUELE DITZEL (MANU)</t>
        </is>
      </c>
      <c r="S117" t="inlineStr">
        <is>
          <t>ZR - NAO APLICAVEL</t>
        </is>
      </c>
      <c r="T117" t="inlineStr">
        <is>
          <t>HEMANUELE ROSA DITZEL</t>
        </is>
      </c>
      <c r="V117" t="inlineStr">
        <is>
          <t>top 200</t>
        </is>
      </c>
      <c r="W117" t="inlineStr">
        <is>
          <t>REGIÕES/GRUPOS</t>
        </is>
      </c>
    </row>
    <row r="118" ht="15" customHeight="1">
      <c r="A118" t="n">
        <v>0.701063</v>
      </c>
      <c r="B118" t="inlineStr">
        <is>
          <t>VERDE</t>
        </is>
      </c>
      <c r="C118" t="n">
        <v>5615.5</v>
      </c>
      <c r="D118" t="n">
        <v>3936.82</v>
      </c>
      <c r="E118" t="n">
        <v>5615.5</v>
      </c>
      <c r="F118" s="6" t="n">
        <v>0.701063</v>
      </c>
      <c r="G118" t="inlineStr">
        <is>
          <t>SEM GRUPO</t>
        </is>
      </c>
      <c r="H118" t="inlineStr">
        <is>
          <t>BA</t>
        </is>
      </c>
      <c r="I118" t="n">
        <v>77991192548</v>
      </c>
      <c r="J118" t="inlineStr">
        <is>
          <t>JBP</t>
        </is>
      </c>
      <c r="K118" t="inlineStr">
        <is>
          <t>SEM REDE</t>
        </is>
      </c>
      <c r="L118" t="inlineStr">
        <is>
          <t>BA</t>
        </is>
      </c>
      <c r="M118" t="n">
        <v>77991192548</v>
      </c>
      <c r="N118" t="n">
        <v>3936.82</v>
      </c>
      <c r="O118" t="n">
        <v>467.96</v>
      </c>
      <c r="P118" t="inlineStr">
        <is>
          <t>03 - NORDESTE (SEM MA)</t>
        </is>
      </c>
      <c r="Q118" t="inlineStr">
        <is>
          <t>HEMANUELE DITZEL (MANU)</t>
        </is>
      </c>
      <c r="S118" t="inlineStr">
        <is>
          <t>ZR - NAO APLICAVEL</t>
        </is>
      </c>
      <c r="T118" t="inlineStr">
        <is>
          <t>HEMANUELE ROSA DITZEL</t>
        </is>
      </c>
      <c r="V118" t="inlineStr">
        <is>
          <t>top 200</t>
        </is>
      </c>
      <c r="W118" t="inlineStr">
        <is>
          <t>REGIÕES/GRUPOS</t>
        </is>
      </c>
    </row>
    <row r="119" ht="15" customHeight="1">
      <c r="A119" t="n">
        <v>0.688547</v>
      </c>
      <c r="B119" t="inlineStr">
        <is>
          <t>VERDE</t>
        </is>
      </c>
      <c r="C119" t="n">
        <v>5615.5</v>
      </c>
      <c r="D119" t="n">
        <v>3866.54</v>
      </c>
      <c r="E119" t="n">
        <v>5615.5</v>
      </c>
      <c r="F119" s="6" t="n">
        <v>0.688547</v>
      </c>
      <c r="G119" t="inlineStr">
        <is>
          <t>SEM GRUPO</t>
        </is>
      </c>
      <c r="H119" t="inlineStr">
        <is>
          <t>GO</t>
        </is>
      </c>
      <c r="I119" t="n">
        <v>6291825564</v>
      </c>
      <c r="J119" t="inlineStr">
        <is>
          <t>JBP</t>
        </is>
      </c>
      <c r="K119" t="inlineStr">
        <is>
          <t>SEM REDE</t>
        </is>
      </c>
      <c r="L119" t="inlineStr">
        <is>
          <t>GO</t>
        </is>
      </c>
      <c r="M119" t="n">
        <v>6291825564</v>
      </c>
      <c r="N119" t="n">
        <v>3866.54</v>
      </c>
      <c r="O119" t="n">
        <v>467.96</v>
      </c>
      <c r="P119" t="inlineStr">
        <is>
          <t>03 - CENTRO OESTE</t>
        </is>
      </c>
      <c r="Q119" t="inlineStr">
        <is>
          <t>LARISSA PADILHA</t>
        </is>
      </c>
      <c r="S119" t="inlineStr">
        <is>
          <t>42.149.466 LARISSA DA SILVA PADILHA - ME</t>
        </is>
      </c>
      <c r="T119" t="inlineStr">
        <is>
          <t>ZV - NAO APLICAVEL</t>
        </is>
      </c>
      <c r="V119" t="inlineStr">
        <is>
          <t>top 200</t>
        </is>
      </c>
      <c r="W119" t="inlineStr">
        <is>
          <t>REGIÕES/GRUPOS</t>
        </is>
      </c>
    </row>
    <row r="120" ht="15" customHeight="1">
      <c r="A120" t="n">
        <v>0.357494</v>
      </c>
      <c r="B120" t="inlineStr">
        <is>
          <t>VERMELHO</t>
        </is>
      </c>
      <c r="C120" t="n">
        <v>10706.9</v>
      </c>
      <c r="D120" t="n">
        <v>3827.65</v>
      </c>
      <c r="E120" t="n">
        <v>10706.9</v>
      </c>
      <c r="F120" s="6" t="n">
        <v>0.357494</v>
      </c>
      <c r="G120" t="inlineStr">
        <is>
          <t>FITLAND</t>
        </is>
      </c>
      <c r="H120" t="inlineStr">
        <is>
          <t>SC</t>
        </is>
      </c>
      <c r="I120" t="n">
        <v>4984192453</v>
      </c>
      <c r="J120" t="inlineStr">
        <is>
          <t>Plano de Negócio</t>
        </is>
      </c>
      <c r="K120" t="inlineStr">
        <is>
          <t>FITLAND</t>
        </is>
      </c>
      <c r="L120" t="inlineStr">
        <is>
          <t>SC</t>
        </is>
      </c>
      <c r="M120" t="n">
        <v>4984192453</v>
      </c>
      <c r="N120" t="n">
        <v>3827.65</v>
      </c>
      <c r="O120" t="n">
        <v>892.24</v>
      </c>
      <c r="P120" t="inlineStr">
        <is>
          <t>03 - NACIONAL</t>
        </is>
      </c>
      <c r="Q120" t="inlineStr">
        <is>
          <t>JULIO GADRET</t>
        </is>
      </c>
      <c r="S120" t="inlineStr">
        <is>
          <t>LG REPRESENTACOES LTDA - EPP</t>
        </is>
      </c>
      <c r="T120" t="inlineStr">
        <is>
          <t>ZV - NAO APLICAVEL</t>
        </is>
      </c>
      <c r="V120" t="inlineStr">
        <is>
          <t>top 200</t>
        </is>
      </c>
      <c r="W120" t="inlineStr">
        <is>
          <t>REDES E FRANQUIAS</t>
        </is>
      </c>
    </row>
    <row r="121" ht="15" customHeight="1">
      <c r="A121" t="n">
        <v>0.679334</v>
      </c>
      <c r="B121" t="inlineStr">
        <is>
          <t>VERDE</t>
        </is>
      </c>
      <c r="C121" t="n">
        <v>5615.5</v>
      </c>
      <c r="D121" t="n">
        <v>3814.8</v>
      </c>
      <c r="E121" t="n">
        <v>5615.5</v>
      </c>
      <c r="F121" s="6" t="n">
        <v>0.679334</v>
      </c>
      <c r="G121" t="inlineStr">
        <is>
          <t>SEM GRUPO</t>
        </is>
      </c>
      <c r="H121" t="inlineStr">
        <is>
          <t>DF</t>
        </is>
      </c>
      <c r="I121" t="n">
        <v>61991077250</v>
      </c>
      <c r="J121" t="inlineStr">
        <is>
          <t>JBP</t>
        </is>
      </c>
      <c r="K121" t="inlineStr">
        <is>
          <t>SEM REDE</t>
        </is>
      </c>
      <c r="L121" t="inlineStr">
        <is>
          <t>DF</t>
        </is>
      </c>
      <c r="M121" t="n">
        <v>61991077250</v>
      </c>
      <c r="N121" t="n">
        <v>3814.8</v>
      </c>
      <c r="O121" t="n">
        <v>467.96</v>
      </c>
      <c r="P121" t="inlineStr">
        <is>
          <t>03 - CENTRO OESTE</t>
        </is>
      </c>
      <c r="Q121" t="inlineStr">
        <is>
          <t>LARISSA PADILHA</t>
        </is>
      </c>
      <c r="S121" t="inlineStr">
        <is>
          <t>42.149.466 LARISSA DA SILVA PADILHA - ME</t>
        </is>
      </c>
      <c r="T121" t="inlineStr">
        <is>
          <t>ZV - NAO APLICAVEL</t>
        </is>
      </c>
      <c r="V121" t="inlineStr">
        <is>
          <t>top 200</t>
        </is>
      </c>
      <c r="W121" t="inlineStr">
        <is>
          <t>REGIÕES/GRUPOS</t>
        </is>
      </c>
    </row>
    <row r="122" ht="15" customHeight="1">
      <c r="A122" t="n">
        <v>0.678197</v>
      </c>
      <c r="B122" t="inlineStr">
        <is>
          <t>VERDE</t>
        </is>
      </c>
      <c r="C122" t="n">
        <v>5615.5</v>
      </c>
      <c r="D122" t="n">
        <v>3808.42</v>
      </c>
      <c r="E122" t="n">
        <v>5615.5</v>
      </c>
      <c r="F122" s="6" t="n">
        <v>0.678197</v>
      </c>
      <c r="G122" t="inlineStr">
        <is>
          <t>SEM GRUPO</t>
        </is>
      </c>
      <c r="H122" t="inlineStr">
        <is>
          <t>MG</t>
        </is>
      </c>
      <c r="I122" t="n">
        <v>34998721908</v>
      </c>
      <c r="J122" t="inlineStr">
        <is>
          <t>JBP</t>
        </is>
      </c>
      <c r="K122" t="inlineStr">
        <is>
          <t>SEM REDE</t>
        </is>
      </c>
      <c r="L122" t="inlineStr">
        <is>
          <t>MG</t>
        </is>
      </c>
      <c r="M122" t="n">
        <v>34998721908</v>
      </c>
      <c r="N122" t="n">
        <v>3808.42</v>
      </c>
      <c r="O122" t="n">
        <v>467.96</v>
      </c>
      <c r="P122" t="inlineStr">
        <is>
          <t>03 - RJ + ES + MG</t>
        </is>
      </c>
      <c r="Q122" t="inlineStr">
        <is>
          <t>LARISSA PADILHA</t>
        </is>
      </c>
      <c r="S122" t="inlineStr">
        <is>
          <t>42.149.466 LARISSA DA SILVA PADILHA - ME</t>
        </is>
      </c>
      <c r="T122" t="inlineStr">
        <is>
          <t>ZV - NAO APLICAVEL</t>
        </is>
      </c>
      <c r="V122" t="inlineStr">
        <is>
          <t>top 200</t>
        </is>
      </c>
      <c r="W122" t="inlineStr">
        <is>
          <t>REGIÕES/GRUPOS</t>
        </is>
      </c>
    </row>
    <row r="123" ht="15" customHeight="1">
      <c r="A123" t="n">
        <v>0.673218</v>
      </c>
      <c r="B123" t="inlineStr">
        <is>
          <t>VERDE</t>
        </is>
      </c>
      <c r="C123" t="n">
        <v>5615.5</v>
      </c>
      <c r="D123" t="n">
        <v>3780.46</v>
      </c>
      <c r="E123" t="n">
        <v>5615.5</v>
      </c>
      <c r="F123" s="6" t="n">
        <v>0.673218</v>
      </c>
      <c r="G123" t="inlineStr">
        <is>
          <t>SEM GRUPO</t>
        </is>
      </c>
      <c r="H123" t="inlineStr">
        <is>
          <t>MS</t>
        </is>
      </c>
      <c r="I123" t="n">
        <v>6730291316</v>
      </c>
      <c r="J123" t="inlineStr">
        <is>
          <t>JBP</t>
        </is>
      </c>
      <c r="K123" t="inlineStr">
        <is>
          <t>SEM REDE</t>
        </is>
      </c>
      <c r="L123" t="inlineStr">
        <is>
          <t>MS</t>
        </is>
      </c>
      <c r="M123" t="n">
        <v>6730291316</v>
      </c>
      <c r="N123" t="n">
        <v>3780.46</v>
      </c>
      <c r="O123" t="n">
        <v>467.96</v>
      </c>
      <c r="P123" t="inlineStr">
        <is>
          <t>03 - CENTRO OESTE</t>
        </is>
      </c>
      <c r="Q123" t="inlineStr">
        <is>
          <t>LARISSA PADILHA</t>
        </is>
      </c>
      <c r="S123" t="inlineStr">
        <is>
          <t>42.149.466 LARISSA DA SILVA PADILHA - ME</t>
        </is>
      </c>
      <c r="T123" t="inlineStr">
        <is>
          <t>ZV - NAO APLICAVEL</t>
        </is>
      </c>
      <c r="V123" t="inlineStr">
        <is>
          <t>top 200</t>
        </is>
      </c>
      <c r="W123" t="inlineStr">
        <is>
          <t>REGIÕES/GRUPOS</t>
        </is>
      </c>
    </row>
    <row r="124" ht="15" customHeight="1">
      <c r="A124" t="n">
        <v>0.6688460000000001</v>
      </c>
      <c r="B124" t="inlineStr">
        <is>
          <t>VERDE</t>
        </is>
      </c>
      <c r="C124" t="n">
        <v>5615.5</v>
      </c>
      <c r="D124" t="n">
        <v>3755.91</v>
      </c>
      <c r="E124" t="n">
        <v>5615.5</v>
      </c>
      <c r="F124" s="6" t="n">
        <v>0.6688460000000001</v>
      </c>
      <c r="G124" t="inlineStr">
        <is>
          <t>SEM GRUPO</t>
        </is>
      </c>
      <c r="H124" t="inlineStr">
        <is>
          <t>RS</t>
        </is>
      </c>
      <c r="I124" t="n">
        <v>54996910111</v>
      </c>
      <c r="J124" t="inlineStr">
        <is>
          <t>JBP</t>
        </is>
      </c>
      <c r="K124" t="inlineStr">
        <is>
          <t>SEM REDE</t>
        </is>
      </c>
      <c r="L124" t="inlineStr">
        <is>
          <t>RS</t>
        </is>
      </c>
      <c r="M124" t="n">
        <v>54996910111</v>
      </c>
      <c r="N124" t="n">
        <v>3755.91</v>
      </c>
      <c r="O124" t="n">
        <v>467.96</v>
      </c>
      <c r="P124" t="inlineStr">
        <is>
          <t>03 - SUL</t>
        </is>
      </c>
      <c r="Q124" t="inlineStr">
        <is>
          <t>HEMANUELE DITZEL (MANU)</t>
        </is>
      </c>
      <c r="S124" t="inlineStr">
        <is>
          <t>ZR - NAO APLICAVEL</t>
        </is>
      </c>
      <c r="T124" t="inlineStr">
        <is>
          <t>HEMANUELE ROSA DITZEL</t>
        </is>
      </c>
      <c r="V124" t="inlineStr">
        <is>
          <t>top 200</t>
        </is>
      </c>
      <c r="W124" t="inlineStr">
        <is>
          <t>REGIÕES/GRUPOS</t>
        </is>
      </c>
    </row>
    <row r="125" ht="15" customHeight="1">
      <c r="A125" t="n">
        <v>0.667256</v>
      </c>
      <c r="B125" t="inlineStr">
        <is>
          <t>VERDE</t>
        </is>
      </c>
      <c r="C125" t="n">
        <v>5615.5</v>
      </c>
      <c r="D125" t="n">
        <v>3746.98</v>
      </c>
      <c r="E125" t="n">
        <v>5615.5</v>
      </c>
      <c r="F125" s="6" t="n">
        <v>0.667256</v>
      </c>
      <c r="G125" t="inlineStr">
        <is>
          <t>SEM GRUPO</t>
        </is>
      </c>
      <c r="H125" t="inlineStr">
        <is>
          <t>GO</t>
        </is>
      </c>
      <c r="I125" t="n">
        <v>62982750512</v>
      </c>
      <c r="J125" t="inlineStr">
        <is>
          <t>JBP</t>
        </is>
      </c>
      <c r="K125" t="inlineStr">
        <is>
          <t>SEM REDE</t>
        </is>
      </c>
      <c r="L125" t="inlineStr">
        <is>
          <t>GO</t>
        </is>
      </c>
      <c r="M125" t="n">
        <v>62982750512</v>
      </c>
      <c r="N125" t="n">
        <v>3746.98</v>
      </c>
      <c r="O125" t="n">
        <v>467.96</v>
      </c>
      <c r="P125" t="inlineStr">
        <is>
          <t>03 - CENTRO OESTE</t>
        </is>
      </c>
      <c r="Q125" t="inlineStr">
        <is>
          <t>LARISSA PADILHA</t>
        </is>
      </c>
      <c r="S125" t="inlineStr">
        <is>
          <t>ZR - NAO APLICAVEL</t>
        </is>
      </c>
      <c r="T125" t="inlineStr">
        <is>
          <t>ZV - NAO APLICAVEL</t>
        </is>
      </c>
      <c r="V125" t="inlineStr">
        <is>
          <t>top 200</t>
        </is>
      </c>
      <c r="W125" t="inlineStr">
        <is>
          <t>REGIÕES/GRUPOS</t>
        </is>
      </c>
    </row>
    <row r="126" ht="15" customHeight="1">
      <c r="A126" t="n">
        <v>0.653434</v>
      </c>
      <c r="B126" t="inlineStr">
        <is>
          <t>VERDE</t>
        </is>
      </c>
      <c r="C126" t="n">
        <v>5615.5</v>
      </c>
      <c r="D126" t="n">
        <v>3669.36</v>
      </c>
      <c r="E126" t="n">
        <v>5615.5</v>
      </c>
      <c r="F126" s="6" t="n">
        <v>0.653434</v>
      </c>
      <c r="G126" t="inlineStr">
        <is>
          <t>SEM GRUPO</t>
        </is>
      </c>
      <c r="H126" t="inlineStr">
        <is>
          <t>SP</t>
        </is>
      </c>
      <c r="I126" t="n">
        <v>15997063738</v>
      </c>
      <c r="J126" t="inlineStr">
        <is>
          <t>JBP</t>
        </is>
      </c>
      <c r="K126" t="inlineStr">
        <is>
          <t>SEM REDE</t>
        </is>
      </c>
      <c r="L126" t="inlineStr">
        <is>
          <t>SP</t>
        </is>
      </c>
      <c r="M126" t="n">
        <v>15997063738</v>
      </c>
      <c r="N126" t="n">
        <v>3669.36</v>
      </c>
      <c r="O126" t="n">
        <v>467.96</v>
      </c>
      <c r="P126" t="inlineStr">
        <is>
          <t>03 - SP INTERIOR</t>
        </is>
      </c>
      <c r="Q126" t="inlineStr">
        <is>
          <t>LARISSA PADILHA</t>
        </is>
      </c>
      <c r="S126" t="inlineStr">
        <is>
          <t>42.149.466 LARISSA DA SILVA PADILHA - ME</t>
        </is>
      </c>
      <c r="T126" t="inlineStr">
        <is>
          <t>ZV - NAO APLICAVEL</t>
        </is>
      </c>
      <c r="V126" t="inlineStr">
        <is>
          <t>top 200</t>
        </is>
      </c>
      <c r="W126" t="inlineStr">
        <is>
          <t>REGIÕES/GRUPOS</t>
        </is>
      </c>
    </row>
    <row r="127" ht="15" customHeight="1">
      <c r="A127" t="n">
        <v>0.653042</v>
      </c>
      <c r="B127" t="inlineStr">
        <is>
          <t>VERDE</t>
        </is>
      </c>
      <c r="C127" t="n">
        <v>5615.5</v>
      </c>
      <c r="D127" t="n">
        <v>3667.16</v>
      </c>
      <c r="E127" t="n">
        <v>5615.5</v>
      </c>
      <c r="F127" s="6" t="n">
        <v>0.653042</v>
      </c>
      <c r="G127" t="inlineStr">
        <is>
          <t>SEM GRUPO</t>
        </is>
      </c>
      <c r="H127" t="inlineStr">
        <is>
          <t>PR</t>
        </is>
      </c>
      <c r="I127" t="n">
        <v>4137611180</v>
      </c>
      <c r="J127" t="inlineStr">
        <is>
          <t>JBP</t>
        </is>
      </c>
      <c r="K127" t="inlineStr">
        <is>
          <t>SEM REDE</t>
        </is>
      </c>
      <c r="L127" t="inlineStr">
        <is>
          <t>PR</t>
        </is>
      </c>
      <c r="M127" t="n">
        <v>4137611180</v>
      </c>
      <c r="N127" t="n">
        <v>3667.16</v>
      </c>
      <c r="O127" t="n">
        <v>467.96</v>
      </c>
      <c r="P127" t="inlineStr">
        <is>
          <t>03 - SUL</t>
        </is>
      </c>
      <c r="Q127" t="inlineStr">
        <is>
          <t>HEMANUELE DITZEL (MANU)</t>
        </is>
      </c>
      <c r="S127" t="inlineStr">
        <is>
          <t>ZR - NAO APLICAVEL</t>
        </is>
      </c>
      <c r="T127" t="inlineStr">
        <is>
          <t>HEMANUELE ROSA DITZEL</t>
        </is>
      </c>
      <c r="V127" t="inlineStr">
        <is>
          <t>top 200</t>
        </is>
      </c>
      <c r="W127" t="inlineStr">
        <is>
          <t>REGIÕES/GRUPOS</t>
        </is>
      </c>
    </row>
    <row r="128" ht="15" customHeight="1">
      <c r="A128" t="n">
        <v>0.648424</v>
      </c>
      <c r="B128" t="inlineStr">
        <is>
          <t>VERDE</t>
        </is>
      </c>
      <c r="C128" t="n">
        <v>5615.5</v>
      </c>
      <c r="D128" t="n">
        <v>3641.23</v>
      </c>
      <c r="E128" t="n">
        <v>5615.5</v>
      </c>
      <c r="F128" s="6" t="n">
        <v>0.648424</v>
      </c>
      <c r="G128" t="inlineStr">
        <is>
          <t>SEM GRUPO</t>
        </is>
      </c>
      <c r="H128" t="inlineStr">
        <is>
          <t>ES</t>
        </is>
      </c>
      <c r="I128" t="n">
        <v>28988055897</v>
      </c>
      <c r="J128" t="inlineStr">
        <is>
          <t>JBP</t>
        </is>
      </c>
      <c r="K128" t="inlineStr">
        <is>
          <t>SEM REDE</t>
        </is>
      </c>
      <c r="L128" t="inlineStr">
        <is>
          <t>ES</t>
        </is>
      </c>
      <c r="M128" t="n">
        <v>28988055897</v>
      </c>
      <c r="N128" t="n">
        <v>3641.23</v>
      </c>
      <c r="O128" t="n">
        <v>467.96</v>
      </c>
      <c r="P128" t="inlineStr">
        <is>
          <t>03 - RJ + ES + MG</t>
        </is>
      </c>
      <c r="Q128" t="inlineStr">
        <is>
          <t>LARISSA PADILHA</t>
        </is>
      </c>
      <c r="S128" t="inlineStr">
        <is>
          <t>42.149.466 LARISSA DA SILVA PADILHA - ME</t>
        </is>
      </c>
      <c r="T128" t="inlineStr">
        <is>
          <t>ZV - NAO APLICAVEL</t>
        </is>
      </c>
      <c r="V128" t="inlineStr">
        <is>
          <t>top 200</t>
        </is>
      </c>
      <c r="W128" t="inlineStr">
        <is>
          <t>REGIÕES/GRUPOS</t>
        </is>
      </c>
    </row>
    <row r="129" ht="15" customHeight="1">
      <c r="A129" t="n">
        <v>0.694991</v>
      </c>
      <c r="B129" t="inlineStr">
        <is>
          <t>VERDE</t>
        </is>
      </c>
      <c r="C129" t="n">
        <v>5142.86</v>
      </c>
      <c r="D129" t="n">
        <v>3574.24</v>
      </c>
      <c r="E129" t="n">
        <v>5142.86</v>
      </c>
      <c r="F129" s="6" t="n">
        <v>0.694991</v>
      </c>
      <c r="G129" t="inlineStr">
        <is>
          <t>ESMERALDA</t>
        </is>
      </c>
      <c r="H129" t="inlineStr">
        <is>
          <t>PR</t>
        </is>
      </c>
      <c r="I129" t="n">
        <v>41992329799</v>
      </c>
      <c r="J129" t="inlineStr">
        <is>
          <t>JBP</t>
        </is>
      </c>
      <c r="K129" t="inlineStr">
        <is>
          <t>ESMERALDA</t>
        </is>
      </c>
      <c r="L129" t="inlineStr">
        <is>
          <t>PR</t>
        </is>
      </c>
      <c r="M129" t="n">
        <v>41992329799</v>
      </c>
      <c r="N129" t="n">
        <v>3574.24</v>
      </c>
      <c r="O129" t="n">
        <v>428.57</v>
      </c>
      <c r="P129" t="inlineStr">
        <is>
          <t>03 - SUL</t>
        </is>
      </c>
      <c r="Q129" t="inlineStr">
        <is>
          <t>DAIANE STAVICKI</t>
        </is>
      </c>
      <c r="S129" t="inlineStr">
        <is>
          <t>ZR - NAO APLICAVEL</t>
        </is>
      </c>
      <c r="T129" t="inlineStr">
        <is>
          <t>ZV - NAO APLICAVEL</t>
        </is>
      </c>
      <c r="V129" t="inlineStr">
        <is>
          <t>top 200</t>
        </is>
      </c>
      <c r="W129" t="inlineStr">
        <is>
          <t>REDES E FRANQUIAS</t>
        </is>
      </c>
    </row>
    <row r="130" ht="15" customHeight="1">
      <c r="A130" t="n">
        <v>0.6334109999999999</v>
      </c>
      <c r="B130" t="inlineStr">
        <is>
          <t>VERDE</t>
        </is>
      </c>
      <c r="C130" t="n">
        <v>5615.5</v>
      </c>
      <c r="D130" t="n">
        <v>3556.92</v>
      </c>
      <c r="E130" t="n">
        <v>5615.5</v>
      </c>
      <c r="F130" s="6" t="n">
        <v>0.6334109999999999</v>
      </c>
      <c r="G130" t="inlineStr">
        <is>
          <t>SEM GRUPO</t>
        </is>
      </c>
      <c r="H130" t="inlineStr">
        <is>
          <t>SP</t>
        </is>
      </c>
      <c r="I130" t="n">
        <v>16993154374</v>
      </c>
      <c r="J130" t="inlineStr">
        <is>
          <t>JBP</t>
        </is>
      </c>
      <c r="K130" t="inlineStr">
        <is>
          <t>SEM REDE</t>
        </is>
      </c>
      <c r="L130" t="inlineStr">
        <is>
          <t>SP</t>
        </is>
      </c>
      <c r="M130" t="n">
        <v>16993154374</v>
      </c>
      <c r="N130" t="n">
        <v>3556.92</v>
      </c>
      <c r="O130" t="n">
        <v>467.96</v>
      </c>
      <c r="P130" t="inlineStr">
        <is>
          <t>03 - SP INTERIOR</t>
        </is>
      </c>
      <c r="Q130" t="inlineStr">
        <is>
          <t>LARISSA PADILHA</t>
        </is>
      </c>
      <c r="S130" t="inlineStr">
        <is>
          <t>42.149.466 LARISSA DA SILVA PADILHA - ME</t>
        </is>
      </c>
      <c r="T130" t="inlineStr">
        <is>
          <t>ZV - NAO APLICAVEL</t>
        </is>
      </c>
      <c r="V130" t="inlineStr">
        <is>
          <t>top 200</t>
        </is>
      </c>
      <c r="W130" t="inlineStr">
        <is>
          <t>REGIÕES/GRUPOS</t>
        </is>
      </c>
    </row>
    <row r="131" ht="15" customHeight="1">
      <c r="A131" t="n">
        <v>0.633229</v>
      </c>
      <c r="B131" t="inlineStr">
        <is>
          <t>VERDE</t>
        </is>
      </c>
      <c r="C131" t="n">
        <v>5615.5</v>
      </c>
      <c r="D131" t="n">
        <v>3555.9</v>
      </c>
      <c r="E131" t="n">
        <v>5615.5</v>
      </c>
      <c r="F131" s="6" t="n">
        <v>0.633229</v>
      </c>
      <c r="G131" t="inlineStr">
        <is>
          <t>SEM GRUPO</t>
        </is>
      </c>
      <c r="H131" t="inlineStr">
        <is>
          <t>PE</t>
        </is>
      </c>
      <c r="I131" t="n">
        <v>81999226106</v>
      </c>
      <c r="J131" t="inlineStr">
        <is>
          <t>JBP</t>
        </is>
      </c>
      <c r="K131" t="inlineStr">
        <is>
          <t>SEM REDE</t>
        </is>
      </c>
      <c r="L131" t="inlineStr">
        <is>
          <t>PE</t>
        </is>
      </c>
      <c r="M131" t="n">
        <v>81999226106</v>
      </c>
      <c r="N131" t="n">
        <v>3555.9</v>
      </c>
      <c r="O131" t="n">
        <v>467.96</v>
      </c>
      <c r="P131" t="inlineStr">
        <is>
          <t>03 - NORDESTE (SEM MA)</t>
        </is>
      </c>
      <c r="Q131" t="inlineStr">
        <is>
          <t>LARISSA PADILHA</t>
        </is>
      </c>
      <c r="S131" t="inlineStr">
        <is>
          <t>42.149.466 LARISSA DA SILVA PADILHA - ME</t>
        </is>
      </c>
      <c r="T131" t="inlineStr">
        <is>
          <t>ZV - NAO APLICAVEL</t>
        </is>
      </c>
      <c r="V131" t="inlineStr">
        <is>
          <t>top 200</t>
        </is>
      </c>
      <c r="W131" t="inlineStr">
        <is>
          <t>REGIÕES/GRUPOS</t>
        </is>
      </c>
    </row>
    <row r="132" ht="15" customHeight="1">
      <c r="A132" t="n">
        <v>0.6902160000000001</v>
      </c>
      <c r="B132" t="inlineStr">
        <is>
          <t>VERDE</t>
        </is>
      </c>
      <c r="C132" t="n">
        <v>5142.86</v>
      </c>
      <c r="D132" t="n">
        <v>3549.68</v>
      </c>
      <c r="E132" t="n">
        <v>5142.86</v>
      </c>
      <c r="F132" s="6" t="n">
        <v>0.6902160000000001</v>
      </c>
      <c r="G132" t="inlineStr">
        <is>
          <t>ESMERALDA</t>
        </is>
      </c>
      <c r="H132" t="inlineStr">
        <is>
          <t>RS</t>
        </is>
      </c>
      <c r="I132" t="n">
        <v>41992329799</v>
      </c>
      <c r="J132" t="inlineStr">
        <is>
          <t>JBP</t>
        </is>
      </c>
      <c r="K132" t="inlineStr">
        <is>
          <t>ESMERALDA</t>
        </is>
      </c>
      <c r="L132" t="inlineStr">
        <is>
          <t>RS</t>
        </is>
      </c>
      <c r="M132" t="n">
        <v>41992329799</v>
      </c>
      <c r="N132" t="n">
        <v>3549.68</v>
      </c>
      <c r="O132" t="n">
        <v>428.57</v>
      </c>
      <c r="P132" t="inlineStr">
        <is>
          <t>03 - SUL</t>
        </is>
      </c>
      <c r="Q132" t="inlineStr">
        <is>
          <t>DAIANE STAVICKI</t>
        </is>
      </c>
      <c r="S132" t="inlineStr">
        <is>
          <t>ZR - NAO APLICAVEL</t>
        </is>
      </c>
      <c r="T132" t="inlineStr">
        <is>
          <t>ZV - NAO APLICAVEL</t>
        </is>
      </c>
      <c r="V132" t="inlineStr">
        <is>
          <t>top 200</t>
        </is>
      </c>
      <c r="W132" t="inlineStr">
        <is>
          <t>REDES E FRANQUIAS</t>
        </is>
      </c>
    </row>
    <row r="133" ht="15" customHeight="1">
      <c r="A133" t="n">
        <v>0.630588</v>
      </c>
      <c r="B133" t="inlineStr">
        <is>
          <t>VERDE</t>
        </is>
      </c>
      <c r="C133" t="n">
        <v>5615.5</v>
      </c>
      <c r="D133" t="n">
        <v>3541.07</v>
      </c>
      <c r="E133" t="n">
        <v>5615.5</v>
      </c>
      <c r="F133" s="6" t="n">
        <v>0.630588</v>
      </c>
      <c r="G133" t="inlineStr">
        <is>
          <t>SEM GRUPO</t>
        </is>
      </c>
      <c r="H133" t="inlineStr">
        <is>
          <t>SP</t>
        </is>
      </c>
      <c r="I133" t="n">
        <v>11983697240</v>
      </c>
      <c r="J133" t="inlineStr">
        <is>
          <t>JBP</t>
        </is>
      </c>
      <c r="K133" t="inlineStr">
        <is>
          <t>SEM REDE</t>
        </is>
      </c>
      <c r="L133" t="inlineStr">
        <is>
          <t>SP</t>
        </is>
      </c>
      <c r="M133" t="n">
        <v>11983697240</v>
      </c>
      <c r="N133" t="n">
        <v>3541.07</v>
      </c>
      <c r="O133" t="n">
        <v>467.96</v>
      </c>
      <c r="P133" t="inlineStr">
        <is>
          <t>03 - SP CAPITAL</t>
        </is>
      </c>
      <c r="Q133" t="inlineStr">
        <is>
          <t>LARISSA PADILHA</t>
        </is>
      </c>
      <c r="S133" t="inlineStr">
        <is>
          <t>42.149.466 LARISSA DA SILVA PADILHA - ME</t>
        </is>
      </c>
      <c r="T133" t="inlineStr">
        <is>
          <t>ZV - NAO APLICAVEL</t>
        </is>
      </c>
      <c r="V133" t="inlineStr">
        <is>
          <t>top 200</t>
        </is>
      </c>
      <c r="W133" t="inlineStr">
        <is>
          <t>REGIÕES/GRUPOS</t>
        </is>
      </c>
    </row>
    <row r="134" ht="15" customHeight="1">
      <c r="A134" t="n">
        <v>0.629124</v>
      </c>
      <c r="B134" t="inlineStr">
        <is>
          <t>VERDE</t>
        </is>
      </c>
      <c r="C134" t="n">
        <v>5615.5</v>
      </c>
      <c r="D134" t="n">
        <v>3532.85</v>
      </c>
      <c r="E134" t="n">
        <v>5615.5</v>
      </c>
      <c r="F134" s="6" t="n">
        <v>0.629124</v>
      </c>
      <c r="G134" t="inlineStr">
        <is>
          <t>SEM GRUPO</t>
        </is>
      </c>
      <c r="H134" t="inlineStr">
        <is>
          <t>PR</t>
        </is>
      </c>
      <c r="I134" t="n">
        <v>4130199221</v>
      </c>
      <c r="J134" t="inlineStr">
        <is>
          <t>JBP</t>
        </is>
      </c>
      <c r="K134" t="inlineStr">
        <is>
          <t>SEM REDE</t>
        </is>
      </c>
      <c r="L134" t="inlineStr">
        <is>
          <t>PR</t>
        </is>
      </c>
      <c r="M134" t="n">
        <v>4130199221</v>
      </c>
      <c r="N134" t="n">
        <v>3532.85</v>
      </c>
      <c r="O134" t="n">
        <v>467.96</v>
      </c>
      <c r="P134" t="inlineStr">
        <is>
          <t>03 - SUL</t>
        </is>
      </c>
      <c r="Q134" t="inlineStr">
        <is>
          <t>HEMANUELE DITZEL (MANU)</t>
        </is>
      </c>
      <c r="S134" t="inlineStr">
        <is>
          <t>ZR - NAO APLICAVEL</t>
        </is>
      </c>
      <c r="T134" t="inlineStr">
        <is>
          <t>HEMANUELE ROSA DITZEL</t>
        </is>
      </c>
      <c r="V134" t="inlineStr">
        <is>
          <t>top 200</t>
        </is>
      </c>
      <c r="W134" t="inlineStr">
        <is>
          <t>REGIÕES/GRUPOS</t>
        </is>
      </c>
    </row>
    <row r="135" ht="15" customHeight="1">
      <c r="A135" t="n">
        <v>0.626305</v>
      </c>
      <c r="B135" t="inlineStr">
        <is>
          <t>VERDE</t>
        </is>
      </c>
      <c r="C135" t="n">
        <v>5615.5</v>
      </c>
      <c r="D135" t="n">
        <v>3517.02</v>
      </c>
      <c r="E135" t="n">
        <v>5615.5</v>
      </c>
      <c r="F135" s="6" t="n">
        <v>0.626305</v>
      </c>
      <c r="G135" t="inlineStr">
        <is>
          <t>SEM GRUPO</t>
        </is>
      </c>
      <c r="H135" t="inlineStr">
        <is>
          <t>PR</t>
        </is>
      </c>
      <c r="I135" t="n">
        <v>41991664635</v>
      </c>
      <c r="J135" t="inlineStr">
        <is>
          <t>JBP</t>
        </is>
      </c>
      <c r="K135" t="inlineStr">
        <is>
          <t>SEM REDE</t>
        </is>
      </c>
      <c r="L135" t="inlineStr">
        <is>
          <t>PR</t>
        </is>
      </c>
      <c r="M135" t="n">
        <v>41991664635</v>
      </c>
      <c r="N135" t="n">
        <v>3517.02</v>
      </c>
      <c r="O135" t="n">
        <v>467.96</v>
      </c>
      <c r="P135" t="inlineStr">
        <is>
          <t>03 - SUL</t>
        </is>
      </c>
      <c r="Q135" t="inlineStr">
        <is>
          <t>HEMANUELE DITZEL (MANU)</t>
        </is>
      </c>
      <c r="S135" t="inlineStr">
        <is>
          <t>ZR - NAO APLICAVEL</t>
        </is>
      </c>
      <c r="T135" t="inlineStr">
        <is>
          <t>HEMANUELE ROSA DITZEL</t>
        </is>
      </c>
      <c r="V135" t="inlineStr">
        <is>
          <t>top 200</t>
        </is>
      </c>
      <c r="W135" t="inlineStr">
        <is>
          <t>REGIÕES/GRUPOS</t>
        </is>
      </c>
    </row>
    <row r="136" ht="15" customHeight="1">
      <c r="A136" t="n">
        <v>0.618513</v>
      </c>
      <c r="B136" t="inlineStr">
        <is>
          <t>VERDE</t>
        </is>
      </c>
      <c r="C136" t="n">
        <v>5615.5</v>
      </c>
      <c r="D136" t="n">
        <v>3473.26</v>
      </c>
      <c r="E136" t="n">
        <v>5615.5</v>
      </c>
      <c r="F136" s="6" t="n">
        <v>0.618513</v>
      </c>
      <c r="G136" t="inlineStr">
        <is>
          <t>SEM GRUPO</t>
        </is>
      </c>
      <c r="H136" t="inlineStr">
        <is>
          <t>TO</t>
        </is>
      </c>
      <c r="I136" t="n">
        <v>6381443572</v>
      </c>
      <c r="J136" t="inlineStr">
        <is>
          <t>JBP</t>
        </is>
      </c>
      <c r="K136" t="inlineStr">
        <is>
          <t>SEM REDE</t>
        </is>
      </c>
      <c r="L136" t="inlineStr">
        <is>
          <t>TO</t>
        </is>
      </c>
      <c r="M136" t="n">
        <v>6381443572</v>
      </c>
      <c r="N136" t="n">
        <v>3473.26</v>
      </c>
      <c r="O136" t="n">
        <v>467.96</v>
      </c>
      <c r="P136" t="inlineStr">
        <is>
          <t>03 - CENTRO OESTE</t>
        </is>
      </c>
      <c r="Q136" t="inlineStr">
        <is>
          <t>LARISSA PADILHA</t>
        </is>
      </c>
      <c r="S136" t="inlineStr">
        <is>
          <t>42.149.466 LARISSA DA SILVA PADILHA - ME</t>
        </is>
      </c>
      <c r="T136" t="inlineStr">
        <is>
          <t>ZV - NAO APLICAVEL</t>
        </is>
      </c>
      <c r="V136" t="inlineStr">
        <is>
          <t>top 200</t>
        </is>
      </c>
      <c r="W136" t="inlineStr">
        <is>
          <t>REGIÕES/GRUPOS</t>
        </is>
      </c>
    </row>
    <row r="137" ht="15" customHeight="1">
      <c r="A137" t="n">
        <v>0.615259</v>
      </c>
      <c r="B137" t="inlineStr">
        <is>
          <t>VERDE</t>
        </is>
      </c>
      <c r="C137" t="n">
        <v>5615.5</v>
      </c>
      <c r="D137" t="n">
        <v>3454.99</v>
      </c>
      <c r="E137" t="n">
        <v>5615.5</v>
      </c>
      <c r="F137" s="6" t="n">
        <v>0.615259</v>
      </c>
      <c r="G137" t="inlineStr">
        <is>
          <t>SEM GRUPO</t>
        </is>
      </c>
      <c r="H137" t="inlineStr">
        <is>
          <t>PE</t>
        </is>
      </c>
      <c r="I137" t="n">
        <v>81998985588</v>
      </c>
      <c r="J137" t="inlineStr">
        <is>
          <t>JBP</t>
        </is>
      </c>
      <c r="K137" t="inlineStr">
        <is>
          <t>SEM REDE</t>
        </is>
      </c>
      <c r="L137" t="inlineStr">
        <is>
          <t>PE</t>
        </is>
      </c>
      <c r="M137" t="n">
        <v>81998985588</v>
      </c>
      <c r="N137" t="n">
        <v>3454.99</v>
      </c>
      <c r="O137" t="n">
        <v>467.96</v>
      </c>
      <c r="P137" t="inlineStr">
        <is>
          <t>03 - NORDESTE (SEM MA)</t>
        </is>
      </c>
      <c r="Q137" t="inlineStr">
        <is>
          <t>LARISSA PADILHA</t>
        </is>
      </c>
      <c r="S137" t="inlineStr">
        <is>
          <t>42.149.466 LARISSA DA SILVA PADILHA - ME</t>
        </is>
      </c>
      <c r="T137" t="inlineStr">
        <is>
          <t>ZV - NAO APLICAVEL</t>
        </is>
      </c>
      <c r="V137" t="inlineStr">
        <is>
          <t>top 200</t>
        </is>
      </c>
      <c r="W137" t="inlineStr">
        <is>
          <t>REGIÕES/GRUPOS</t>
        </is>
      </c>
    </row>
    <row r="138" ht="15" customHeight="1">
      <c r="A138" t="n">
        <v>0.6067669999999999</v>
      </c>
      <c r="B138" t="inlineStr">
        <is>
          <t>VERDE</t>
        </is>
      </c>
      <c r="C138" t="n">
        <v>5615.5</v>
      </c>
      <c r="D138" t="n">
        <v>3407.3</v>
      </c>
      <c r="E138" t="n">
        <v>5615.5</v>
      </c>
      <c r="F138" s="6" t="n">
        <v>0.6067669999999999</v>
      </c>
      <c r="G138" t="inlineStr">
        <is>
          <t>SEM GRUPO</t>
        </is>
      </c>
      <c r="H138" t="inlineStr">
        <is>
          <t>SP</t>
        </is>
      </c>
      <c r="I138" t="n">
        <v>17988307140</v>
      </c>
      <c r="J138" t="inlineStr">
        <is>
          <t>JBP</t>
        </is>
      </c>
      <c r="K138" t="inlineStr">
        <is>
          <t>SEM REDE</t>
        </is>
      </c>
      <c r="L138" t="inlineStr">
        <is>
          <t>SP</t>
        </is>
      </c>
      <c r="M138" t="n">
        <v>17988307140</v>
      </c>
      <c r="N138" t="n">
        <v>3407.3</v>
      </c>
      <c r="O138" t="n">
        <v>467.96</v>
      </c>
      <c r="P138" t="inlineStr">
        <is>
          <t>03 - SP INTERIOR</t>
        </is>
      </c>
      <c r="Q138" t="inlineStr">
        <is>
          <t>LARISSA PADILHA</t>
        </is>
      </c>
      <c r="S138" t="inlineStr">
        <is>
          <t>42.149.466 LARISSA DA SILVA PADILHA - ME</t>
        </is>
      </c>
      <c r="T138" t="inlineStr">
        <is>
          <t>ZV - NAO APLICAVEL</t>
        </is>
      </c>
      <c r="V138" t="inlineStr">
        <is>
          <t>top 200</t>
        </is>
      </c>
      <c r="W138" t="inlineStr">
        <is>
          <t>REGIÕES/GRUPOS</t>
        </is>
      </c>
    </row>
    <row r="139" ht="15" customHeight="1">
      <c r="A139" t="n">
        <v>0.606193</v>
      </c>
      <c r="B139" t="inlineStr">
        <is>
          <t>VERDE</t>
        </is>
      </c>
      <c r="C139" t="n">
        <v>5615.5</v>
      </c>
      <c r="D139" t="n">
        <v>3404.08</v>
      </c>
      <c r="E139" t="n">
        <v>5615.5</v>
      </c>
      <c r="F139" s="6" t="n">
        <v>0.606193</v>
      </c>
      <c r="G139" t="inlineStr">
        <is>
          <t>SEM GRUPO</t>
        </is>
      </c>
      <c r="H139" t="inlineStr">
        <is>
          <t>SP</t>
        </is>
      </c>
      <c r="I139" t="n">
        <v>11979855778</v>
      </c>
      <c r="J139" t="inlineStr">
        <is>
          <t>JBP</t>
        </is>
      </c>
      <c r="K139" t="inlineStr">
        <is>
          <t>SEM REDE</t>
        </is>
      </c>
      <c r="L139" t="inlineStr">
        <is>
          <t>SP</t>
        </is>
      </c>
      <c r="M139" t="n">
        <v>11979855778</v>
      </c>
      <c r="N139" t="n">
        <v>3404.08</v>
      </c>
      <c r="O139" t="n">
        <v>467.96</v>
      </c>
      <c r="P139" t="inlineStr">
        <is>
          <t>03 - SP CAPITAL</t>
        </is>
      </c>
      <c r="Q139" t="inlineStr">
        <is>
          <t>LARISSA PADILHA</t>
        </is>
      </c>
      <c r="S139" t="inlineStr">
        <is>
          <t>42.149.466 LARISSA DA SILVA PADILHA - ME</t>
        </is>
      </c>
      <c r="T139" t="inlineStr">
        <is>
          <t>ZV - NAO APLICAVEL</t>
        </is>
      </c>
      <c r="V139" t="inlineStr">
        <is>
          <t>top 200</t>
        </is>
      </c>
      <c r="W139" t="inlineStr">
        <is>
          <t>REGIÕES/GRUPOS</t>
        </is>
      </c>
    </row>
    <row r="140" ht="15" customHeight="1">
      <c r="A140" t="n">
        <v>0.605997</v>
      </c>
      <c r="B140" t="inlineStr">
        <is>
          <t>VERDE</t>
        </is>
      </c>
      <c r="C140" t="n">
        <v>5615.5</v>
      </c>
      <c r="D140" t="n">
        <v>3402.98</v>
      </c>
      <c r="E140" t="n">
        <v>5615.5</v>
      </c>
      <c r="F140" s="6" t="n">
        <v>0.605997</v>
      </c>
      <c r="G140" t="inlineStr">
        <is>
          <t>SEM GRUPO</t>
        </is>
      </c>
      <c r="H140" t="inlineStr">
        <is>
          <t>MA</t>
        </is>
      </c>
      <c r="I140" t="n">
        <v>9981223533</v>
      </c>
      <c r="J140" t="inlineStr">
        <is>
          <t>JBP</t>
        </is>
      </c>
      <c r="K140" t="inlineStr">
        <is>
          <t>SEM REDE</t>
        </is>
      </c>
      <c r="L140" t="inlineStr">
        <is>
          <t>MA</t>
        </is>
      </c>
      <c r="M140" t="n">
        <v>9981223533</v>
      </c>
      <c r="N140" t="n">
        <v>3402.98</v>
      </c>
      <c r="O140" t="n">
        <v>467.96</v>
      </c>
      <c r="P140" t="inlineStr">
        <is>
          <t>03 - NORTE + MA</t>
        </is>
      </c>
      <c r="Q140" t="inlineStr">
        <is>
          <t>LARISSA PADILHA</t>
        </is>
      </c>
      <c r="S140" t="inlineStr">
        <is>
          <t>42.149.466 LARISSA DA SILVA PADILHA - ME</t>
        </is>
      </c>
      <c r="T140" t="inlineStr">
        <is>
          <t>ZV - NAO APLICAVEL</t>
        </is>
      </c>
      <c r="V140" t="inlineStr">
        <is>
          <t>top 200</t>
        </is>
      </c>
      <c r="W140" t="inlineStr">
        <is>
          <t>REGIÕES/GRUPOS</t>
        </is>
      </c>
    </row>
    <row r="141" ht="15" customHeight="1">
      <c r="A141" t="n">
        <v>0.660079</v>
      </c>
      <c r="B141" t="inlineStr">
        <is>
          <t>VERDE</t>
        </is>
      </c>
      <c r="C141" t="n">
        <v>5142.86</v>
      </c>
      <c r="D141" t="n">
        <v>3394.69</v>
      </c>
      <c r="E141" t="n">
        <v>5142.86</v>
      </c>
      <c r="F141" s="6" t="n">
        <v>0.660079</v>
      </c>
      <c r="G141" t="inlineStr">
        <is>
          <t>ESMERALDA</t>
        </is>
      </c>
      <c r="H141" t="inlineStr">
        <is>
          <t>PR</t>
        </is>
      </c>
      <c r="I141" t="n">
        <v>41002320799</v>
      </c>
      <c r="J141" t="inlineStr">
        <is>
          <t>JBP</t>
        </is>
      </c>
      <c r="K141" t="inlineStr">
        <is>
          <t>ESMERALDA</t>
        </is>
      </c>
      <c r="L141" t="inlineStr">
        <is>
          <t>PR</t>
        </is>
      </c>
      <c r="M141" t="n">
        <v>41002320799</v>
      </c>
      <c r="N141" t="n">
        <v>3394.69</v>
      </c>
      <c r="O141" t="n">
        <v>428.57</v>
      </c>
      <c r="P141" t="inlineStr">
        <is>
          <t>03 - SUL</t>
        </is>
      </c>
      <c r="Q141" t="inlineStr">
        <is>
          <t>DAIANE STAVICKI</t>
        </is>
      </c>
      <c r="S141" t="inlineStr">
        <is>
          <t>ZR - NAO APLICAVEL</t>
        </is>
      </c>
      <c r="T141" t="inlineStr">
        <is>
          <t>ZV - NAO APLICAVEL</t>
        </is>
      </c>
      <c r="V141" t="inlineStr">
        <is>
          <t>top 200</t>
        </is>
      </c>
      <c r="W141" t="inlineStr">
        <is>
          <t>REDES E FRANQUIAS</t>
        </is>
      </c>
    </row>
    <row r="142" ht="15" customHeight="1">
      <c r="A142" t="n">
        <v>0.660079</v>
      </c>
      <c r="B142" t="inlineStr">
        <is>
          <t>VERDE</t>
        </is>
      </c>
      <c r="C142" t="n">
        <v>5142.86</v>
      </c>
      <c r="D142" t="n">
        <v>3394.69</v>
      </c>
      <c r="E142" t="n">
        <v>5142.86</v>
      </c>
      <c r="F142" s="6" t="n">
        <v>0.660079</v>
      </c>
      <c r="G142" t="inlineStr">
        <is>
          <t>ESMERALDA</t>
        </is>
      </c>
      <c r="H142" t="inlineStr">
        <is>
          <t>PR</t>
        </is>
      </c>
      <c r="I142" t="n">
        <v>41992329799</v>
      </c>
      <c r="J142" t="inlineStr">
        <is>
          <t>JBP</t>
        </is>
      </c>
      <c r="K142" t="inlineStr">
        <is>
          <t>ESMERALDA</t>
        </is>
      </c>
      <c r="L142" t="inlineStr">
        <is>
          <t>PR</t>
        </is>
      </c>
      <c r="M142" t="n">
        <v>41992329799</v>
      </c>
      <c r="N142" t="n">
        <v>3394.69</v>
      </c>
      <c r="O142" t="n">
        <v>428.57</v>
      </c>
      <c r="P142" t="inlineStr">
        <is>
          <t>03 - SUL</t>
        </is>
      </c>
      <c r="Q142" t="inlineStr">
        <is>
          <t>DAIANE STAVICKI</t>
        </is>
      </c>
      <c r="S142" t="inlineStr">
        <is>
          <t>ZR - NAO APLICAVEL</t>
        </is>
      </c>
      <c r="T142" t="inlineStr">
        <is>
          <t>ZV - NAO APLICAVEL</t>
        </is>
      </c>
      <c r="V142" t="inlineStr">
        <is>
          <t>top 200</t>
        </is>
      </c>
      <c r="W142" t="inlineStr">
        <is>
          <t>REDES E FRANQUIAS</t>
        </is>
      </c>
    </row>
    <row r="143" ht="15" customHeight="1">
      <c r="A143" t="n">
        <v>0.659618</v>
      </c>
      <c r="B143" t="inlineStr">
        <is>
          <t>VERDE</t>
        </is>
      </c>
      <c r="C143" t="n">
        <v>5142.86</v>
      </c>
      <c r="D143" t="n">
        <v>3392.32</v>
      </c>
      <c r="E143" t="n">
        <v>5142.86</v>
      </c>
      <c r="F143" s="6" t="n">
        <v>0.659618</v>
      </c>
      <c r="G143" t="inlineStr">
        <is>
          <t>ESMERALDA</t>
        </is>
      </c>
      <c r="H143" t="inlineStr">
        <is>
          <t>PR</t>
        </is>
      </c>
      <c r="I143" t="n">
        <v>41992329799</v>
      </c>
      <c r="J143" t="inlineStr">
        <is>
          <t>JBP</t>
        </is>
      </c>
      <c r="K143" t="inlineStr">
        <is>
          <t>ESMERALDA</t>
        </is>
      </c>
      <c r="L143" t="inlineStr">
        <is>
          <t>PR</t>
        </is>
      </c>
      <c r="M143" t="n">
        <v>41992329799</v>
      </c>
      <c r="N143" t="n">
        <v>3392.32</v>
      </c>
      <c r="O143" t="n">
        <v>428.57</v>
      </c>
      <c r="P143" t="inlineStr">
        <is>
          <t>03 - SUL</t>
        </is>
      </c>
      <c r="Q143" t="inlineStr">
        <is>
          <t>DAIANE STAVICKI</t>
        </is>
      </c>
      <c r="S143" t="inlineStr">
        <is>
          <t>ZR - NAO APLICAVEL</t>
        </is>
      </c>
      <c r="T143" t="inlineStr">
        <is>
          <t>ZV - NAO APLICAVEL</t>
        </is>
      </c>
      <c r="V143" t="inlineStr">
        <is>
          <t>top 200</t>
        </is>
      </c>
      <c r="W143" t="inlineStr">
        <is>
          <t>REDES E FRANQUIAS</t>
        </is>
      </c>
    </row>
    <row r="144" ht="15" customHeight="1">
      <c r="A144" t="n">
        <v>0.5935820000000001</v>
      </c>
      <c r="B144" t="inlineStr">
        <is>
          <t>AMARELO</t>
        </is>
      </c>
      <c r="C144" t="n">
        <v>5615.5</v>
      </c>
      <c r="D144" t="n">
        <v>3333.26</v>
      </c>
      <c r="E144" t="n">
        <v>5615.5</v>
      </c>
      <c r="F144" s="6" t="n">
        <v>0.5935820000000001</v>
      </c>
      <c r="G144" t="inlineStr">
        <is>
          <t>SEM GRUPO</t>
        </is>
      </c>
      <c r="H144" t="inlineStr">
        <is>
          <t>PR</t>
        </is>
      </c>
      <c r="I144" t="n">
        <v>11971942324</v>
      </c>
      <c r="J144" t="inlineStr">
        <is>
          <t>Plano de Sell Out</t>
        </is>
      </c>
      <c r="K144" t="inlineStr">
        <is>
          <t>SEM REDE</t>
        </is>
      </c>
      <c r="L144" t="inlineStr">
        <is>
          <t>PR</t>
        </is>
      </c>
      <c r="M144" t="n">
        <v>11971942324</v>
      </c>
      <c r="N144" t="n">
        <v>3333.26</v>
      </c>
      <c r="O144" t="n">
        <v>467.96</v>
      </c>
      <c r="P144" t="inlineStr">
        <is>
          <t>03 - SUL</t>
        </is>
      </c>
      <c r="Q144" t="inlineStr">
        <is>
          <t>HEMANUELE DITZEL (MANU)</t>
        </is>
      </c>
      <c r="S144" t="inlineStr">
        <is>
          <t>ZR - NAO APLICAVEL</t>
        </is>
      </c>
      <c r="T144" t="inlineStr">
        <is>
          <t>HEMANUELE ROSA DITZEL</t>
        </is>
      </c>
      <c r="V144" t="inlineStr">
        <is>
          <t>top 200</t>
        </is>
      </c>
      <c r="W144" t="inlineStr">
        <is>
          <t>REGIÕES/GRUPOS</t>
        </is>
      </c>
    </row>
    <row r="145" ht="15" customHeight="1">
      <c r="A145" t="n">
        <v>0.592289</v>
      </c>
      <c r="B145" t="inlineStr">
        <is>
          <t>AMARELO</t>
        </is>
      </c>
      <c r="C145" t="n">
        <v>5615.5</v>
      </c>
      <c r="D145" t="n">
        <v>3326</v>
      </c>
      <c r="E145" t="n">
        <v>5615.5</v>
      </c>
      <c r="F145" s="6" t="n">
        <v>0.592289</v>
      </c>
      <c r="G145" t="inlineStr">
        <is>
          <t>SEM GRUPO</t>
        </is>
      </c>
      <c r="H145" t="inlineStr">
        <is>
          <t>BA</t>
        </is>
      </c>
      <c r="I145" t="n">
        <v>57398336448</v>
      </c>
      <c r="J145" t="inlineStr">
        <is>
          <t>Plano de Sell Out</t>
        </is>
      </c>
      <c r="K145" t="inlineStr">
        <is>
          <t>SEM REDE</t>
        </is>
      </c>
      <c r="L145" t="inlineStr">
        <is>
          <t>BA</t>
        </is>
      </c>
      <c r="M145" t="n">
        <v>57398336448</v>
      </c>
      <c r="N145" t="n">
        <v>3326</v>
      </c>
      <c r="O145" t="n">
        <v>467.96</v>
      </c>
      <c r="P145" t="inlineStr">
        <is>
          <t>03 - NORDESTE (SEM MA)</t>
        </is>
      </c>
      <c r="Q145" t="inlineStr">
        <is>
          <t>LARISSA PADILHA</t>
        </is>
      </c>
      <c r="S145" t="inlineStr">
        <is>
          <t>42.149.466 LARISSA DA SILVA PADILHA - ME</t>
        </is>
      </c>
      <c r="T145" t="inlineStr">
        <is>
          <t>ZV - NAO APLICAVEL</t>
        </is>
      </c>
      <c r="V145" t="inlineStr">
        <is>
          <t>top 200</t>
        </is>
      </c>
      <c r="W145" t="inlineStr">
        <is>
          <t>REGIÕES/GRUPOS</t>
        </is>
      </c>
    </row>
    <row r="146" ht="15" customHeight="1">
      <c r="A146" t="n">
        <v>0.591625</v>
      </c>
      <c r="B146" t="inlineStr">
        <is>
          <t>AMARELO</t>
        </is>
      </c>
      <c r="C146" t="n">
        <v>5615.5</v>
      </c>
      <c r="D146" t="n">
        <v>3322.27</v>
      </c>
      <c r="E146" t="n">
        <v>5615.5</v>
      </c>
      <c r="F146" s="6" t="n">
        <v>0.591625</v>
      </c>
      <c r="G146" t="inlineStr">
        <is>
          <t>SEM GRUPO</t>
        </is>
      </c>
      <c r="H146" t="inlineStr">
        <is>
          <t>DF</t>
        </is>
      </c>
      <c r="I146" t="n">
        <v>61370352966</v>
      </c>
      <c r="J146" t="inlineStr">
        <is>
          <t>Plano de Sell Out</t>
        </is>
      </c>
      <c r="K146" t="inlineStr">
        <is>
          <t>SEM REDE</t>
        </is>
      </c>
      <c r="L146" t="inlineStr">
        <is>
          <t>DF</t>
        </is>
      </c>
      <c r="M146" t="n">
        <v>61370352966</v>
      </c>
      <c r="N146" t="n">
        <v>3322.27</v>
      </c>
      <c r="O146" t="n">
        <v>467.96</v>
      </c>
      <c r="P146" t="inlineStr">
        <is>
          <t>03 - CENTRO OESTE</t>
        </is>
      </c>
      <c r="Q146" t="inlineStr">
        <is>
          <t>LARISSA PADILHA</t>
        </is>
      </c>
      <c r="S146" t="inlineStr">
        <is>
          <t>42.149.466 LARISSA DA SILVA PADILHA - ME</t>
        </is>
      </c>
      <c r="T146" t="inlineStr">
        <is>
          <t>ZV - NAO APLICAVEL</t>
        </is>
      </c>
      <c r="V146" t="inlineStr">
        <is>
          <t>top 200</t>
        </is>
      </c>
      <c r="W146" t="inlineStr">
        <is>
          <t>REGIÕES/GRUPOS</t>
        </is>
      </c>
    </row>
    <row r="147" ht="15" customHeight="1">
      <c r="A147" t="n">
        <v>0.5876980000000001</v>
      </c>
      <c r="B147" t="inlineStr">
        <is>
          <t>AMARELO</t>
        </is>
      </c>
      <c r="C147" t="n">
        <v>5615.5</v>
      </c>
      <c r="D147" t="n">
        <v>3300.22</v>
      </c>
      <c r="E147" t="n">
        <v>5615.5</v>
      </c>
      <c r="F147" s="6" t="n">
        <v>0.5876980000000001</v>
      </c>
      <c r="G147" t="inlineStr">
        <is>
          <t>SEM GRUPO</t>
        </is>
      </c>
      <c r="H147" t="inlineStr">
        <is>
          <t>SP</t>
        </is>
      </c>
      <c r="I147" t="n">
        <v>11964347277</v>
      </c>
      <c r="J147" t="inlineStr">
        <is>
          <t>Plano de Sell Out</t>
        </is>
      </c>
      <c r="K147" t="inlineStr">
        <is>
          <t>SEM REDE</t>
        </is>
      </c>
      <c r="L147" t="inlineStr">
        <is>
          <t>SP</t>
        </is>
      </c>
      <c r="M147" t="n">
        <v>11964347277</v>
      </c>
      <c r="N147" t="n">
        <v>3300.22</v>
      </c>
      <c r="O147" t="n">
        <v>467.96</v>
      </c>
      <c r="P147" t="inlineStr">
        <is>
          <t>03 - SP CAPITAL</t>
        </is>
      </c>
      <c r="Q147" t="inlineStr">
        <is>
          <t>LARISSA PADILHA</t>
        </is>
      </c>
      <c r="S147" t="inlineStr">
        <is>
          <t>42.149.466 LARISSA DA SILVA PADILHA - ME</t>
        </is>
      </c>
      <c r="T147" t="inlineStr">
        <is>
          <t>ZV - NAO APLICAVEL</t>
        </is>
      </c>
      <c r="V147" t="inlineStr">
        <is>
          <t>top 200</t>
        </is>
      </c>
      <c r="W147" t="inlineStr">
        <is>
          <t>REGIÕES/GRUPOS</t>
        </is>
      </c>
    </row>
    <row r="148" ht="15" customHeight="1">
      <c r="A148" t="n">
        <v>0.587659</v>
      </c>
      <c r="B148" t="inlineStr">
        <is>
          <t>AMARELO</t>
        </is>
      </c>
      <c r="C148" t="n">
        <v>5615.5</v>
      </c>
      <c r="D148" t="n">
        <v>3300</v>
      </c>
      <c r="E148" t="n">
        <v>5615.5</v>
      </c>
      <c r="F148" s="6" t="n">
        <v>0.587659</v>
      </c>
      <c r="G148" t="inlineStr">
        <is>
          <t>SEM GRUPO</t>
        </is>
      </c>
      <c r="H148" t="inlineStr">
        <is>
          <t>RJ</t>
        </is>
      </c>
      <c r="I148" t="n">
        <v>2220204401</v>
      </c>
      <c r="J148" t="inlineStr">
        <is>
          <t>Plano de Sell Out</t>
        </is>
      </c>
      <c r="K148" t="inlineStr">
        <is>
          <t>SEM REDE</t>
        </is>
      </c>
      <c r="L148" t="inlineStr">
        <is>
          <t>RJ</t>
        </is>
      </c>
      <c r="M148" t="n">
        <v>2220204401</v>
      </c>
      <c r="N148" t="n">
        <v>3300</v>
      </c>
      <c r="O148" t="n">
        <v>467.96</v>
      </c>
      <c r="P148" t="inlineStr">
        <is>
          <t>03 - RJ + ES + MG</t>
        </is>
      </c>
      <c r="Q148" t="inlineStr">
        <is>
          <t>LARISSA PADILHA</t>
        </is>
      </c>
      <c r="S148" t="inlineStr">
        <is>
          <t>42.149.466 LARISSA DA SILVA PADILHA - ME</t>
        </is>
      </c>
      <c r="T148" t="inlineStr">
        <is>
          <t>ZV - NAO APLICAVEL</t>
        </is>
      </c>
      <c r="V148" t="inlineStr">
        <is>
          <t>top 200</t>
        </is>
      </c>
      <c r="W148" t="inlineStr">
        <is>
          <t>REGIÕES/GRUPOS</t>
        </is>
      </c>
    </row>
    <row r="149" ht="15" customHeight="1">
      <c r="A149" t="n">
        <v>0.5857599999999999</v>
      </c>
      <c r="B149" t="inlineStr">
        <is>
          <t>AMARELO</t>
        </is>
      </c>
      <c r="C149" t="n">
        <v>5615.5</v>
      </c>
      <c r="D149" t="n">
        <v>3289.34</v>
      </c>
      <c r="E149" t="n">
        <v>5615.5</v>
      </c>
      <c r="F149" s="6" t="n">
        <v>0.5857599999999999</v>
      </c>
      <c r="G149" t="inlineStr">
        <is>
          <t>SEM GRUPO</t>
        </is>
      </c>
      <c r="H149" t="inlineStr">
        <is>
          <t>SC</t>
        </is>
      </c>
      <c r="I149" t="n">
        <v>4530553644</v>
      </c>
      <c r="J149" t="inlineStr">
        <is>
          <t>Plano de Sell Out</t>
        </is>
      </c>
      <c r="K149" t="inlineStr">
        <is>
          <t>SEM REDE</t>
        </is>
      </c>
      <c r="L149" t="inlineStr">
        <is>
          <t>SC</t>
        </is>
      </c>
      <c r="M149" t="n">
        <v>4530553644</v>
      </c>
      <c r="N149" t="n">
        <v>3289.34</v>
      </c>
      <c r="O149" t="n">
        <v>467.96</v>
      </c>
      <c r="P149" t="inlineStr">
        <is>
          <t>03 - SUL</t>
        </is>
      </c>
      <c r="Q149" t="inlineStr">
        <is>
          <t>HEMANUELE DITZEL (MANU)</t>
        </is>
      </c>
      <c r="S149" t="inlineStr">
        <is>
          <t>ZR - NAO APLICAVEL</t>
        </is>
      </c>
      <c r="T149" t="inlineStr">
        <is>
          <t>HEMANUELE ROSA DITZEL</t>
        </is>
      </c>
      <c r="V149" t="inlineStr">
        <is>
          <t>top 200</t>
        </is>
      </c>
      <c r="W149" t="inlineStr">
        <is>
          <t>REGIÕES/GRUPOS</t>
        </is>
      </c>
    </row>
    <row r="150" ht="15" customHeight="1">
      <c r="A150" t="n">
        <v>0.583273</v>
      </c>
      <c r="B150" t="inlineStr">
        <is>
          <t>AMARELO</t>
        </is>
      </c>
      <c r="C150" t="n">
        <v>5615.5</v>
      </c>
      <c r="D150" t="n">
        <v>3275.37</v>
      </c>
      <c r="E150" t="n">
        <v>5615.5</v>
      </c>
      <c r="F150" s="6" t="n">
        <v>0.583273</v>
      </c>
      <c r="G150" t="inlineStr">
        <is>
          <t>SEM GRUPO</t>
        </is>
      </c>
      <c r="H150" t="inlineStr">
        <is>
          <t>SC</t>
        </is>
      </c>
      <c r="I150" t="n">
        <v>47991692194</v>
      </c>
      <c r="J150" t="inlineStr">
        <is>
          <t>Plano de Sell Out</t>
        </is>
      </c>
      <c r="K150" t="inlineStr">
        <is>
          <t>SEM REDE</t>
        </is>
      </c>
      <c r="L150" t="inlineStr">
        <is>
          <t>SC</t>
        </is>
      </c>
      <c r="M150" t="n">
        <v>47991692194</v>
      </c>
      <c r="N150" t="n">
        <v>3275.37</v>
      </c>
      <c r="O150" t="n">
        <v>467.96</v>
      </c>
      <c r="P150" t="inlineStr">
        <is>
          <t>03 - SUL</t>
        </is>
      </c>
      <c r="Q150" t="inlineStr">
        <is>
          <t>HEMANUELE DITZEL (MANU)</t>
        </is>
      </c>
      <c r="S150" t="inlineStr">
        <is>
          <t>ZR - NAO APLICAVEL</t>
        </is>
      </c>
      <c r="T150" t="inlineStr">
        <is>
          <t>HEMANUELE ROSA DITZEL</t>
        </is>
      </c>
      <c r="V150" t="inlineStr">
        <is>
          <t>top 200</t>
        </is>
      </c>
      <c r="W150" t="inlineStr">
        <is>
          <t>REGIÕES/GRUPOS</t>
        </is>
      </c>
    </row>
    <row r="151" ht="15" customHeight="1">
      <c r="A151" t="n">
        <v>0.578664</v>
      </c>
      <c r="B151" t="inlineStr">
        <is>
          <t>AMARELO</t>
        </is>
      </c>
      <c r="C151" t="n">
        <v>5615.5</v>
      </c>
      <c r="D151" t="n">
        <v>3249.49</v>
      </c>
      <c r="E151" t="n">
        <v>5615.5</v>
      </c>
      <c r="F151" s="6" t="n">
        <v>0.578664</v>
      </c>
      <c r="G151" t="inlineStr">
        <is>
          <t>SEM GRUPO</t>
        </is>
      </c>
      <c r="H151" t="inlineStr">
        <is>
          <t>MA</t>
        </is>
      </c>
      <c r="I151" t="n">
        <v>989921635</v>
      </c>
      <c r="J151" t="inlineStr">
        <is>
          <t>Plano de Sell Out</t>
        </is>
      </c>
      <c r="K151" t="inlineStr">
        <is>
          <t>SEM REDE</t>
        </is>
      </c>
      <c r="L151" t="inlineStr">
        <is>
          <t>MA</t>
        </is>
      </c>
      <c r="M151" t="n">
        <v>989921635</v>
      </c>
      <c r="N151" t="n">
        <v>3249.49</v>
      </c>
      <c r="O151" t="n">
        <v>467.96</v>
      </c>
      <c r="P151" t="inlineStr">
        <is>
          <t>03 - NORTE + MA</t>
        </is>
      </c>
      <c r="Q151" t="inlineStr">
        <is>
          <t>LARISSA PADILHA</t>
        </is>
      </c>
      <c r="S151" t="inlineStr">
        <is>
          <t>42.149.466 LARISSA DA SILVA PADILHA - ME</t>
        </is>
      </c>
      <c r="T151" t="inlineStr">
        <is>
          <t>ZV - NAO APLICAVEL</t>
        </is>
      </c>
      <c r="V151" t="inlineStr">
        <is>
          <t>top 200</t>
        </is>
      </c>
      <c r="W151" t="inlineStr">
        <is>
          <t>REGIÕES/GRUPOS</t>
        </is>
      </c>
    </row>
    <row r="152" ht="15" customHeight="1">
      <c r="A152" t="n">
        <v>0.57816</v>
      </c>
      <c r="B152" t="inlineStr">
        <is>
          <t>AMARELO</t>
        </is>
      </c>
      <c r="C152" t="n">
        <v>5615.5</v>
      </c>
      <c r="D152" t="n">
        <v>3246.66</v>
      </c>
      <c r="E152" t="n">
        <v>5615.5</v>
      </c>
      <c r="F152" s="6" t="n">
        <v>0.57816</v>
      </c>
      <c r="G152" t="inlineStr">
        <is>
          <t>SEM GRUPO</t>
        </is>
      </c>
      <c r="H152" t="inlineStr">
        <is>
          <t>ES</t>
        </is>
      </c>
      <c r="I152" t="n">
        <v>27996079076</v>
      </c>
      <c r="J152" t="inlineStr">
        <is>
          <t>Plano de Sell Out</t>
        </is>
      </c>
      <c r="K152" t="inlineStr">
        <is>
          <t>SEM REDE</t>
        </is>
      </c>
      <c r="L152" t="inlineStr">
        <is>
          <t>ES</t>
        </is>
      </c>
      <c r="M152" t="n">
        <v>27996079076</v>
      </c>
      <c r="N152" t="n">
        <v>3246.66</v>
      </c>
      <c r="O152" t="n">
        <v>467.96</v>
      </c>
      <c r="P152" t="inlineStr">
        <is>
          <t>03 - RJ + ES + MG</t>
        </is>
      </c>
      <c r="Q152" t="inlineStr">
        <is>
          <t>LARISSA PADILHA</t>
        </is>
      </c>
      <c r="S152" t="inlineStr">
        <is>
          <t>42.149.466 LARISSA DA SILVA PADILHA - ME</t>
        </is>
      </c>
      <c r="T152" t="inlineStr">
        <is>
          <t>ZV - NAO APLICAVEL</t>
        </is>
      </c>
      <c r="V152" t="inlineStr">
        <is>
          <t>top 200</t>
        </is>
      </c>
      <c r="W152" t="inlineStr">
        <is>
          <t>REGIÕES/GRUPOS</t>
        </is>
      </c>
    </row>
    <row r="153" ht="15" customHeight="1">
      <c r="A153" t="n">
        <v>0.573966</v>
      </c>
      <c r="B153" t="inlineStr">
        <is>
          <t>AMARELO</t>
        </is>
      </c>
      <c r="C153" t="n">
        <v>5615.5</v>
      </c>
      <c r="D153" t="n">
        <v>3223.11</v>
      </c>
      <c r="E153" t="n">
        <v>5615.5</v>
      </c>
      <c r="F153" s="6" t="n">
        <v>0.573966</v>
      </c>
      <c r="G153" t="inlineStr">
        <is>
          <t>SEM GRUPO</t>
        </is>
      </c>
      <c r="H153" t="inlineStr">
        <is>
          <t>MG</t>
        </is>
      </c>
      <c r="I153" t="n">
        <v>31992886861</v>
      </c>
      <c r="J153" t="inlineStr">
        <is>
          <t>Plano de Sell Out</t>
        </is>
      </c>
      <c r="K153" t="inlineStr">
        <is>
          <t>SEM REDE</t>
        </is>
      </c>
      <c r="L153" t="inlineStr">
        <is>
          <t>MG</t>
        </is>
      </c>
      <c r="M153" t="n">
        <v>31992886861</v>
      </c>
      <c r="N153" t="n">
        <v>3223.11</v>
      </c>
      <c r="O153" t="n">
        <v>467.96</v>
      </c>
      <c r="P153" t="inlineStr">
        <is>
          <t>03 - RJ + ES + MG</t>
        </is>
      </c>
      <c r="Q153" t="inlineStr">
        <is>
          <t>LARISSA PADILHA</t>
        </is>
      </c>
      <c r="S153" t="inlineStr">
        <is>
          <t>ZR - NAO APLICAVEL</t>
        </is>
      </c>
      <c r="T153" t="inlineStr">
        <is>
          <t>ZV - NAO APLICAVEL</t>
        </is>
      </c>
      <c r="V153" t="inlineStr">
        <is>
          <t>top 200</t>
        </is>
      </c>
      <c r="W153" t="inlineStr">
        <is>
          <t>REGIÕES/GRUPOS</t>
        </is>
      </c>
    </row>
    <row r="154" ht="15" customHeight="1">
      <c r="A154" t="n">
        <v>0.57257</v>
      </c>
      <c r="B154" t="inlineStr">
        <is>
          <t>AMARELO</t>
        </is>
      </c>
      <c r="C154" t="n">
        <v>5615.5</v>
      </c>
      <c r="D154" t="n">
        <v>3215.27</v>
      </c>
      <c r="E154" t="n">
        <v>5615.5</v>
      </c>
      <c r="F154" s="6" t="n">
        <v>0.57257</v>
      </c>
      <c r="G154" t="inlineStr">
        <is>
          <t>SEM GRUPO</t>
        </is>
      </c>
      <c r="H154" t="inlineStr">
        <is>
          <t>SC</t>
        </is>
      </c>
      <c r="I154" t="n">
        <v>4888362409</v>
      </c>
      <c r="J154" t="inlineStr">
        <is>
          <t>Plano de Sell Out</t>
        </is>
      </c>
      <c r="K154" t="inlineStr">
        <is>
          <t>SEM REDE</t>
        </is>
      </c>
      <c r="L154" t="inlineStr">
        <is>
          <t>SC</t>
        </is>
      </c>
      <c r="M154" t="n">
        <v>4888362409</v>
      </c>
      <c r="N154" t="n">
        <v>3215.27</v>
      </c>
      <c r="O154" t="n">
        <v>467.96</v>
      </c>
      <c r="P154" t="inlineStr">
        <is>
          <t>03 - SUL</t>
        </is>
      </c>
      <c r="Q154" t="inlineStr">
        <is>
          <t>JULIO GADRET</t>
        </is>
      </c>
      <c r="S154" t="inlineStr">
        <is>
          <t>LG REPRESENTACOES LTDA - EPP</t>
        </is>
      </c>
      <c r="T154" t="inlineStr">
        <is>
          <t>ZV - NAO APLICAVEL</t>
        </is>
      </c>
      <c r="V154" t="inlineStr">
        <is>
          <t>top 200</t>
        </is>
      </c>
      <c r="W154" t="inlineStr">
        <is>
          <t>REGIÕES/GRUPOS</t>
        </is>
      </c>
    </row>
    <row r="155" ht="15" customHeight="1">
      <c r="A155" t="n">
        <v>0.571632</v>
      </c>
      <c r="B155" t="inlineStr">
        <is>
          <t>AMARELO</t>
        </is>
      </c>
      <c r="C155" t="n">
        <v>5615.5</v>
      </c>
      <c r="D155" t="n">
        <v>3210</v>
      </c>
      <c r="E155" t="n">
        <v>5615.5</v>
      </c>
      <c r="F155" s="6" t="n">
        <v>0.571632</v>
      </c>
      <c r="G155" t="inlineStr">
        <is>
          <t>SEM GRUPO</t>
        </is>
      </c>
      <c r="H155" t="inlineStr">
        <is>
          <t>SC</t>
        </is>
      </c>
      <c r="I155" t="n">
        <v>48984867502</v>
      </c>
      <c r="J155" t="inlineStr">
        <is>
          <t>Plano de Sell Out</t>
        </is>
      </c>
      <c r="K155" t="inlineStr">
        <is>
          <t>SEM REDE</t>
        </is>
      </c>
      <c r="L155" t="inlineStr">
        <is>
          <t>SC</t>
        </is>
      </c>
      <c r="M155" t="n">
        <v>48984867502</v>
      </c>
      <c r="N155" t="n">
        <v>3210</v>
      </c>
      <c r="O155" t="n">
        <v>467.96</v>
      </c>
      <c r="P155" t="inlineStr">
        <is>
          <t>03 - SUL</t>
        </is>
      </c>
      <c r="Q155" t="inlineStr">
        <is>
          <t>JULIO GADRET</t>
        </is>
      </c>
      <c r="S155" t="inlineStr">
        <is>
          <t>LG REPRESENTACOES LTDA - EPP</t>
        </is>
      </c>
      <c r="T155" t="inlineStr">
        <is>
          <t>ZV - NAO APLICAVEL</t>
        </is>
      </c>
      <c r="V155" t="inlineStr">
        <is>
          <t>top 200</t>
        </is>
      </c>
      <c r="W155" t="inlineStr">
        <is>
          <t>REGIÕES/GRUPOS</t>
        </is>
      </c>
    </row>
    <row r="156" ht="15" customHeight="1">
      <c r="A156" t="n">
        <v>0.571632</v>
      </c>
      <c r="B156" t="inlineStr">
        <is>
          <t>AMARELO</t>
        </is>
      </c>
      <c r="C156" t="n">
        <v>5615.5</v>
      </c>
      <c r="D156" t="n">
        <v>3210</v>
      </c>
      <c r="E156" t="n">
        <v>5615.5</v>
      </c>
      <c r="F156" s="6" t="n">
        <v>0.571632</v>
      </c>
      <c r="G156" t="inlineStr">
        <is>
          <t>SEM GRUPO</t>
        </is>
      </c>
      <c r="H156" t="inlineStr">
        <is>
          <t>SC</t>
        </is>
      </c>
      <c r="I156" t="n">
        <v>4891791849</v>
      </c>
      <c r="J156" t="inlineStr">
        <is>
          <t>Plano de Sell Out</t>
        </is>
      </c>
      <c r="K156" t="inlineStr">
        <is>
          <t>SEM REDE</t>
        </is>
      </c>
      <c r="L156" t="inlineStr">
        <is>
          <t>SC</t>
        </is>
      </c>
      <c r="M156" t="n">
        <v>4891791849</v>
      </c>
      <c r="N156" t="n">
        <v>3210</v>
      </c>
      <c r="O156" t="n">
        <v>467.96</v>
      </c>
      <c r="P156" t="inlineStr">
        <is>
          <t>03 - SUL</t>
        </is>
      </c>
      <c r="Q156" t="inlineStr">
        <is>
          <t>JULIO GADRET</t>
        </is>
      </c>
      <c r="S156" t="inlineStr">
        <is>
          <t>LG REPRESENTACOES LTDA - EPP</t>
        </is>
      </c>
      <c r="T156" t="inlineStr">
        <is>
          <t>ZV - NAO APLICAVEL</t>
        </is>
      </c>
      <c r="V156" t="inlineStr">
        <is>
          <t>top 200</t>
        </is>
      </c>
      <c r="W156" t="inlineStr">
        <is>
          <t>REGIÕES/GRUPOS</t>
        </is>
      </c>
    </row>
    <row r="157" ht="15" customHeight="1">
      <c r="A157" t="n">
        <v>0.571365</v>
      </c>
      <c r="B157" t="inlineStr">
        <is>
          <t>AMARELO</t>
        </is>
      </c>
      <c r="C157" t="n">
        <v>5615.5</v>
      </c>
      <c r="D157" t="n">
        <v>3208.5</v>
      </c>
      <c r="E157" t="n">
        <v>5615.5</v>
      </c>
      <c r="F157" s="6" t="n">
        <v>0.571365</v>
      </c>
      <c r="G157" t="inlineStr">
        <is>
          <t>SEM GRUPO</t>
        </is>
      </c>
      <c r="H157" t="inlineStr">
        <is>
          <t>RS</t>
        </is>
      </c>
      <c r="I157" t="n">
        <v>5199044648</v>
      </c>
      <c r="J157" t="inlineStr">
        <is>
          <t>Plano de Sell Out</t>
        </is>
      </c>
      <c r="K157" t="inlineStr">
        <is>
          <t>SEM REDE</t>
        </is>
      </c>
      <c r="L157" t="inlineStr">
        <is>
          <t>RS</t>
        </is>
      </c>
      <c r="M157" t="n">
        <v>5199044648</v>
      </c>
      <c r="N157" t="n">
        <v>3208.5</v>
      </c>
      <c r="O157" t="n">
        <v>467.96</v>
      </c>
      <c r="P157" t="inlineStr">
        <is>
          <t>03 - SUL</t>
        </is>
      </c>
      <c r="Q157" t="inlineStr">
        <is>
          <t>HEMANUELE DITZEL (MANU)</t>
        </is>
      </c>
      <c r="S157" t="inlineStr">
        <is>
          <t>ZR - NAO APLICAVEL</t>
        </is>
      </c>
      <c r="T157" t="inlineStr">
        <is>
          <t>HEMANUELE ROSA DITZEL</t>
        </is>
      </c>
      <c r="V157" t="inlineStr">
        <is>
          <t>top 200</t>
        </is>
      </c>
      <c r="W157" t="inlineStr">
        <is>
          <t>REGIÕES/GRUPOS</t>
        </is>
      </c>
    </row>
    <row r="158" ht="15" customHeight="1">
      <c r="A158" t="n">
        <v>0.566895</v>
      </c>
      <c r="B158" t="inlineStr">
        <is>
          <t>AMARELO</t>
        </is>
      </c>
      <c r="C158" t="n">
        <v>5615.5</v>
      </c>
      <c r="D158" t="n">
        <v>3183.4</v>
      </c>
      <c r="E158" t="n">
        <v>5615.5</v>
      </c>
      <c r="F158" s="6" t="n">
        <v>0.566895</v>
      </c>
      <c r="G158" t="inlineStr">
        <is>
          <t>SEM GRUPO</t>
        </is>
      </c>
      <c r="H158" t="inlineStr">
        <is>
          <t>SP</t>
        </is>
      </c>
      <c r="I158" t="n">
        <v>139967332</v>
      </c>
      <c r="J158" t="inlineStr">
        <is>
          <t>Plano de Sell Out</t>
        </is>
      </c>
      <c r="K158" t="inlineStr">
        <is>
          <t>SEM REDE</t>
        </is>
      </c>
      <c r="L158" t="inlineStr">
        <is>
          <t>SP</t>
        </is>
      </c>
      <c r="M158" t="n">
        <v>139967332</v>
      </c>
      <c r="N158" t="n">
        <v>3183.4</v>
      </c>
      <c r="O158" t="n">
        <v>467.96</v>
      </c>
      <c r="P158" t="inlineStr">
        <is>
          <t>03 - SP CAPITAL</t>
        </is>
      </c>
      <c r="Q158" t="inlineStr">
        <is>
          <t>LARISSA PADILHA</t>
        </is>
      </c>
      <c r="S158" t="inlineStr">
        <is>
          <t>42.149.466 LARISSA DA SILVA PADILHA - ME</t>
        </is>
      </c>
      <c r="T158" t="inlineStr">
        <is>
          <t>ZV - NAO APLICAVEL</t>
        </is>
      </c>
      <c r="V158" t="inlineStr">
        <is>
          <t>top 200</t>
        </is>
      </c>
      <c r="W158" t="inlineStr">
        <is>
          <t>REGIÕES/GRUPOS</t>
        </is>
      </c>
    </row>
    <row r="159" ht="15" customHeight="1">
      <c r="A159" t="n">
        <v>0.563253</v>
      </c>
      <c r="B159" t="inlineStr">
        <is>
          <t>AMARELO</t>
        </is>
      </c>
      <c r="C159" t="n">
        <v>5615.5</v>
      </c>
      <c r="D159" t="n">
        <v>3162.95</v>
      </c>
      <c r="E159" t="n">
        <v>5615.5</v>
      </c>
      <c r="F159" s="6" t="n">
        <v>0.563253</v>
      </c>
      <c r="G159" t="inlineStr">
        <is>
          <t>SEM GRUPO</t>
        </is>
      </c>
      <c r="H159" t="inlineStr">
        <is>
          <t>GO</t>
        </is>
      </c>
      <c r="I159" t="n">
        <v>62984432869</v>
      </c>
      <c r="J159" t="inlineStr">
        <is>
          <t>Plano de Sell Out</t>
        </is>
      </c>
      <c r="K159" t="inlineStr">
        <is>
          <t>SEM REDE</t>
        </is>
      </c>
      <c r="L159" t="inlineStr">
        <is>
          <t>GO</t>
        </is>
      </c>
      <c r="M159" t="n">
        <v>62984432869</v>
      </c>
      <c r="N159" t="n">
        <v>3162.95</v>
      </c>
      <c r="O159" t="n">
        <v>467.96</v>
      </c>
      <c r="P159" t="inlineStr">
        <is>
          <t>03 - CENTRO OESTE</t>
        </is>
      </c>
      <c r="Q159" t="inlineStr">
        <is>
          <t>LARISSA PADILHA</t>
        </is>
      </c>
      <c r="S159" t="inlineStr">
        <is>
          <t>42.149.466 LARISSA DA SILVA PADILHA - ME</t>
        </is>
      </c>
      <c r="T159" t="inlineStr">
        <is>
          <t>ZV - NAO APLICAVEL</t>
        </is>
      </c>
      <c r="V159" t="inlineStr">
        <is>
          <t>top 200</t>
        </is>
      </c>
      <c r="W159" t="inlineStr">
        <is>
          <t>REGIÕES/GRUPOS</t>
        </is>
      </c>
    </row>
    <row r="160" ht="15" customHeight="1">
      <c r="A160" t="n">
        <v>0.614573</v>
      </c>
      <c r="B160" t="inlineStr">
        <is>
          <t>VERDE</t>
        </is>
      </c>
      <c r="C160" t="n">
        <v>5142.86</v>
      </c>
      <c r="D160" t="n">
        <v>3160.66</v>
      </c>
      <c r="E160" t="n">
        <v>5142.86</v>
      </c>
      <c r="F160" s="6" t="n">
        <v>0.614573</v>
      </c>
      <c r="G160" t="inlineStr">
        <is>
          <t>ESMERALDA</t>
        </is>
      </c>
      <c r="H160" t="inlineStr">
        <is>
          <t>RS</t>
        </is>
      </c>
      <c r="I160" t="n">
        <v>41992329799</v>
      </c>
      <c r="J160" t="inlineStr">
        <is>
          <t>JBP</t>
        </is>
      </c>
      <c r="K160" t="inlineStr">
        <is>
          <t>ESMERALDA</t>
        </is>
      </c>
      <c r="L160" t="inlineStr">
        <is>
          <t>RS</t>
        </is>
      </c>
      <c r="M160" t="n">
        <v>41992329799</v>
      </c>
      <c r="N160" t="n">
        <v>3160.66</v>
      </c>
      <c r="O160" t="n">
        <v>428.57</v>
      </c>
      <c r="P160" t="inlineStr">
        <is>
          <t>03 - SUL</t>
        </is>
      </c>
      <c r="Q160" t="inlineStr">
        <is>
          <t>DAIANE STAVICKI</t>
        </is>
      </c>
      <c r="S160" t="inlineStr">
        <is>
          <t>ZR - NAO APLICAVEL</t>
        </is>
      </c>
      <c r="T160" t="inlineStr">
        <is>
          <t>ZV - NAO APLICAVEL</t>
        </is>
      </c>
      <c r="V160" t="inlineStr">
        <is>
          <t>top 200</t>
        </is>
      </c>
      <c r="W160" t="inlineStr">
        <is>
          <t>REDES E FRANQUIAS</t>
        </is>
      </c>
    </row>
    <row r="161" ht="15" customHeight="1">
      <c r="A161" t="n">
        <v>0.6077129999999999</v>
      </c>
      <c r="B161" t="inlineStr">
        <is>
          <t>VERDE</t>
        </is>
      </c>
      <c r="C161" t="n">
        <v>5142.86</v>
      </c>
      <c r="D161" t="n">
        <v>3125.38</v>
      </c>
      <c r="E161" t="n">
        <v>5142.86</v>
      </c>
      <c r="F161" s="6" t="n">
        <v>0.6077129999999999</v>
      </c>
      <c r="G161" t="inlineStr">
        <is>
          <t>ESMERALDA</t>
        </is>
      </c>
      <c r="H161" t="inlineStr">
        <is>
          <t>PR</t>
        </is>
      </c>
      <c r="I161" t="n">
        <v>41992329799</v>
      </c>
      <c r="J161" t="inlineStr">
        <is>
          <t>JBP</t>
        </is>
      </c>
      <c r="K161" t="inlineStr">
        <is>
          <t>ESMERALDA</t>
        </is>
      </c>
      <c r="L161" t="inlineStr">
        <is>
          <t>PR</t>
        </is>
      </c>
      <c r="M161" t="n">
        <v>41992329799</v>
      </c>
      <c r="N161" t="n">
        <v>3125.38</v>
      </c>
      <c r="O161" t="n">
        <v>428.57</v>
      </c>
      <c r="P161" t="inlineStr">
        <is>
          <t>03 - SUL</t>
        </is>
      </c>
      <c r="Q161" t="inlineStr">
        <is>
          <t>DAIANE STAVICKI</t>
        </is>
      </c>
      <c r="S161" t="inlineStr">
        <is>
          <t>ZR - NAO APLICAVEL</t>
        </is>
      </c>
      <c r="T161" t="inlineStr">
        <is>
          <t>ZV - NAO APLICAVEL</t>
        </is>
      </c>
      <c r="V161" t="inlineStr">
        <is>
          <t>top 200</t>
        </is>
      </c>
      <c r="W161" t="inlineStr">
        <is>
          <t>REDES E FRANQUIAS</t>
        </is>
      </c>
    </row>
    <row r="162" ht="15" customHeight="1">
      <c r="A162" t="n">
        <v>0.496075</v>
      </c>
      <c r="B162" t="inlineStr">
        <is>
          <t>AMARELO</t>
        </is>
      </c>
      <c r="C162" t="n">
        <v>6281.25</v>
      </c>
      <c r="D162" t="n">
        <v>3115.97</v>
      </c>
      <c r="E162" t="n">
        <v>6281.25</v>
      </c>
      <c r="F162" s="6" t="n">
        <v>0.496075</v>
      </c>
      <c r="G162" t="inlineStr">
        <is>
          <t>BIO MUNDO</t>
        </is>
      </c>
      <c r="H162" t="inlineStr">
        <is>
          <t>PE</t>
        </is>
      </c>
      <c r="I162" t="n">
        <v>8132659901</v>
      </c>
      <c r="J162" t="inlineStr">
        <is>
          <t>Plano de Sell Out</t>
        </is>
      </c>
      <c r="K162" t="inlineStr">
        <is>
          <t>BIO MUNDO</t>
        </is>
      </c>
      <c r="L162" t="inlineStr">
        <is>
          <t>PE</t>
        </is>
      </c>
      <c r="M162" t="n">
        <v>8132659901</v>
      </c>
      <c r="N162" t="n">
        <v>3115.97</v>
      </c>
      <c r="O162" t="n">
        <v>523.4400000000001</v>
      </c>
      <c r="P162" t="inlineStr">
        <is>
          <t>03 - NACIONAL</t>
        </is>
      </c>
      <c r="Q162" t="inlineStr">
        <is>
          <t>DAIANE STAVICKI</t>
        </is>
      </c>
      <c r="S162" t="inlineStr">
        <is>
          <t>ZR - NAO APLICAVEL</t>
        </is>
      </c>
      <c r="T162" t="inlineStr">
        <is>
          <t>ZV - NAO APLICAVEL</t>
        </is>
      </c>
      <c r="V162" t="inlineStr">
        <is>
          <t>top 200</t>
        </is>
      </c>
      <c r="W162" t="inlineStr">
        <is>
          <t>REDES E FRANQUIAS</t>
        </is>
      </c>
    </row>
    <row r="163" ht="15" customHeight="1">
      <c r="A163" t="n">
        <v>0.551281</v>
      </c>
      <c r="B163" t="inlineStr">
        <is>
          <t>AMARELO</t>
        </is>
      </c>
      <c r="C163" t="n">
        <v>5615.5</v>
      </c>
      <c r="D163" t="n">
        <v>3095.72</v>
      </c>
      <c r="E163" t="n">
        <v>5615.5</v>
      </c>
      <c r="F163" s="6" t="n">
        <v>0.551281</v>
      </c>
      <c r="G163" t="inlineStr">
        <is>
          <t>SEM GRUPO</t>
        </is>
      </c>
      <c r="H163" t="inlineStr">
        <is>
          <t>SC</t>
        </is>
      </c>
      <c r="I163" t="n">
        <v>47337165984</v>
      </c>
      <c r="J163" t="inlineStr">
        <is>
          <t>Plano de Sell Out</t>
        </is>
      </c>
      <c r="K163" t="inlineStr">
        <is>
          <t>SEM REDE</t>
        </is>
      </c>
      <c r="L163" t="inlineStr">
        <is>
          <t>SC</t>
        </is>
      </c>
      <c r="M163" t="n">
        <v>47337165984</v>
      </c>
      <c r="N163" t="n">
        <v>3095.72</v>
      </c>
      <c r="O163" t="n">
        <v>467.96</v>
      </c>
      <c r="P163" t="inlineStr">
        <is>
          <t>03 - SUL</t>
        </is>
      </c>
      <c r="Q163" t="inlineStr">
        <is>
          <t>HEMANUELE DITZEL (MANU)</t>
        </is>
      </c>
      <c r="S163" t="inlineStr">
        <is>
          <t>ZR - NAO APLICAVEL</t>
        </is>
      </c>
      <c r="T163" t="inlineStr">
        <is>
          <t>HEMANUELE ROSA DITZEL</t>
        </is>
      </c>
      <c r="V163" t="inlineStr">
        <is>
          <t>top 200</t>
        </is>
      </c>
      <c r="W163" t="inlineStr">
        <is>
          <t>REGIÕES/GRUPOS</t>
        </is>
      </c>
    </row>
    <row r="164" ht="15" customHeight="1">
      <c r="A164" t="n">
        <v>0.542858</v>
      </c>
      <c r="B164" t="inlineStr">
        <is>
          <t>AMARELO</t>
        </is>
      </c>
      <c r="C164" t="n">
        <v>5615.5</v>
      </c>
      <c r="D164" t="n">
        <v>3048.42</v>
      </c>
      <c r="E164" t="n">
        <v>5615.5</v>
      </c>
      <c r="F164" s="6" t="n">
        <v>0.542858</v>
      </c>
      <c r="G164" t="inlineStr">
        <is>
          <t>SEM GRUPO</t>
        </is>
      </c>
      <c r="H164" t="inlineStr">
        <is>
          <t>SP</t>
        </is>
      </c>
      <c r="I164" t="n">
        <v>19997925463</v>
      </c>
      <c r="J164" t="inlineStr">
        <is>
          <t>Plano de Sell Out</t>
        </is>
      </c>
      <c r="K164" t="inlineStr">
        <is>
          <t>SEM REDE</t>
        </is>
      </c>
      <c r="L164" t="inlineStr">
        <is>
          <t>SP</t>
        </is>
      </c>
      <c r="M164" t="n">
        <v>19997925463</v>
      </c>
      <c r="N164" t="n">
        <v>3048.42</v>
      </c>
      <c r="O164" t="n">
        <v>467.96</v>
      </c>
      <c r="P164" t="inlineStr">
        <is>
          <t>03 - SP INTERIOR</t>
        </is>
      </c>
      <c r="Q164" t="inlineStr">
        <is>
          <t>LARISSA PADILHA</t>
        </is>
      </c>
      <c r="S164" t="inlineStr">
        <is>
          <t>42.149.466 LARISSA DA SILVA PADILHA - ME</t>
        </is>
      </c>
      <c r="T164" t="inlineStr">
        <is>
          <t>ZV - NAO APLICAVEL</t>
        </is>
      </c>
      <c r="V164" t="inlineStr">
        <is>
          <t>top 200</t>
        </is>
      </c>
      <c r="W164" t="inlineStr">
        <is>
          <t>REGIÕES/GRUPOS</t>
        </is>
      </c>
    </row>
    <row r="165" ht="15" customHeight="1">
      <c r="A165" t="n">
        <v>0.5282520000000001</v>
      </c>
      <c r="B165" t="inlineStr">
        <is>
          <t>AMARELO</t>
        </is>
      </c>
      <c r="C165" t="n">
        <v>5615.5</v>
      </c>
      <c r="D165" t="n">
        <v>2966.4</v>
      </c>
      <c r="E165" t="n">
        <v>5615.5</v>
      </c>
      <c r="F165" s="6" t="n">
        <v>0.5282520000000001</v>
      </c>
      <c r="G165" t="inlineStr">
        <is>
          <t>SEM GRUPO</t>
        </is>
      </c>
      <c r="H165" t="inlineStr">
        <is>
          <t>SP</t>
        </is>
      </c>
      <c r="I165" t="n">
        <v>11958901366</v>
      </c>
      <c r="J165" t="inlineStr">
        <is>
          <t>Plano de Sell Out</t>
        </is>
      </c>
      <c r="K165" t="inlineStr">
        <is>
          <t>SEM REDE</t>
        </is>
      </c>
      <c r="L165" t="inlineStr">
        <is>
          <t>SP</t>
        </is>
      </c>
      <c r="M165" t="n">
        <v>11958901366</v>
      </c>
      <c r="N165" t="n">
        <v>2966.4</v>
      </c>
      <c r="O165" t="n">
        <v>467.96</v>
      </c>
      <c r="P165" t="inlineStr">
        <is>
          <t>03 - SP CAPITAL</t>
        </is>
      </c>
      <c r="Q165" t="inlineStr">
        <is>
          <t>LARISSA PADILHA</t>
        </is>
      </c>
      <c r="S165" t="inlineStr">
        <is>
          <t>42.149.466 LARISSA DA SILVA PADILHA - ME</t>
        </is>
      </c>
      <c r="T165" t="inlineStr">
        <is>
          <t>ZV - NAO APLICAVEL</t>
        </is>
      </c>
      <c r="V165" t="inlineStr">
        <is>
          <t>top 200</t>
        </is>
      </c>
      <c r="W165" t="inlineStr">
        <is>
          <t>REGIÕES/GRUPOS</t>
        </is>
      </c>
    </row>
    <row r="166" ht="15" customHeight="1">
      <c r="A166" t="n">
        <v>0.526403</v>
      </c>
      <c r="B166" t="inlineStr">
        <is>
          <t>AMARELO</t>
        </is>
      </c>
      <c r="C166" t="n">
        <v>5615.5</v>
      </c>
      <c r="D166" t="n">
        <v>2956.02</v>
      </c>
      <c r="E166" t="n">
        <v>5615.5</v>
      </c>
      <c r="F166" s="6" t="n">
        <v>0.526403</v>
      </c>
      <c r="G166" t="inlineStr">
        <is>
          <t>SEM GRUPO</t>
        </is>
      </c>
      <c r="H166" t="inlineStr">
        <is>
          <t>AL</t>
        </is>
      </c>
      <c r="I166" t="n">
        <v>82993177548</v>
      </c>
      <c r="J166" t="inlineStr">
        <is>
          <t>Plano de Sell Out</t>
        </is>
      </c>
      <c r="K166" t="inlineStr">
        <is>
          <t>SEM REDE</t>
        </is>
      </c>
      <c r="L166" t="inlineStr">
        <is>
          <t>AL</t>
        </is>
      </c>
      <c r="M166" t="n">
        <v>82993177548</v>
      </c>
      <c r="N166" t="n">
        <v>2956.02</v>
      </c>
      <c r="O166" t="n">
        <v>467.96</v>
      </c>
      <c r="P166" t="inlineStr">
        <is>
          <t>03 - NORDESTE (SEM MA)</t>
        </is>
      </c>
      <c r="Q166" t="inlineStr">
        <is>
          <t>LARISSA PADILHA</t>
        </is>
      </c>
      <c r="S166" t="inlineStr">
        <is>
          <t>42.149.466 LARISSA DA SILVA PADILHA - ME</t>
        </is>
      </c>
      <c r="T166" t="inlineStr">
        <is>
          <t>ZV - NAO APLICAVEL</t>
        </is>
      </c>
      <c r="V166" t="inlineStr">
        <is>
          <t>top 200</t>
        </is>
      </c>
      <c r="W166" t="inlineStr">
        <is>
          <t>REGIÕES/GRUPOS</t>
        </is>
      </c>
    </row>
    <row r="167" ht="15" customHeight="1">
      <c r="A167" t="n">
        <v>0.523802</v>
      </c>
      <c r="B167" t="inlineStr">
        <is>
          <t>AMARELO</t>
        </is>
      </c>
      <c r="C167" t="n">
        <v>5615.5</v>
      </c>
      <c r="D167" t="n">
        <v>2941.41</v>
      </c>
      <c r="E167" t="n">
        <v>5615.5</v>
      </c>
      <c r="F167" s="6" t="n">
        <v>0.523802</v>
      </c>
      <c r="G167" t="inlineStr">
        <is>
          <t>SEM GRUPO</t>
        </is>
      </c>
      <c r="H167" t="inlineStr">
        <is>
          <t>RS</t>
        </is>
      </c>
      <c r="I167" t="n">
        <v>53991480884</v>
      </c>
      <c r="J167" t="inlineStr">
        <is>
          <t>Plano de Sell Out</t>
        </is>
      </c>
      <c r="K167" t="inlineStr">
        <is>
          <t>SEM REDE</t>
        </is>
      </c>
      <c r="L167" t="inlineStr">
        <is>
          <t>RS</t>
        </is>
      </c>
      <c r="M167" t="n">
        <v>53991480884</v>
      </c>
      <c r="N167" t="n">
        <v>2941.41</v>
      </c>
      <c r="O167" t="n">
        <v>467.96</v>
      </c>
      <c r="P167" t="inlineStr">
        <is>
          <t>03 - SUL</t>
        </is>
      </c>
      <c r="Q167" t="inlineStr">
        <is>
          <t>HEMANUELE DITZEL (MANU)</t>
        </is>
      </c>
      <c r="S167" t="inlineStr">
        <is>
          <t>ZR - NAO APLICAVEL</t>
        </is>
      </c>
      <c r="T167" t="inlineStr">
        <is>
          <t>HEMANUELE ROSA DITZEL</t>
        </is>
      </c>
      <c r="V167" t="inlineStr">
        <is>
          <t>top 200</t>
        </is>
      </c>
      <c r="W167" t="inlineStr">
        <is>
          <t>REGIÕES/GRUPOS</t>
        </is>
      </c>
    </row>
    <row r="168" ht="15" customHeight="1">
      <c r="A168" t="n">
        <v>0.5122100000000001</v>
      </c>
      <c r="B168" t="inlineStr">
        <is>
          <t>AMARELO</t>
        </is>
      </c>
      <c r="C168" t="n">
        <v>5615.5</v>
      </c>
      <c r="D168" t="n">
        <v>2876.32</v>
      </c>
      <c r="E168" t="n">
        <v>5615.5</v>
      </c>
      <c r="F168" s="6" t="n">
        <v>0.5122100000000001</v>
      </c>
      <c r="G168" t="inlineStr">
        <is>
          <t>SEM GRUPO</t>
        </is>
      </c>
      <c r="H168" t="inlineStr">
        <is>
          <t>SP</t>
        </is>
      </c>
      <c r="I168" t="n">
        <v>16997395135</v>
      </c>
      <c r="J168" t="inlineStr">
        <is>
          <t>Plano de Sell Out</t>
        </is>
      </c>
      <c r="K168" t="inlineStr">
        <is>
          <t>SEM REDE</t>
        </is>
      </c>
      <c r="L168" t="inlineStr">
        <is>
          <t>SP</t>
        </is>
      </c>
      <c r="M168" t="n">
        <v>16997395135</v>
      </c>
      <c r="N168" t="n">
        <v>2876.32</v>
      </c>
      <c r="O168" t="n">
        <v>467.96</v>
      </c>
      <c r="P168" t="inlineStr">
        <is>
          <t>03 - SP INTERIOR</t>
        </is>
      </c>
      <c r="Q168" t="inlineStr">
        <is>
          <t>LARISSA PADILHA</t>
        </is>
      </c>
      <c r="S168" t="inlineStr">
        <is>
          <t>ZR - NAO APLICAVEL</t>
        </is>
      </c>
      <c r="T168" t="inlineStr">
        <is>
          <t>ZV - NAO APLICAVEL</t>
        </is>
      </c>
      <c r="V168" t="inlineStr">
        <is>
          <t>top 200</t>
        </is>
      </c>
      <c r="W168" t="inlineStr">
        <is>
          <t>REGIÕES/GRUPOS</t>
        </is>
      </c>
    </row>
    <row r="169" ht="15" customHeight="1">
      <c r="A169" t="n">
        <v>0.265808</v>
      </c>
      <c r="B169" t="inlineStr">
        <is>
          <t>VERMELHO</t>
        </is>
      </c>
      <c r="C169" t="n">
        <v>10706.9</v>
      </c>
      <c r="D169" t="n">
        <v>2845.98</v>
      </c>
      <c r="E169" t="n">
        <v>10706.9</v>
      </c>
      <c r="F169" s="6" t="n">
        <v>0.265808</v>
      </c>
      <c r="G169" t="inlineStr">
        <is>
          <t>FITLAND</t>
        </is>
      </c>
      <c r="H169" t="inlineStr">
        <is>
          <t>SC</t>
        </is>
      </c>
      <c r="I169" t="n">
        <v>4791232956</v>
      </c>
      <c r="J169" t="inlineStr">
        <is>
          <t>Plano de Negócio</t>
        </is>
      </c>
      <c r="K169" t="inlineStr">
        <is>
          <t>FITLAND</t>
        </is>
      </c>
      <c r="L169" t="inlineStr">
        <is>
          <t>SC</t>
        </is>
      </c>
      <c r="M169" t="n">
        <v>4791232956</v>
      </c>
      <c r="N169" t="n">
        <v>2845.98</v>
      </c>
      <c r="O169" t="n">
        <v>892.24</v>
      </c>
      <c r="P169" t="inlineStr">
        <is>
          <t>03 - NACIONAL</t>
        </is>
      </c>
      <c r="Q169" t="inlineStr">
        <is>
          <t>JULIO GADRET</t>
        </is>
      </c>
      <c r="S169" t="inlineStr">
        <is>
          <t>ZR - NAO APLICAVEL</t>
        </is>
      </c>
      <c r="T169" t="inlineStr">
        <is>
          <t>ZV - NAO APLICAVEL</t>
        </is>
      </c>
      <c r="V169" t="inlineStr">
        <is>
          <t>top 200</t>
        </is>
      </c>
      <c r="W169" t="inlineStr">
        <is>
          <t>REDES E FRANQUIAS</t>
        </is>
      </c>
    </row>
    <row r="170" ht="15" customHeight="1">
      <c r="A170" t="n">
        <v>0.50596</v>
      </c>
      <c r="B170" t="inlineStr">
        <is>
          <t>AMARELO</t>
        </is>
      </c>
      <c r="C170" t="n">
        <v>5615.5</v>
      </c>
      <c r="D170" t="n">
        <v>2841.22</v>
      </c>
      <c r="E170" t="n">
        <v>5615.5</v>
      </c>
      <c r="F170" s="6" t="n">
        <v>0.50596</v>
      </c>
      <c r="G170" t="inlineStr">
        <is>
          <t>SEM GRUPO</t>
        </is>
      </c>
      <c r="H170" t="inlineStr">
        <is>
          <t>RJ</t>
        </is>
      </c>
      <c r="I170" t="n">
        <v>21965142281</v>
      </c>
      <c r="J170" t="inlineStr">
        <is>
          <t>Plano de Sell Out</t>
        </is>
      </c>
      <c r="K170" t="inlineStr">
        <is>
          <t>SEM REDE</t>
        </is>
      </c>
      <c r="L170" t="inlineStr">
        <is>
          <t>RJ</t>
        </is>
      </c>
      <c r="M170" t="n">
        <v>21965142281</v>
      </c>
      <c r="N170" t="n">
        <v>2841.22</v>
      </c>
      <c r="O170" t="n">
        <v>467.96</v>
      </c>
      <c r="P170" t="inlineStr">
        <is>
          <t>03 - RJ + ES + MG</t>
        </is>
      </c>
      <c r="Q170" t="inlineStr">
        <is>
          <t>LARISSA PADILHA</t>
        </is>
      </c>
      <c r="S170" t="inlineStr">
        <is>
          <t>42.149.466 LARISSA DA SILVA PADILHA - ME</t>
        </is>
      </c>
      <c r="T170" t="inlineStr">
        <is>
          <t>ZV - NAO APLICAVEL</t>
        </is>
      </c>
      <c r="V170" t="inlineStr">
        <is>
          <t>top 200</t>
        </is>
      </c>
      <c r="W170" t="inlineStr">
        <is>
          <t>REGIÕES/GRUPOS</t>
        </is>
      </c>
    </row>
    <row r="171" ht="15" customHeight="1">
      <c r="A171" t="n">
        <v>0.50593</v>
      </c>
      <c r="B171" t="inlineStr">
        <is>
          <t>AMARELO</t>
        </is>
      </c>
      <c r="C171" t="n">
        <v>5615.5</v>
      </c>
      <c r="D171" t="n">
        <v>2841.05</v>
      </c>
      <c r="E171" t="n">
        <v>5615.5</v>
      </c>
      <c r="F171" s="6" t="n">
        <v>0.50593</v>
      </c>
      <c r="G171" t="inlineStr">
        <is>
          <t>SEM GRUPO</t>
        </is>
      </c>
      <c r="H171" t="inlineStr">
        <is>
          <t>SP</t>
        </is>
      </c>
      <c r="I171" t="n">
        <v>17992275775</v>
      </c>
      <c r="J171" t="inlineStr">
        <is>
          <t>Plano de Sell Out</t>
        </is>
      </c>
      <c r="K171" t="inlineStr">
        <is>
          <t>SEM REDE</t>
        </is>
      </c>
      <c r="L171" t="inlineStr">
        <is>
          <t>SP</t>
        </is>
      </c>
      <c r="M171" t="n">
        <v>17992275775</v>
      </c>
      <c r="N171" t="n">
        <v>2841.05</v>
      </c>
      <c r="O171" t="n">
        <v>467.96</v>
      </c>
      <c r="P171" t="inlineStr">
        <is>
          <t>03 - SP INTERIOR</t>
        </is>
      </c>
      <c r="Q171" t="inlineStr">
        <is>
          <t>LARISSA PADILHA</t>
        </is>
      </c>
      <c r="S171" t="inlineStr">
        <is>
          <t>42.149.466 LARISSA DA SILVA PADILHA - ME</t>
        </is>
      </c>
      <c r="T171" t="inlineStr">
        <is>
          <t>ZV - NAO APLICAVEL</t>
        </is>
      </c>
      <c r="V171" t="inlineStr">
        <is>
          <t>top 200</t>
        </is>
      </c>
      <c r="W171" t="inlineStr">
        <is>
          <t>REGIÕES/GRUPOS</t>
        </is>
      </c>
    </row>
    <row r="172" ht="15" customHeight="1">
      <c r="A172" t="n">
        <v>0.5039439999999999</v>
      </c>
      <c r="B172" t="inlineStr">
        <is>
          <t>AMARELO</t>
        </is>
      </c>
      <c r="C172" t="n">
        <v>5615.5</v>
      </c>
      <c r="D172" t="n">
        <v>2829.9</v>
      </c>
      <c r="E172" t="n">
        <v>5615.5</v>
      </c>
      <c r="F172" s="6" t="n">
        <v>0.5039439999999999</v>
      </c>
      <c r="G172" t="inlineStr">
        <is>
          <t>SEM GRUPO</t>
        </is>
      </c>
      <c r="H172" t="inlineStr">
        <is>
          <t>PR</t>
        </is>
      </c>
      <c r="I172" t="n">
        <v>41988205031</v>
      </c>
      <c r="J172" t="inlineStr">
        <is>
          <t>Plano de Sell Out</t>
        </is>
      </c>
      <c r="K172" t="inlineStr">
        <is>
          <t>SEM REDE</t>
        </is>
      </c>
      <c r="L172" t="inlineStr">
        <is>
          <t>PR</t>
        </is>
      </c>
      <c r="M172" t="n">
        <v>41988205031</v>
      </c>
      <c r="N172" t="n">
        <v>2829.9</v>
      </c>
      <c r="O172" t="n">
        <v>467.96</v>
      </c>
      <c r="P172" t="inlineStr">
        <is>
          <t>03 - SUL</t>
        </is>
      </c>
      <c r="Q172" t="inlineStr">
        <is>
          <t>HEMANUELE DITZEL (MANU)</t>
        </is>
      </c>
      <c r="S172" t="inlineStr">
        <is>
          <t>ZR - NAO APLICAVEL</t>
        </is>
      </c>
      <c r="T172" t="inlineStr">
        <is>
          <t>HEMANUELE ROSA DITZEL</t>
        </is>
      </c>
      <c r="V172" t="inlineStr">
        <is>
          <t>top 200</t>
        </is>
      </c>
      <c r="W172" t="inlineStr">
        <is>
          <t>REGIÕES/GRUPOS</t>
        </is>
      </c>
    </row>
    <row r="173" ht="15" customHeight="1">
      <c r="A173" t="n">
        <v>0.276289</v>
      </c>
      <c r="B173" t="inlineStr">
        <is>
          <t>VERMELHO</t>
        </is>
      </c>
      <c r="C173" t="n">
        <v>10200</v>
      </c>
      <c r="D173" t="n">
        <v>2818.15</v>
      </c>
      <c r="E173" t="n">
        <v>10200</v>
      </c>
      <c r="F173" s="6" t="n">
        <v>0.276289</v>
      </c>
      <c r="G173" t="inlineStr">
        <is>
          <t>VIDA LEVE</t>
        </is>
      </c>
      <c r="H173" t="inlineStr">
        <is>
          <t>RS</t>
        </is>
      </c>
      <c r="I173" t="n">
        <v>51981272028</v>
      </c>
      <c r="J173" t="inlineStr">
        <is>
          <t>Plano de Negócio</t>
        </is>
      </c>
      <c r="K173" t="inlineStr">
        <is>
          <t>VIDA LEVE</t>
        </is>
      </c>
      <c r="L173" t="inlineStr">
        <is>
          <t>RS</t>
        </is>
      </c>
      <c r="M173" t="n">
        <v>51981272028</v>
      </c>
      <c r="N173" t="n">
        <v>2818.15</v>
      </c>
      <c r="O173" t="n">
        <v>850</v>
      </c>
      <c r="P173" t="inlineStr">
        <is>
          <t>03 - NACIONAL</t>
        </is>
      </c>
      <c r="Q173" t="inlineStr">
        <is>
          <t>HEMANUELE DITZEL (MANU)</t>
        </is>
      </c>
      <c r="S173" t="inlineStr">
        <is>
          <t>ZR - NAO APLICAVEL</t>
        </is>
      </c>
      <c r="T173" t="inlineStr">
        <is>
          <t>HEMANUELE ROSA DITZEL</t>
        </is>
      </c>
      <c r="V173" t="inlineStr">
        <is>
          <t>top 200</t>
        </is>
      </c>
      <c r="W173" t="inlineStr">
        <is>
          <t>REDES E FRANQUIAS</t>
        </is>
      </c>
    </row>
    <row r="174" ht="15" customHeight="1">
      <c r="A174" t="n">
        <v>0.26225</v>
      </c>
      <c r="B174" t="inlineStr">
        <is>
          <t>VERMELHO</t>
        </is>
      </c>
      <c r="C174" t="n">
        <v>10706.9</v>
      </c>
      <c r="D174" t="n">
        <v>2807.88</v>
      </c>
      <c r="E174" t="n">
        <v>10706.9</v>
      </c>
      <c r="F174" s="6" t="n">
        <v>0.26225</v>
      </c>
      <c r="G174" t="inlineStr">
        <is>
          <t>FITLAND</t>
        </is>
      </c>
      <c r="H174" t="inlineStr">
        <is>
          <t>SC</t>
        </is>
      </c>
      <c r="I174" t="n">
        <v>48992101077</v>
      </c>
      <c r="J174" t="inlineStr">
        <is>
          <t>Plano de Negócio</t>
        </is>
      </c>
      <c r="K174" t="inlineStr">
        <is>
          <t>FITLAND</t>
        </is>
      </c>
      <c r="L174" t="inlineStr">
        <is>
          <t>SC</t>
        </is>
      </c>
      <c r="M174" t="n">
        <v>48992101077</v>
      </c>
      <c r="N174" t="n">
        <v>2807.88</v>
      </c>
      <c r="O174" t="n">
        <v>892.24</v>
      </c>
      <c r="P174" t="inlineStr">
        <is>
          <t>03 - NACIONAL</t>
        </is>
      </c>
      <c r="Q174" t="inlineStr">
        <is>
          <t>JULIO GADRET</t>
        </is>
      </c>
      <c r="S174" t="inlineStr">
        <is>
          <t>ZR - NAO APLICAVEL</t>
        </is>
      </c>
      <c r="T174" t="inlineStr">
        <is>
          <t>ZV - NAO APLICAVEL</t>
        </is>
      </c>
      <c r="V174" t="inlineStr">
        <is>
          <t>top 200</t>
        </is>
      </c>
      <c r="W174" t="inlineStr">
        <is>
          <t>REDES E FRANQUIAS</t>
        </is>
      </c>
    </row>
    <row r="175" ht="15" customHeight="1">
      <c r="A175" t="n">
        <v>0.49951</v>
      </c>
      <c r="B175" t="inlineStr">
        <is>
          <t>AMARELO</t>
        </is>
      </c>
      <c r="C175" t="n">
        <v>5615.5</v>
      </c>
      <c r="D175" t="n">
        <v>2805</v>
      </c>
      <c r="E175" t="n">
        <v>5615.5</v>
      </c>
      <c r="F175" s="6" t="n">
        <v>0.49951</v>
      </c>
      <c r="G175" t="inlineStr">
        <is>
          <t>SEM GRUPO</t>
        </is>
      </c>
      <c r="H175" t="inlineStr">
        <is>
          <t>BA</t>
        </is>
      </c>
      <c r="I175" t="n">
        <v>75981451013</v>
      </c>
      <c r="J175" t="inlineStr">
        <is>
          <t>Plano de Sell Out</t>
        </is>
      </c>
      <c r="K175" t="inlineStr">
        <is>
          <t>SEM REDE</t>
        </is>
      </c>
      <c r="L175" t="inlineStr">
        <is>
          <t>BA</t>
        </is>
      </c>
      <c r="M175" t="n">
        <v>75981451013</v>
      </c>
      <c r="N175" t="n">
        <v>2805</v>
      </c>
      <c r="O175" t="n">
        <v>467.96</v>
      </c>
      <c r="P175" t="inlineStr">
        <is>
          <t>03 - NORDESTE (SEM MA)</t>
        </is>
      </c>
      <c r="Q175" t="inlineStr">
        <is>
          <t>LARISSA PADILHA</t>
        </is>
      </c>
      <c r="S175" t="inlineStr">
        <is>
          <t>42.149.466 LARISSA DA SILVA PADILHA - ME</t>
        </is>
      </c>
      <c r="T175" t="inlineStr">
        <is>
          <t>ZV - NAO APLICAVEL</t>
        </is>
      </c>
      <c r="V175" t="inlineStr">
        <is>
          <t>top 200</t>
        </is>
      </c>
      <c r="W175" t="inlineStr">
        <is>
          <t>REGIÕES/GRUPOS</t>
        </is>
      </c>
    </row>
    <row r="176" ht="15" customHeight="1">
      <c r="A176" t="n">
        <v>0.490472</v>
      </c>
      <c r="B176" t="inlineStr">
        <is>
          <t>AMARELO</t>
        </is>
      </c>
      <c r="C176" t="n">
        <v>5615.5</v>
      </c>
      <c r="D176" t="n">
        <v>2754.25</v>
      </c>
      <c r="E176" t="n">
        <v>5615.5</v>
      </c>
      <c r="F176" s="6" t="n">
        <v>0.490472</v>
      </c>
      <c r="G176" t="inlineStr">
        <is>
          <t>SEM GRUPO</t>
        </is>
      </c>
      <c r="H176" t="inlineStr">
        <is>
          <t>RJ</t>
        </is>
      </c>
      <c r="I176" t="n">
        <v>2433672385</v>
      </c>
      <c r="J176" t="inlineStr">
        <is>
          <t>Plano de Sell Out</t>
        </is>
      </c>
      <c r="K176" t="inlineStr">
        <is>
          <t>SEM REDE</t>
        </is>
      </c>
      <c r="L176" t="inlineStr">
        <is>
          <t>RJ</t>
        </is>
      </c>
      <c r="M176" t="n">
        <v>2433672385</v>
      </c>
      <c r="N176" t="n">
        <v>2754.25</v>
      </c>
      <c r="O176" t="n">
        <v>467.96</v>
      </c>
      <c r="P176" t="inlineStr">
        <is>
          <t>03 - RJ + ES + MG</t>
        </is>
      </c>
      <c r="Q176" t="inlineStr">
        <is>
          <t>LARISSA PADILHA</t>
        </is>
      </c>
      <c r="S176" t="inlineStr">
        <is>
          <t>42.149.466 LARISSA DA SILVA PADILHA - ME</t>
        </is>
      </c>
      <c r="T176" t="inlineStr">
        <is>
          <t>ZV - NAO APLICAVEL</t>
        </is>
      </c>
      <c r="V176" t="inlineStr">
        <is>
          <t>top 200</t>
        </is>
      </c>
      <c r="W176" t="inlineStr">
        <is>
          <t>REGIÕES/GRUPOS</t>
        </is>
      </c>
    </row>
    <row r="177" ht="15" customHeight="1">
      <c r="A177" t="n">
        <v>0.489254</v>
      </c>
      <c r="B177" t="inlineStr">
        <is>
          <t>AMARELO</t>
        </is>
      </c>
      <c r="C177" t="n">
        <v>5615.5</v>
      </c>
      <c r="D177" t="n">
        <v>2747.41</v>
      </c>
      <c r="E177" t="n">
        <v>5615.5</v>
      </c>
      <c r="F177" s="6" t="n">
        <v>0.489254</v>
      </c>
      <c r="G177" t="inlineStr">
        <is>
          <t>SEM GRUPO</t>
        </is>
      </c>
      <c r="H177" t="inlineStr">
        <is>
          <t>RN</t>
        </is>
      </c>
      <c r="I177" t="n">
        <v>84988880400</v>
      </c>
      <c r="J177" t="inlineStr">
        <is>
          <t>Plano de Sell Out</t>
        </is>
      </c>
      <c r="K177" t="inlineStr">
        <is>
          <t>SEM REDE</t>
        </is>
      </c>
      <c r="L177" t="inlineStr">
        <is>
          <t>RN</t>
        </is>
      </c>
      <c r="M177" t="n">
        <v>84988880400</v>
      </c>
      <c r="N177" t="n">
        <v>2747.41</v>
      </c>
      <c r="O177" t="n">
        <v>467.96</v>
      </c>
      <c r="P177" t="inlineStr">
        <is>
          <t>03 - NORDESTE (SEM MA)</t>
        </is>
      </c>
      <c r="Q177" t="inlineStr">
        <is>
          <t>LARISSA PADILHA</t>
        </is>
      </c>
      <c r="S177" t="inlineStr">
        <is>
          <t>42.149.466 LARISSA DA SILVA PADILHA - ME</t>
        </is>
      </c>
      <c r="T177" t="inlineStr">
        <is>
          <t>ZV - NAO APLICAVEL</t>
        </is>
      </c>
      <c r="V177" t="inlineStr">
        <is>
          <t>top 200</t>
        </is>
      </c>
      <c r="W177" t="inlineStr">
        <is>
          <t>REGIÕES/GRUPOS</t>
        </is>
      </c>
    </row>
    <row r="178" ht="15" customHeight="1">
      <c r="A178" t="n">
        <v>0.48469</v>
      </c>
      <c r="B178" t="inlineStr">
        <is>
          <t>AMARELO</t>
        </is>
      </c>
      <c r="C178" t="n">
        <v>5615.5</v>
      </c>
      <c r="D178" t="n">
        <v>2721.78</v>
      </c>
      <c r="E178" t="n">
        <v>5615.5</v>
      </c>
      <c r="F178" s="6" t="n">
        <v>0.48469</v>
      </c>
      <c r="G178" t="inlineStr">
        <is>
          <t>SEM GRUPO</t>
        </is>
      </c>
      <c r="H178" t="inlineStr">
        <is>
          <t>SP</t>
        </is>
      </c>
      <c r="I178" t="n">
        <v>18998127959</v>
      </c>
      <c r="J178" t="inlineStr">
        <is>
          <t>Plano de Sell Out</t>
        </is>
      </c>
      <c r="K178" t="inlineStr">
        <is>
          <t>SEM REDE</t>
        </is>
      </c>
      <c r="L178" t="inlineStr">
        <is>
          <t>SP</t>
        </is>
      </c>
      <c r="M178" t="n">
        <v>18998127959</v>
      </c>
      <c r="N178" t="n">
        <v>2721.78</v>
      </c>
      <c r="O178" t="n">
        <v>467.96</v>
      </c>
      <c r="P178" t="inlineStr">
        <is>
          <t>03 - SP INTERIOR</t>
        </is>
      </c>
      <c r="Q178" t="inlineStr">
        <is>
          <t>LARISSA PADILHA</t>
        </is>
      </c>
      <c r="S178" t="inlineStr">
        <is>
          <t>42.149.466 LARISSA DA SILVA PADILHA - ME</t>
        </is>
      </c>
      <c r="T178" t="inlineStr">
        <is>
          <t>ZV - NAO APLICAVEL</t>
        </is>
      </c>
      <c r="V178" t="inlineStr">
        <is>
          <t>top 200</t>
        </is>
      </c>
      <c r="W178" t="inlineStr">
        <is>
          <t>REGIÕES/GRUPOS</t>
        </is>
      </c>
    </row>
    <row r="179" ht="15" customHeight="1">
      <c r="A179" t="n">
        <v>0.483727</v>
      </c>
      <c r="B179" t="inlineStr">
        <is>
          <t>AMARELO</t>
        </is>
      </c>
      <c r="C179" t="n">
        <v>5615.5</v>
      </c>
      <c r="D179" t="n">
        <v>2716.37</v>
      </c>
      <c r="E179" t="n">
        <v>5615.5</v>
      </c>
      <c r="F179" s="6" t="n">
        <v>0.483727</v>
      </c>
      <c r="G179" t="inlineStr">
        <is>
          <t>SEM GRUPO</t>
        </is>
      </c>
      <c r="H179" t="inlineStr">
        <is>
          <t>GO</t>
        </is>
      </c>
      <c r="I179" t="n">
        <v>6233573862</v>
      </c>
      <c r="J179" t="inlineStr">
        <is>
          <t>Plano de Sell Out</t>
        </is>
      </c>
      <c r="K179" t="inlineStr">
        <is>
          <t>SEM REDE</t>
        </is>
      </c>
      <c r="L179" t="inlineStr">
        <is>
          <t>GO</t>
        </is>
      </c>
      <c r="M179" t="n">
        <v>6233573862</v>
      </c>
      <c r="N179" t="n">
        <v>2716.37</v>
      </c>
      <c r="O179" t="n">
        <v>467.96</v>
      </c>
      <c r="P179" t="inlineStr">
        <is>
          <t>03 - CENTRO OESTE</t>
        </is>
      </c>
      <c r="Q179" t="inlineStr">
        <is>
          <t>LARISSA PADILHA</t>
        </is>
      </c>
      <c r="S179" t="inlineStr">
        <is>
          <t>42.149.466 LARISSA DA SILVA PADILHA - ME</t>
        </is>
      </c>
      <c r="T179" t="inlineStr">
        <is>
          <t>ZV - NAO APLICAVEL</t>
        </is>
      </c>
      <c r="V179" t="inlineStr">
        <is>
          <t>top 200</t>
        </is>
      </c>
      <c r="W179" t="inlineStr">
        <is>
          <t>REGIÕES/GRUPOS</t>
        </is>
      </c>
    </row>
    <row r="180" ht="15" customHeight="1">
      <c r="A180" t="n">
        <v>0.483483</v>
      </c>
      <c r="B180" t="inlineStr">
        <is>
          <t>AMARELO</t>
        </is>
      </c>
      <c r="C180" t="n">
        <v>5615.5</v>
      </c>
      <c r="D180" t="n">
        <v>2715</v>
      </c>
      <c r="E180" t="n">
        <v>5615.5</v>
      </c>
      <c r="F180" s="6" t="n">
        <v>0.483483</v>
      </c>
      <c r="G180" t="inlineStr">
        <is>
          <t>SEM GRUPO</t>
        </is>
      </c>
      <c r="H180" t="inlineStr">
        <is>
          <t>PE</t>
        </is>
      </c>
      <c r="I180" t="n">
        <v>8737625659</v>
      </c>
      <c r="J180" t="inlineStr">
        <is>
          <t>Plano de Sell Out</t>
        </is>
      </c>
      <c r="K180" t="inlineStr">
        <is>
          <t>SEM REDE</t>
        </is>
      </c>
      <c r="L180" t="inlineStr">
        <is>
          <t>PE</t>
        </is>
      </c>
      <c r="M180" t="n">
        <v>8737625659</v>
      </c>
      <c r="N180" t="n">
        <v>2715</v>
      </c>
      <c r="O180" t="n">
        <v>467.96</v>
      </c>
      <c r="P180" t="inlineStr">
        <is>
          <t>03 - NORDESTE (SEM MA)</t>
        </is>
      </c>
      <c r="Q180" t="inlineStr">
        <is>
          <t>LARISSA PADILHA</t>
        </is>
      </c>
      <c r="S180" t="inlineStr">
        <is>
          <t>42.149.466 LARISSA DA SILVA PADILHA - ME</t>
        </is>
      </c>
      <c r="T180" t="inlineStr">
        <is>
          <t>ZV - NAO APLICAVEL</t>
        </is>
      </c>
      <c r="V180" t="inlineStr">
        <is>
          <t>top 200</t>
        </is>
      </c>
      <c r="W180" t="inlineStr">
        <is>
          <t>REGIÕES/GRUPOS</t>
        </is>
      </c>
    </row>
    <row r="181" ht="15" customHeight="1">
      <c r="A181" t="n">
        <v>0.250148</v>
      </c>
      <c r="B181" t="inlineStr">
        <is>
          <t>VERMELHO</t>
        </is>
      </c>
      <c r="C181" t="n">
        <v>10706.9</v>
      </c>
      <c r="D181" t="n">
        <v>2678.31</v>
      </c>
      <c r="E181" t="n">
        <v>10706.9</v>
      </c>
      <c r="F181" s="6" t="n">
        <v>0.250148</v>
      </c>
      <c r="G181" t="inlineStr">
        <is>
          <t>FITLAND</t>
        </is>
      </c>
      <c r="H181" t="inlineStr">
        <is>
          <t>SC</t>
        </is>
      </c>
      <c r="I181" t="n">
        <v>4796102611</v>
      </c>
      <c r="J181" t="inlineStr">
        <is>
          <t>Plano de Negócio</t>
        </is>
      </c>
      <c r="K181" t="inlineStr">
        <is>
          <t>FITLAND</t>
        </is>
      </c>
      <c r="L181" t="inlineStr">
        <is>
          <t>SC</t>
        </is>
      </c>
      <c r="M181" t="n">
        <v>4796102611</v>
      </c>
      <c r="N181" t="n">
        <v>2678.31</v>
      </c>
      <c r="O181" t="n">
        <v>892.24</v>
      </c>
      <c r="P181" t="inlineStr">
        <is>
          <t>03 - NACIONAL</t>
        </is>
      </c>
      <c r="Q181" t="inlineStr">
        <is>
          <t>JULIO GADRET</t>
        </is>
      </c>
      <c r="S181" t="inlineStr">
        <is>
          <t>LG REPRESENTACOES LTDA - EPP</t>
        </is>
      </c>
      <c r="T181" t="inlineStr">
        <is>
          <t>ZV - NAO APLICAVEL</t>
        </is>
      </c>
      <c r="V181" t="inlineStr">
        <is>
          <t>top 200</t>
        </is>
      </c>
      <c r="W181" t="inlineStr">
        <is>
          <t>REDES E FRANQUIAS</t>
        </is>
      </c>
    </row>
    <row r="182" ht="15" customHeight="1">
      <c r="A182" t="n">
        <v>0.473653</v>
      </c>
      <c r="B182" t="inlineStr">
        <is>
          <t>AMARELO</t>
        </is>
      </c>
      <c r="C182" t="n">
        <v>5615.5</v>
      </c>
      <c r="D182" t="n">
        <v>2659.8</v>
      </c>
      <c r="E182" t="n">
        <v>5615.5</v>
      </c>
      <c r="F182" s="6" t="n">
        <v>0.473653</v>
      </c>
      <c r="G182" t="inlineStr">
        <is>
          <t>SEM GRUPO</t>
        </is>
      </c>
      <c r="H182" t="inlineStr">
        <is>
          <t>PR</t>
        </is>
      </c>
      <c r="I182" t="n">
        <v>41991714752</v>
      </c>
      <c r="J182" t="inlineStr">
        <is>
          <t>Plano de Sell Out</t>
        </is>
      </c>
      <c r="K182" t="inlineStr">
        <is>
          <t>SEM REDE</t>
        </is>
      </c>
      <c r="L182" t="inlineStr">
        <is>
          <t>PR</t>
        </is>
      </c>
      <c r="M182" t="n">
        <v>41991714752</v>
      </c>
      <c r="N182" t="n">
        <v>2659.8</v>
      </c>
      <c r="O182" t="n">
        <v>467.96</v>
      </c>
      <c r="P182" t="inlineStr">
        <is>
          <t>03 - SUL</t>
        </is>
      </c>
      <c r="Q182" t="inlineStr">
        <is>
          <t>HEMANUELE DITZEL (MANU)</t>
        </is>
      </c>
      <c r="S182" t="inlineStr">
        <is>
          <t>ZR - NAO APLICAVEL</t>
        </is>
      </c>
      <c r="T182" t="inlineStr">
        <is>
          <t>HEMANUELE ROSA DITZEL</t>
        </is>
      </c>
      <c r="V182" t="inlineStr">
        <is>
          <t>top 200</t>
        </is>
      </c>
      <c r="W182" t="inlineStr">
        <is>
          <t>REGIÕES/GRUPOS</t>
        </is>
      </c>
    </row>
    <row r="183" ht="15" customHeight="1">
      <c r="A183" t="n">
        <v>0.471398</v>
      </c>
      <c r="B183" t="inlineStr">
        <is>
          <t>AMARELO</t>
        </is>
      </c>
      <c r="C183" t="n">
        <v>5615.5</v>
      </c>
      <c r="D183" t="n">
        <v>2647.14</v>
      </c>
      <c r="E183" t="n">
        <v>5615.5</v>
      </c>
      <c r="F183" s="6" t="n">
        <v>0.471398</v>
      </c>
      <c r="G183" t="inlineStr">
        <is>
          <t>SEM GRUPO</t>
        </is>
      </c>
      <c r="H183" t="inlineStr">
        <is>
          <t>SP</t>
        </is>
      </c>
      <c r="I183" t="n">
        <v>17996183126</v>
      </c>
      <c r="J183" t="inlineStr">
        <is>
          <t>Plano de Sell Out</t>
        </is>
      </c>
      <c r="K183" t="inlineStr">
        <is>
          <t>SEM REDE</t>
        </is>
      </c>
      <c r="L183" t="inlineStr">
        <is>
          <t>SP</t>
        </is>
      </c>
      <c r="M183" t="n">
        <v>17996183126</v>
      </c>
      <c r="N183" t="n">
        <v>2647.14</v>
      </c>
      <c r="O183" t="n">
        <v>467.96</v>
      </c>
      <c r="P183" t="inlineStr">
        <is>
          <t>03 - SP INTERIOR</t>
        </is>
      </c>
      <c r="Q183" t="inlineStr">
        <is>
          <t>LARISSA PADILHA</t>
        </is>
      </c>
      <c r="S183" t="inlineStr">
        <is>
          <t>42.149.466 LARISSA DA SILVA PADILHA - ME</t>
        </is>
      </c>
      <c r="T183" t="inlineStr">
        <is>
          <t>ZV - NAO APLICAVEL</t>
        </is>
      </c>
      <c r="V183" t="inlineStr">
        <is>
          <t>top 200</t>
        </is>
      </c>
      <c r="W183" t="inlineStr">
        <is>
          <t>REGIÕES/GRUPOS</t>
        </is>
      </c>
    </row>
    <row r="184" ht="15" customHeight="1">
      <c r="A184" t="n">
        <v>0.471222</v>
      </c>
      <c r="B184" t="inlineStr">
        <is>
          <t>AMARELO</t>
        </is>
      </c>
      <c r="C184" t="n">
        <v>5615.5</v>
      </c>
      <c r="D184" t="n">
        <v>2646.15</v>
      </c>
      <c r="E184" t="n">
        <v>5615.5</v>
      </c>
      <c r="F184" s="6" t="n">
        <v>0.471222</v>
      </c>
      <c r="G184" t="inlineStr">
        <is>
          <t>SEM GRUPO</t>
        </is>
      </c>
      <c r="H184" t="inlineStr">
        <is>
          <t>SP</t>
        </is>
      </c>
      <c r="I184" t="n">
        <v>1532571511</v>
      </c>
      <c r="J184" t="inlineStr">
        <is>
          <t>Plano de Sell Out</t>
        </is>
      </c>
      <c r="K184" t="inlineStr">
        <is>
          <t>SEM REDE</t>
        </is>
      </c>
      <c r="L184" t="inlineStr">
        <is>
          <t>SP</t>
        </is>
      </c>
      <c r="M184" t="n">
        <v>1532571511</v>
      </c>
      <c r="N184" t="n">
        <v>2646.15</v>
      </c>
      <c r="O184" t="n">
        <v>467.96</v>
      </c>
      <c r="P184" t="inlineStr">
        <is>
          <t>03 - SP INTERIOR</t>
        </is>
      </c>
      <c r="Q184" t="inlineStr">
        <is>
          <t>LARISSA PADILHA</t>
        </is>
      </c>
      <c r="S184" t="inlineStr">
        <is>
          <t>42.149.466 LARISSA DA SILVA PADILHA - ME</t>
        </is>
      </c>
      <c r="T184" t="inlineStr">
        <is>
          <t>ZV - NAO APLICAVEL</t>
        </is>
      </c>
      <c r="V184" t="inlineStr">
        <is>
          <t>top 200</t>
        </is>
      </c>
      <c r="W184" t="inlineStr">
        <is>
          <t>REGIÕES/GRUPOS</t>
        </is>
      </c>
    </row>
    <row r="185" ht="15" customHeight="1">
      <c r="A185" t="n">
        <v>0.25625</v>
      </c>
      <c r="B185" t="inlineStr">
        <is>
          <t>VERMELHO</t>
        </is>
      </c>
      <c r="C185" t="n">
        <v>10200</v>
      </c>
      <c r="D185" t="n">
        <v>2613.75</v>
      </c>
      <c r="E185" t="n">
        <v>10200</v>
      </c>
      <c r="F185" s="6" t="n">
        <v>0.25625</v>
      </c>
      <c r="G185" t="inlineStr">
        <is>
          <t>VIDA LEVE</t>
        </is>
      </c>
      <c r="H185" t="inlineStr">
        <is>
          <t>BA</t>
        </is>
      </c>
      <c r="I185" t="n">
        <v>71992847946</v>
      </c>
      <c r="J185" t="inlineStr">
        <is>
          <t>Plano de Negócio</t>
        </is>
      </c>
      <c r="K185" t="inlineStr">
        <is>
          <t>VIDA LEVE</t>
        </is>
      </c>
      <c r="L185" t="inlineStr">
        <is>
          <t>BA</t>
        </is>
      </c>
      <c r="M185" t="n">
        <v>71992847946</v>
      </c>
      <c r="N185" t="n">
        <v>2613.75</v>
      </c>
      <c r="O185" t="n">
        <v>850</v>
      </c>
      <c r="P185" t="inlineStr">
        <is>
          <t>03 - NACIONAL</t>
        </is>
      </c>
      <c r="Q185" t="inlineStr">
        <is>
          <t>DAIANE STAVICKI</t>
        </is>
      </c>
      <c r="S185" t="inlineStr">
        <is>
          <t>ZR - NAO APLICAVEL</t>
        </is>
      </c>
      <c r="T185" t="inlineStr">
        <is>
          <t>ZV - NAO APLICAVEL</t>
        </is>
      </c>
      <c r="V185" t="inlineStr">
        <is>
          <t>top 200</t>
        </is>
      </c>
      <c r="W185" t="inlineStr">
        <is>
          <t>REDES E FRANQUIAS</t>
        </is>
      </c>
    </row>
    <row r="186" ht="15" customHeight="1">
      <c r="A186" t="n">
        <v>0.239936</v>
      </c>
      <c r="B186" t="inlineStr">
        <is>
          <t>VERMELHO</t>
        </is>
      </c>
      <c r="C186" t="n">
        <v>10706.9</v>
      </c>
      <c r="D186" t="n">
        <v>2568.97</v>
      </c>
      <c r="E186" t="n">
        <v>10706.9</v>
      </c>
      <c r="F186" s="6" t="n">
        <v>0.239936</v>
      </c>
      <c r="G186" t="inlineStr">
        <is>
          <t>FITLAND</t>
        </is>
      </c>
      <c r="H186" t="inlineStr">
        <is>
          <t>SC</t>
        </is>
      </c>
      <c r="I186" t="n">
        <v>4791640830</v>
      </c>
      <c r="J186" t="inlineStr">
        <is>
          <t>Plano de Negócio</t>
        </is>
      </c>
      <c r="K186" t="inlineStr">
        <is>
          <t>FITLAND</t>
        </is>
      </c>
      <c r="L186" t="inlineStr">
        <is>
          <t>SC</t>
        </is>
      </c>
      <c r="M186" t="n">
        <v>4791640830</v>
      </c>
      <c r="N186" t="n">
        <v>2568.97</v>
      </c>
      <c r="O186" t="n">
        <v>892.24</v>
      </c>
      <c r="P186" t="inlineStr">
        <is>
          <t>03 - NACIONAL</t>
        </is>
      </c>
      <c r="Q186" t="inlineStr">
        <is>
          <t>JULIO GADRET</t>
        </is>
      </c>
      <c r="S186" t="inlineStr">
        <is>
          <t>LG REPRESENTACOES LTDA - EPP</t>
        </is>
      </c>
      <c r="T186" t="inlineStr">
        <is>
          <t>ZV - NAO APLICAVEL</t>
        </is>
      </c>
      <c r="V186" t="inlineStr">
        <is>
          <t>top 200</t>
        </is>
      </c>
      <c r="W186" t="inlineStr">
        <is>
          <t>REDES E FRANQUIAS</t>
        </is>
      </c>
    </row>
    <row r="187" ht="15" customHeight="1">
      <c r="A187" t="n">
        <v>0.457385</v>
      </c>
      <c r="B187" t="inlineStr">
        <is>
          <t>AMARELO</t>
        </is>
      </c>
      <c r="C187" t="n">
        <v>5615.5</v>
      </c>
      <c r="D187" t="n">
        <v>2568.45</v>
      </c>
      <c r="E187" t="n">
        <v>5615.5</v>
      </c>
      <c r="F187" s="6" t="n">
        <v>0.457385</v>
      </c>
      <c r="G187" t="inlineStr">
        <is>
          <t>SEM GRUPO</t>
        </is>
      </c>
      <c r="H187" t="inlineStr">
        <is>
          <t>RJ</t>
        </is>
      </c>
      <c r="I187" t="n">
        <v>22999447675</v>
      </c>
      <c r="J187" t="inlineStr">
        <is>
          <t>Plano de Sell Out</t>
        </is>
      </c>
      <c r="K187" t="inlineStr">
        <is>
          <t>SEM REDE</t>
        </is>
      </c>
      <c r="L187" t="inlineStr">
        <is>
          <t>RJ</t>
        </is>
      </c>
      <c r="M187" t="n">
        <v>22999447675</v>
      </c>
      <c r="N187" t="n">
        <v>2568.45</v>
      </c>
      <c r="O187" t="n">
        <v>467.96</v>
      </c>
      <c r="P187" t="inlineStr">
        <is>
          <t>03 - RJ + ES + MG</t>
        </is>
      </c>
      <c r="Q187" t="inlineStr">
        <is>
          <t>LARISSA PADILHA</t>
        </is>
      </c>
      <c r="S187" t="inlineStr">
        <is>
          <t>42.149.466 LARISSA DA SILVA PADILHA - ME</t>
        </is>
      </c>
      <c r="T187" t="inlineStr">
        <is>
          <t>ZV - NAO APLICAVEL</t>
        </is>
      </c>
      <c r="V187" t="inlineStr">
        <is>
          <t>top 200</t>
        </is>
      </c>
      <c r="W187" t="inlineStr">
        <is>
          <t>REGIÕES/GRUPOS</t>
        </is>
      </c>
    </row>
    <row r="188" ht="15" customHeight="1">
      <c r="A188" t="n">
        <v>0.457035</v>
      </c>
      <c r="B188" t="inlineStr">
        <is>
          <t>AMARELO</t>
        </is>
      </c>
      <c r="C188" t="n">
        <v>5615.5</v>
      </c>
      <c r="D188" t="n">
        <v>2566.48</v>
      </c>
      <c r="E188" t="n">
        <v>5615.5</v>
      </c>
      <c r="F188" s="6" t="n">
        <v>0.457035</v>
      </c>
      <c r="G188" t="inlineStr">
        <is>
          <t>SEM GRUPO</t>
        </is>
      </c>
      <c r="H188" t="inlineStr">
        <is>
          <t>RO</t>
        </is>
      </c>
      <c r="I188" t="n">
        <v>69984747043</v>
      </c>
      <c r="J188" t="inlineStr">
        <is>
          <t>Plano de Sell Out</t>
        </is>
      </c>
      <c r="K188" t="inlineStr">
        <is>
          <t>SEM REDE</t>
        </is>
      </c>
      <c r="L188" t="inlineStr">
        <is>
          <t>RO</t>
        </is>
      </c>
      <c r="M188" t="n">
        <v>69984747043</v>
      </c>
      <c r="N188" t="n">
        <v>2566.48</v>
      </c>
      <c r="O188" t="n">
        <v>467.96</v>
      </c>
      <c r="P188" t="inlineStr">
        <is>
          <t>03 - NORTE + MA</t>
        </is>
      </c>
      <c r="Q188" t="inlineStr">
        <is>
          <t>LARISSA PADILHA</t>
        </is>
      </c>
      <c r="S188" t="inlineStr">
        <is>
          <t>42.149.466 LARISSA DA SILVA PADILHA - ME</t>
        </is>
      </c>
      <c r="T188" t="inlineStr">
        <is>
          <t>ZV - NAO APLICAVEL</t>
        </is>
      </c>
      <c r="V188" t="inlineStr">
        <is>
          <t>top 200</t>
        </is>
      </c>
      <c r="W188" t="inlineStr">
        <is>
          <t>REGIÕES/GRUPOS</t>
        </is>
      </c>
    </row>
    <row r="189" ht="15" customHeight="1">
      <c r="A189" t="n">
        <v>0.456477</v>
      </c>
      <c r="B189" t="inlineStr">
        <is>
          <t>AMARELO</t>
        </is>
      </c>
      <c r="C189" t="n">
        <v>5615.5</v>
      </c>
      <c r="D189" t="n">
        <v>2563.35</v>
      </c>
      <c r="E189" t="n">
        <v>5615.5</v>
      </c>
      <c r="F189" s="6" t="n">
        <v>0.456477</v>
      </c>
      <c r="G189" t="inlineStr">
        <is>
          <t>SEM GRUPO</t>
        </is>
      </c>
      <c r="H189" t="inlineStr">
        <is>
          <t>MG</t>
        </is>
      </c>
      <c r="I189" t="n">
        <v>33999951133</v>
      </c>
      <c r="J189" t="inlineStr">
        <is>
          <t>Plano de Sell Out</t>
        </is>
      </c>
      <c r="K189" t="inlineStr">
        <is>
          <t>SEM REDE</t>
        </is>
      </c>
      <c r="L189" t="inlineStr">
        <is>
          <t>MG</t>
        </is>
      </c>
      <c r="M189" t="n">
        <v>33999951133</v>
      </c>
      <c r="N189" t="n">
        <v>2563.35</v>
      </c>
      <c r="O189" t="n">
        <v>467.96</v>
      </c>
      <c r="P189" t="inlineStr">
        <is>
          <t>03 - RJ + ES + MG</t>
        </is>
      </c>
      <c r="Q189" t="inlineStr">
        <is>
          <t>LARISSA PADILHA</t>
        </is>
      </c>
      <c r="S189" t="inlineStr">
        <is>
          <t>42.149.466 LARISSA DA SILVA PADILHA - ME</t>
        </is>
      </c>
      <c r="T189" t="inlineStr">
        <is>
          <t>ZV - NAO APLICAVEL</t>
        </is>
      </c>
      <c r="V189" t="inlineStr">
        <is>
          <t>top 200</t>
        </is>
      </c>
      <c r="W189" t="inlineStr">
        <is>
          <t>REGIÕES/GRUPOS</t>
        </is>
      </c>
    </row>
    <row r="190" ht="15" customHeight="1">
      <c r="A190" t="n">
        <v>0.455453</v>
      </c>
      <c r="B190" t="inlineStr">
        <is>
          <t>AMARELO</t>
        </is>
      </c>
      <c r="C190" t="n">
        <v>5615.5</v>
      </c>
      <c r="D190" t="n">
        <v>2557.6</v>
      </c>
      <c r="E190" t="n">
        <v>5615.5</v>
      </c>
      <c r="F190" s="6" t="n">
        <v>0.455453</v>
      </c>
      <c r="G190" t="inlineStr">
        <is>
          <t>SEM GRUPO</t>
        </is>
      </c>
      <c r="H190" t="inlineStr">
        <is>
          <t>RJ</t>
        </is>
      </c>
      <c r="I190" t="n">
        <v>22999447675</v>
      </c>
      <c r="J190" t="inlineStr">
        <is>
          <t>Plano de Sell Out</t>
        </is>
      </c>
      <c r="K190" t="inlineStr">
        <is>
          <t>SEM REDE</t>
        </is>
      </c>
      <c r="L190" t="inlineStr">
        <is>
          <t>RJ</t>
        </is>
      </c>
      <c r="M190" t="n">
        <v>22999447675</v>
      </c>
      <c r="N190" t="n">
        <v>2557.6</v>
      </c>
      <c r="O190" t="n">
        <v>467.96</v>
      </c>
      <c r="P190" t="inlineStr">
        <is>
          <t>03 - RJ + ES + MG</t>
        </is>
      </c>
      <c r="Q190" t="inlineStr">
        <is>
          <t>LARISSA PADILHA</t>
        </is>
      </c>
      <c r="S190" t="inlineStr">
        <is>
          <t>42.149.466 LARISSA DA SILVA PADILHA - ME</t>
        </is>
      </c>
      <c r="T190" t="inlineStr">
        <is>
          <t>ZV - NAO APLICAVEL</t>
        </is>
      </c>
      <c r="V190" t="inlineStr">
        <is>
          <t>top 200</t>
        </is>
      </c>
      <c r="W190" t="inlineStr">
        <is>
          <t>REGIÕES/GRUPOS</t>
        </is>
      </c>
    </row>
    <row r="191" ht="15" customHeight="1">
      <c r="A191" t="n">
        <v>0.236756</v>
      </c>
      <c r="B191" t="inlineStr">
        <is>
          <t>VERMELHO</t>
        </is>
      </c>
      <c r="C191" t="n">
        <v>10706.9</v>
      </c>
      <c r="D191" t="n">
        <v>2534.92</v>
      </c>
      <c r="E191" t="n">
        <v>10706.9</v>
      </c>
      <c r="F191" s="6" t="n">
        <v>0.236756</v>
      </c>
      <c r="G191" t="inlineStr">
        <is>
          <t>FITLAND</t>
        </is>
      </c>
      <c r="H191" t="inlineStr">
        <is>
          <t>SC</t>
        </is>
      </c>
      <c r="I191" t="n">
        <v>4896130715</v>
      </c>
      <c r="J191" t="inlineStr">
        <is>
          <t>Plano de Negócio</t>
        </is>
      </c>
      <c r="K191" t="inlineStr">
        <is>
          <t>FITLAND</t>
        </is>
      </c>
      <c r="L191" t="inlineStr">
        <is>
          <t>SC</t>
        </is>
      </c>
      <c r="M191" t="n">
        <v>4896130715</v>
      </c>
      <c r="N191" t="n">
        <v>2534.92</v>
      </c>
      <c r="O191" t="n">
        <v>892.24</v>
      </c>
      <c r="P191" t="inlineStr">
        <is>
          <t>03 - NACIONAL</t>
        </is>
      </c>
      <c r="Q191" t="inlineStr">
        <is>
          <t>JULIO GADRET</t>
        </is>
      </c>
      <c r="S191" t="inlineStr">
        <is>
          <t>ZR - NAO APLICAVEL</t>
        </is>
      </c>
      <c r="T191" t="inlineStr">
        <is>
          <t>ZV - NAO APLICAVEL</t>
        </is>
      </c>
      <c r="V191" t="inlineStr">
        <is>
          <t>top 200</t>
        </is>
      </c>
      <c r="W191" t="inlineStr">
        <is>
          <t>REDES E FRANQUIAS</t>
        </is>
      </c>
    </row>
    <row r="192" ht="15" customHeight="1">
      <c r="A192" t="n">
        <v>0.450125</v>
      </c>
      <c r="B192" t="inlineStr">
        <is>
          <t>AMARELO</t>
        </is>
      </c>
      <c r="C192" t="n">
        <v>5615.5</v>
      </c>
      <c r="D192" t="n">
        <v>2527.68</v>
      </c>
      <c r="E192" t="n">
        <v>5615.5</v>
      </c>
      <c r="F192" s="6" t="n">
        <v>0.450125</v>
      </c>
      <c r="G192" t="inlineStr">
        <is>
          <t>SEM GRUPO</t>
        </is>
      </c>
      <c r="H192" t="inlineStr">
        <is>
          <t>RJ</t>
        </is>
      </c>
      <c r="I192" t="n">
        <v>22999447675</v>
      </c>
      <c r="J192" t="inlineStr">
        <is>
          <t>Plano de Sell Out</t>
        </is>
      </c>
      <c r="K192" t="inlineStr">
        <is>
          <t>SEM REDE</t>
        </is>
      </c>
      <c r="L192" t="inlineStr">
        <is>
          <t>RJ</t>
        </is>
      </c>
      <c r="M192" t="n">
        <v>22999447675</v>
      </c>
      <c r="N192" t="n">
        <v>2527.68</v>
      </c>
      <c r="O192" t="n">
        <v>467.96</v>
      </c>
      <c r="P192" t="inlineStr">
        <is>
          <t>03 - RJ + ES + MG</t>
        </is>
      </c>
      <c r="Q192" t="inlineStr">
        <is>
          <t>LARISSA PADILHA</t>
        </is>
      </c>
      <c r="S192" t="inlineStr">
        <is>
          <t>42.149.466 LARISSA DA SILVA PADILHA - ME</t>
        </is>
      </c>
      <c r="T192" t="inlineStr">
        <is>
          <t>ZV - NAO APLICAVEL</t>
        </is>
      </c>
      <c r="V192" t="inlineStr">
        <is>
          <t>top 200</t>
        </is>
      </c>
      <c r="W192" t="inlineStr">
        <is>
          <t>REGIÕES/GRUPOS</t>
        </is>
      </c>
    </row>
    <row r="193" ht="15" customHeight="1">
      <c r="A193" t="n">
        <v>0.235144</v>
      </c>
      <c r="B193" t="inlineStr">
        <is>
          <t>VERMELHO</t>
        </is>
      </c>
      <c r="C193" t="n">
        <v>10706.9</v>
      </c>
      <c r="D193" t="n">
        <v>2517.66</v>
      </c>
      <c r="E193" t="n">
        <v>10706.9</v>
      </c>
      <c r="F193" s="6" t="n">
        <v>0.235144</v>
      </c>
      <c r="G193" t="inlineStr">
        <is>
          <t>FITLAND</t>
        </is>
      </c>
      <c r="H193" t="inlineStr">
        <is>
          <t>SC</t>
        </is>
      </c>
      <c r="I193" t="n">
        <v>4791306999</v>
      </c>
      <c r="J193" t="inlineStr">
        <is>
          <t>Plano de Negócio</t>
        </is>
      </c>
      <c r="K193" t="inlineStr">
        <is>
          <t>FITLAND</t>
        </is>
      </c>
      <c r="L193" t="inlineStr">
        <is>
          <t>SC</t>
        </is>
      </c>
      <c r="M193" t="n">
        <v>4791306999</v>
      </c>
      <c r="N193" t="n">
        <v>2517.66</v>
      </c>
      <c r="O193" t="n">
        <v>892.24</v>
      </c>
      <c r="P193" t="inlineStr">
        <is>
          <t>03 - NACIONAL</t>
        </is>
      </c>
      <c r="Q193" t="inlineStr">
        <is>
          <t>JULIO GADRET</t>
        </is>
      </c>
      <c r="S193" t="inlineStr">
        <is>
          <t>ZR - NAO APLICAVEL</t>
        </is>
      </c>
      <c r="T193" t="inlineStr">
        <is>
          <t>ZV - NAO APLICAVEL</t>
        </is>
      </c>
      <c r="V193" t="inlineStr">
        <is>
          <t>top 200</t>
        </is>
      </c>
      <c r="W193" t="inlineStr">
        <is>
          <t>REDES E FRANQUIAS</t>
        </is>
      </c>
    </row>
    <row r="194" ht="15" customHeight="1">
      <c r="A194" t="n">
        <v>0.447155</v>
      </c>
      <c r="B194" t="inlineStr">
        <is>
          <t>AMARELO</t>
        </is>
      </c>
      <c r="C194" t="n">
        <v>5615.5</v>
      </c>
      <c r="D194" t="n">
        <v>2511</v>
      </c>
      <c r="E194" t="n">
        <v>5615.5</v>
      </c>
      <c r="F194" s="6" t="n">
        <v>0.447155</v>
      </c>
      <c r="G194" t="inlineStr">
        <is>
          <t>SEM GRUPO</t>
        </is>
      </c>
      <c r="H194" t="inlineStr">
        <is>
          <t>GO</t>
        </is>
      </c>
      <c r="I194" t="n">
        <v>62985832486</v>
      </c>
      <c r="J194" t="inlineStr">
        <is>
          <t>Plano de Sell Out</t>
        </is>
      </c>
      <c r="K194" t="inlineStr">
        <is>
          <t>SEM REDE</t>
        </is>
      </c>
      <c r="L194" t="inlineStr">
        <is>
          <t>GO</t>
        </is>
      </c>
      <c r="M194" t="n">
        <v>62985832486</v>
      </c>
      <c r="N194" t="n">
        <v>2511</v>
      </c>
      <c r="O194" t="n">
        <v>467.96</v>
      </c>
      <c r="P194" t="inlineStr">
        <is>
          <t>03 - CENTRO OESTE</t>
        </is>
      </c>
      <c r="Q194" t="inlineStr">
        <is>
          <t>LARISSA PADILHA</t>
        </is>
      </c>
      <c r="S194" t="inlineStr">
        <is>
          <t>42.149.466 LARISSA DA SILVA PADILHA - ME</t>
        </is>
      </c>
      <c r="T194" t="inlineStr">
        <is>
          <t>ZV - NAO APLICAVEL</t>
        </is>
      </c>
      <c r="V194" t="inlineStr">
        <is>
          <t>top 200</t>
        </is>
      </c>
      <c r="W194" t="inlineStr">
        <is>
          <t>REGIÕES/GRUPOS</t>
        </is>
      </c>
    </row>
    <row r="195" ht="15" customHeight="1">
      <c r="A195" t="n">
        <v>0.245256</v>
      </c>
      <c r="B195" t="inlineStr">
        <is>
          <t>VERMELHO</t>
        </is>
      </c>
      <c r="C195" t="n">
        <v>10200</v>
      </c>
      <c r="D195" t="n">
        <v>2501.61</v>
      </c>
      <c r="E195" t="n">
        <v>10200</v>
      </c>
      <c r="F195" s="6" t="n">
        <v>0.245256</v>
      </c>
      <c r="G195" t="inlineStr">
        <is>
          <t>VIDA LEVE</t>
        </is>
      </c>
      <c r="H195" t="inlineStr">
        <is>
          <t>MA</t>
        </is>
      </c>
      <c r="I195" t="n">
        <v>99984811871</v>
      </c>
      <c r="J195" t="inlineStr">
        <is>
          <t>Plano de Negócio</t>
        </is>
      </c>
      <c r="K195" t="inlineStr">
        <is>
          <t>VIDA LEVE</t>
        </is>
      </c>
      <c r="L195" t="inlineStr">
        <is>
          <t>MA</t>
        </is>
      </c>
      <c r="M195" t="n">
        <v>99984811871</v>
      </c>
      <c r="N195" t="n">
        <v>2501.61</v>
      </c>
      <c r="O195" t="n">
        <v>850</v>
      </c>
      <c r="P195" t="inlineStr">
        <is>
          <t>03 - NACIONAL</t>
        </is>
      </c>
      <c r="Q195" t="inlineStr">
        <is>
          <t>DAIANE STAVICKI</t>
        </is>
      </c>
      <c r="S195" t="inlineStr">
        <is>
          <t>ZR - NAO APLICAVEL</t>
        </is>
      </c>
      <c r="T195" t="inlineStr">
        <is>
          <t>ZV - NAO APLICAVEL</t>
        </is>
      </c>
      <c r="V195" t="inlineStr">
        <is>
          <t>top 200</t>
        </is>
      </c>
      <c r="W195" t="inlineStr">
        <is>
          <t>REDES E FRANQUIAS</t>
        </is>
      </c>
    </row>
    <row r="196" ht="15" customHeight="1">
      <c r="A196" t="n">
        <v>0.445055</v>
      </c>
      <c r="B196" t="inlineStr">
        <is>
          <t>AMARELO</t>
        </is>
      </c>
      <c r="C196" t="n">
        <v>5615.5</v>
      </c>
      <c r="D196" t="n">
        <v>2499.21</v>
      </c>
      <c r="E196" t="n">
        <v>5615.5</v>
      </c>
      <c r="F196" s="6" t="n">
        <v>0.445055</v>
      </c>
      <c r="G196" t="inlineStr">
        <is>
          <t>SEM GRUPO</t>
        </is>
      </c>
      <c r="H196" t="inlineStr">
        <is>
          <t>BA</t>
        </is>
      </c>
      <c r="I196" t="n">
        <v>7191418952</v>
      </c>
      <c r="J196" t="inlineStr">
        <is>
          <t>Plano de Sell Out</t>
        </is>
      </c>
      <c r="K196" t="inlineStr">
        <is>
          <t>SEM REDE</t>
        </is>
      </c>
      <c r="L196" t="inlineStr">
        <is>
          <t>BA</t>
        </is>
      </c>
      <c r="M196" t="n">
        <v>7191418952</v>
      </c>
      <c r="N196" t="n">
        <v>2499.21</v>
      </c>
      <c r="O196" t="n">
        <v>467.96</v>
      </c>
      <c r="P196" t="inlineStr">
        <is>
          <t>03 - NORDESTE (SEM MA)</t>
        </is>
      </c>
      <c r="Q196" t="inlineStr">
        <is>
          <t>LARISSA PADILHA</t>
        </is>
      </c>
      <c r="S196" t="inlineStr">
        <is>
          <t>42.149.466 LARISSA DA SILVA PADILHA - ME</t>
        </is>
      </c>
      <c r="T196" t="inlineStr">
        <is>
          <t>ZV - NAO APLICAVEL</t>
        </is>
      </c>
      <c r="V196" t="inlineStr">
        <is>
          <t>top 200</t>
        </is>
      </c>
      <c r="W196" t="inlineStr">
        <is>
          <t>REGIÕES/GRUPOS</t>
        </is>
      </c>
    </row>
    <row r="197" ht="15" customHeight="1">
      <c r="A197" t="n">
        <v>0.444485</v>
      </c>
      <c r="B197" t="inlineStr">
        <is>
          <t>AMARELO</t>
        </is>
      </c>
      <c r="C197" t="n">
        <v>5615.5</v>
      </c>
      <c r="D197" t="n">
        <v>2496.01</v>
      </c>
      <c r="E197" t="n">
        <v>5615.5</v>
      </c>
      <c r="F197" s="6" t="n">
        <v>0.444485</v>
      </c>
      <c r="G197" t="inlineStr">
        <is>
          <t>SEM GRUPO</t>
        </is>
      </c>
      <c r="H197" t="inlineStr">
        <is>
          <t>SC</t>
        </is>
      </c>
      <c r="I197" t="n">
        <v>48996248761</v>
      </c>
      <c r="J197" t="inlineStr">
        <is>
          <t>Plano de Sell Out</t>
        </is>
      </c>
      <c r="K197" t="inlineStr">
        <is>
          <t>SEM REDE</t>
        </is>
      </c>
      <c r="L197" t="inlineStr">
        <is>
          <t>SC</t>
        </is>
      </c>
      <c r="M197" t="n">
        <v>48996248761</v>
      </c>
      <c r="N197" t="n">
        <v>2496.01</v>
      </c>
      <c r="O197" t="n">
        <v>467.96</v>
      </c>
      <c r="P197" t="inlineStr">
        <is>
          <t>03 - SUL</t>
        </is>
      </c>
      <c r="Q197" t="inlineStr">
        <is>
          <t>JULIO GADRET</t>
        </is>
      </c>
      <c r="S197" t="inlineStr">
        <is>
          <t>LG REPRESENTACOES LTDA - EPP</t>
        </is>
      </c>
      <c r="T197" t="inlineStr">
        <is>
          <t>ZV - NAO APLICAVEL</t>
        </is>
      </c>
      <c r="V197" t="inlineStr">
        <is>
          <t>top 200</t>
        </is>
      </c>
      <c r="W197" t="inlineStr">
        <is>
          <t>REGIÕES/GRUPOS</t>
        </is>
      </c>
    </row>
    <row r="198" ht="15" customHeight="1">
      <c r="A198" t="n">
        <v>0.244559</v>
      </c>
      <c r="B198" t="inlineStr">
        <is>
          <t>VERMELHO</t>
        </is>
      </c>
      <c r="C198" t="n">
        <v>10200</v>
      </c>
      <c r="D198" t="n">
        <v>2494.5</v>
      </c>
      <c r="E198" t="n">
        <v>10200</v>
      </c>
      <c r="F198" s="6" t="n">
        <v>0.244559</v>
      </c>
      <c r="G198" t="inlineStr">
        <is>
          <t>VIDA LEVE</t>
        </is>
      </c>
      <c r="H198" t="inlineStr">
        <is>
          <t>MA</t>
        </is>
      </c>
      <c r="I198" t="n">
        <v>9899756315</v>
      </c>
      <c r="J198" t="inlineStr">
        <is>
          <t>Plano de Negócio</t>
        </is>
      </c>
      <c r="K198" t="inlineStr">
        <is>
          <t>VIDA LEVE</t>
        </is>
      </c>
      <c r="L198" t="inlineStr">
        <is>
          <t>MA</t>
        </is>
      </c>
      <c r="M198" t="n">
        <v>9899756315</v>
      </c>
      <c r="N198" t="n">
        <v>2494.5</v>
      </c>
      <c r="O198" t="n">
        <v>850</v>
      </c>
      <c r="P198" t="inlineStr">
        <is>
          <t>03 - NACIONAL</t>
        </is>
      </c>
      <c r="Q198" t="inlineStr">
        <is>
          <t>DAIANE STAVICKI</t>
        </is>
      </c>
      <c r="S198" t="inlineStr">
        <is>
          <t>ZR - NAO APLICAVEL</t>
        </is>
      </c>
      <c r="T198" t="inlineStr">
        <is>
          <t>ZV - NAO APLICAVEL</t>
        </is>
      </c>
      <c r="V198" t="inlineStr">
        <is>
          <t>top 200</t>
        </is>
      </c>
      <c r="W198" t="inlineStr">
        <is>
          <t>REDES E FRANQUIAS</t>
        </is>
      </c>
    </row>
    <row r="199" ht="15" customHeight="1">
      <c r="A199" t="n">
        <v>0.43759</v>
      </c>
      <c r="B199" t="inlineStr">
        <is>
          <t>AMARELO</t>
        </is>
      </c>
      <c r="C199" t="n">
        <v>5615.5</v>
      </c>
      <c r="D199" t="n">
        <v>2457.29</v>
      </c>
      <c r="E199" t="n">
        <v>5615.5</v>
      </c>
      <c r="F199" s="6" t="n">
        <v>0.43759</v>
      </c>
      <c r="G199" t="inlineStr">
        <is>
          <t>SEM GRUPO</t>
        </is>
      </c>
      <c r="H199" t="inlineStr">
        <is>
          <t>RS</t>
        </is>
      </c>
      <c r="I199" t="n">
        <v>5130858673</v>
      </c>
      <c r="J199" t="inlineStr">
        <is>
          <t>Plano de Sell Out</t>
        </is>
      </c>
      <c r="K199" t="inlineStr">
        <is>
          <t>SEM REDE</t>
        </is>
      </c>
      <c r="L199" t="inlineStr">
        <is>
          <t>RS</t>
        </is>
      </c>
      <c r="M199" t="n">
        <v>5130858673</v>
      </c>
      <c r="N199" t="n">
        <v>2457.29</v>
      </c>
      <c r="O199" t="n">
        <v>467.96</v>
      </c>
      <c r="P199" t="inlineStr">
        <is>
          <t>03 - SUL</t>
        </is>
      </c>
      <c r="Q199" t="inlineStr">
        <is>
          <t>HEMANUELE DITZEL (MANU)</t>
        </is>
      </c>
      <c r="S199" t="inlineStr">
        <is>
          <t>ZR - NAO APLICAVEL</t>
        </is>
      </c>
      <c r="T199" t="inlineStr">
        <is>
          <t>HEMANUELE ROSA DITZEL</t>
        </is>
      </c>
      <c r="V199" t="inlineStr">
        <is>
          <t>top 200</t>
        </is>
      </c>
      <c r="W199" t="inlineStr">
        <is>
          <t>REGIÕES/GRUPOS</t>
        </is>
      </c>
    </row>
    <row r="200" ht="15" customHeight="1">
      <c r="A200" t="n">
        <v>0.435883</v>
      </c>
      <c r="B200" t="inlineStr">
        <is>
          <t>AMARELO</t>
        </is>
      </c>
      <c r="C200" t="n">
        <v>5615.5</v>
      </c>
      <c r="D200" t="n">
        <v>2447.7</v>
      </c>
      <c r="E200" t="n">
        <v>5615.5</v>
      </c>
      <c r="F200" s="6" t="n">
        <v>0.435883</v>
      </c>
      <c r="G200" t="inlineStr">
        <is>
          <t>SEM GRUPO</t>
        </is>
      </c>
      <c r="H200" t="inlineStr">
        <is>
          <t>SC</t>
        </is>
      </c>
      <c r="I200" t="n">
        <v>4733742937</v>
      </c>
      <c r="J200" t="inlineStr">
        <is>
          <t>Plano de Sell Out</t>
        </is>
      </c>
      <c r="K200" t="inlineStr">
        <is>
          <t>SEM REDE</t>
        </is>
      </c>
      <c r="L200" t="inlineStr">
        <is>
          <t>SC</t>
        </is>
      </c>
      <c r="M200" t="n">
        <v>4733742937</v>
      </c>
      <c r="N200" t="n">
        <v>2447.7</v>
      </c>
      <c r="O200" t="n">
        <v>467.96</v>
      </c>
      <c r="P200" t="inlineStr">
        <is>
          <t>03 - SUL</t>
        </is>
      </c>
      <c r="Q200" t="inlineStr">
        <is>
          <t>HEMANUELE DITZEL (MANU)</t>
        </is>
      </c>
      <c r="S200" t="inlineStr">
        <is>
          <t>ZR - NAO APLICAVEL</t>
        </is>
      </c>
      <c r="T200" t="inlineStr">
        <is>
          <t>HEMANUELE ROSA DITZEL</t>
        </is>
      </c>
      <c r="V200" t="inlineStr">
        <is>
          <t>top 200</t>
        </is>
      </c>
      <c r="W200" t="inlineStr">
        <is>
          <t>REGIÕES/GRUPOS</t>
        </is>
      </c>
    </row>
    <row r="201" ht="15" customHeight="1">
      <c r="A201" t="n">
        <v>0.234245</v>
      </c>
      <c r="B201" t="inlineStr">
        <is>
          <t>VERMELHO</t>
        </is>
      </c>
      <c r="C201" t="n">
        <v>10200</v>
      </c>
      <c r="D201" t="n">
        <v>2389.3</v>
      </c>
      <c r="E201" t="n">
        <v>10200</v>
      </c>
      <c r="F201" s="6" t="n">
        <v>0.234245</v>
      </c>
      <c r="G201" t="inlineStr">
        <is>
          <t>VIDA LEVE</t>
        </is>
      </c>
      <c r="H201" t="inlineStr">
        <is>
          <t>MG</t>
        </is>
      </c>
      <c r="I201" t="n">
        <v>31983121817</v>
      </c>
      <c r="J201" t="inlineStr">
        <is>
          <t>Plano de Negócio</t>
        </is>
      </c>
      <c r="K201" t="inlineStr">
        <is>
          <t>VIDA LEVE</t>
        </is>
      </c>
      <c r="L201" t="inlineStr">
        <is>
          <t>MG</t>
        </is>
      </c>
      <c r="M201" t="n">
        <v>31983121817</v>
      </c>
      <c r="N201" t="n">
        <v>2389.3</v>
      </c>
      <c r="O201" t="n">
        <v>850</v>
      </c>
      <c r="P201" t="inlineStr">
        <is>
          <t>03 - NACIONAL</t>
        </is>
      </c>
      <c r="Q201" t="inlineStr">
        <is>
          <t>DAIANE STAVICKI</t>
        </is>
      </c>
      <c r="S201" t="inlineStr">
        <is>
          <t>ZR - NAO APLICAVEL</t>
        </is>
      </c>
      <c r="T201" t="inlineStr">
        <is>
          <t>ZV - NAO APLICAVEL</t>
        </is>
      </c>
      <c r="V201" t="inlineStr">
        <is>
          <t>top 200</t>
        </is>
      </c>
      <c r="W201" t="inlineStr">
        <is>
          <t>REDES E FRANQUIAS</t>
        </is>
      </c>
    </row>
    <row r="202" ht="15" customHeight="1">
      <c r="A202" t="n">
        <v>0.222889</v>
      </c>
      <c r="B202" t="inlineStr">
        <is>
          <t>VERMELHO</t>
        </is>
      </c>
      <c r="C202" t="n">
        <v>10706.9</v>
      </c>
      <c r="D202" t="n">
        <v>2386.45</v>
      </c>
      <c r="E202" t="n">
        <v>10706.9</v>
      </c>
      <c r="F202" s="6" t="n">
        <v>0.222889</v>
      </c>
      <c r="G202" t="inlineStr">
        <is>
          <t>FITLAND</t>
        </is>
      </c>
      <c r="H202" t="inlineStr">
        <is>
          <t>PR</t>
        </is>
      </c>
      <c r="I202" t="n">
        <v>4432325260</v>
      </c>
      <c r="J202" t="inlineStr">
        <is>
          <t>Plano de Negócio</t>
        </is>
      </c>
      <c r="K202" t="inlineStr">
        <is>
          <t>FITLAND</t>
        </is>
      </c>
      <c r="L202" t="inlineStr">
        <is>
          <t>PR</t>
        </is>
      </c>
      <c r="M202" t="n">
        <v>4432325260</v>
      </c>
      <c r="N202" t="n">
        <v>2386.45</v>
      </c>
      <c r="O202" t="n">
        <v>892.24</v>
      </c>
      <c r="P202" t="inlineStr">
        <is>
          <t>03 - NACIONAL</t>
        </is>
      </c>
      <c r="Q202" t="inlineStr">
        <is>
          <t>JULIO GADRET</t>
        </is>
      </c>
      <c r="S202" t="inlineStr">
        <is>
          <t>LG REPRESENTACOES LTDA - EPP</t>
        </is>
      </c>
      <c r="T202" t="inlineStr">
        <is>
          <t>ZV - NAO APLICAVEL</t>
        </is>
      </c>
      <c r="V202" t="inlineStr">
        <is>
          <t>top 200</t>
        </is>
      </c>
      <c r="W202" t="inlineStr">
        <is>
          <t>REDES E FRANQUIAS</t>
        </is>
      </c>
    </row>
    <row r="203" ht="15" customHeight="1">
      <c r="A203" t="n">
        <v>0.421529</v>
      </c>
      <c r="B203" t="inlineStr">
        <is>
          <t>AMARELO</t>
        </is>
      </c>
      <c r="C203" t="n">
        <v>5615.5</v>
      </c>
      <c r="D203" t="n">
        <v>2367.1</v>
      </c>
      <c r="E203" t="n">
        <v>5615.5</v>
      </c>
      <c r="F203" s="6" t="n">
        <v>0.421529</v>
      </c>
      <c r="G203" t="inlineStr">
        <is>
          <t>SEM GRUPO</t>
        </is>
      </c>
      <c r="H203" t="inlineStr">
        <is>
          <t>BA</t>
        </is>
      </c>
      <c r="I203" t="n">
        <v>7591750757</v>
      </c>
      <c r="J203" t="inlineStr">
        <is>
          <t>Plano de Sell Out</t>
        </is>
      </c>
      <c r="K203" t="inlineStr">
        <is>
          <t>SEM REDE</t>
        </is>
      </c>
      <c r="L203" t="inlineStr">
        <is>
          <t>BA</t>
        </is>
      </c>
      <c r="M203" t="n">
        <v>7591750757</v>
      </c>
      <c r="N203" t="n">
        <v>2367.1</v>
      </c>
      <c r="O203" t="n">
        <v>467.96</v>
      </c>
      <c r="P203" t="inlineStr">
        <is>
          <t>03 - NORDESTE (SEM MA)</t>
        </is>
      </c>
      <c r="Q203" t="inlineStr">
        <is>
          <t>LARISSA PADILHA</t>
        </is>
      </c>
      <c r="S203" t="inlineStr">
        <is>
          <t>42.149.466 LARISSA DA SILVA PADILHA - ME</t>
        </is>
      </c>
      <c r="T203" t="inlineStr">
        <is>
          <t>ZV - NAO APLICAVEL</t>
        </is>
      </c>
      <c r="V203" t="inlineStr">
        <is>
          <t>top 300</t>
        </is>
      </c>
      <c r="W203" t="inlineStr">
        <is>
          <t>REGIÕES/GRUPOS</t>
        </is>
      </c>
    </row>
    <row r="204" ht="15" customHeight="1">
      <c r="A204" t="n">
        <v>0.420773</v>
      </c>
      <c r="B204" t="inlineStr">
        <is>
          <t>AMARELO</t>
        </is>
      </c>
      <c r="C204" t="n">
        <v>5615.5</v>
      </c>
      <c r="D204" t="n">
        <v>2362.85</v>
      </c>
      <c r="E204" t="n">
        <v>5615.5</v>
      </c>
      <c r="F204" s="6" t="n">
        <v>0.420773</v>
      </c>
      <c r="G204" t="inlineStr">
        <is>
          <t>SEM GRUPO</t>
        </is>
      </c>
      <c r="H204" t="inlineStr">
        <is>
          <t>SC</t>
        </is>
      </c>
      <c r="I204" t="n">
        <v>4896543563</v>
      </c>
      <c r="J204" t="inlineStr">
        <is>
          <t>Plano de Sell Out</t>
        </is>
      </c>
      <c r="K204" t="inlineStr">
        <is>
          <t>SEM REDE</t>
        </is>
      </c>
      <c r="L204" t="inlineStr">
        <is>
          <t>SC</t>
        </is>
      </c>
      <c r="M204" t="n">
        <v>4896543563</v>
      </c>
      <c r="N204" t="n">
        <v>2362.85</v>
      </c>
      <c r="O204" t="n">
        <v>467.96</v>
      </c>
      <c r="P204" t="inlineStr">
        <is>
          <t>03 - SUL</t>
        </is>
      </c>
      <c r="Q204" t="inlineStr">
        <is>
          <t>HEMANUELE DITZEL (MANU)</t>
        </is>
      </c>
      <c r="S204" t="inlineStr">
        <is>
          <t>ZR - NAO APLICAVEL</t>
        </is>
      </c>
      <c r="T204" t="inlineStr">
        <is>
          <t>HEMANUELE ROSA DITZEL</t>
        </is>
      </c>
      <c r="V204" t="inlineStr">
        <is>
          <t>top 300</t>
        </is>
      </c>
      <c r="W204" t="inlineStr">
        <is>
          <t>REGIÕES/GRUPOS</t>
        </is>
      </c>
    </row>
    <row r="205" ht="15" customHeight="1">
      <c r="A205" t="n">
        <v>0.219965</v>
      </c>
      <c r="B205" t="inlineStr">
        <is>
          <t>VERMELHO</t>
        </is>
      </c>
      <c r="C205" t="n">
        <v>10706.9</v>
      </c>
      <c r="D205" t="n">
        <v>2355.14</v>
      </c>
      <c r="E205" t="n">
        <v>10706.9</v>
      </c>
      <c r="F205" s="6" t="n">
        <v>0.219965</v>
      </c>
      <c r="G205" t="inlineStr">
        <is>
          <t>FITLAND</t>
        </is>
      </c>
      <c r="H205" t="inlineStr">
        <is>
          <t>SC</t>
        </is>
      </c>
      <c r="I205" t="n">
        <v>4891860681</v>
      </c>
      <c r="J205" t="inlineStr">
        <is>
          <t>Plano de Negócio</t>
        </is>
      </c>
      <c r="K205" t="inlineStr">
        <is>
          <t>FITLAND</t>
        </is>
      </c>
      <c r="L205" t="inlineStr">
        <is>
          <t>SC</t>
        </is>
      </c>
      <c r="M205" t="n">
        <v>4891860681</v>
      </c>
      <c r="N205" t="n">
        <v>2355.14</v>
      </c>
      <c r="O205" t="n">
        <v>892.24</v>
      </c>
      <c r="P205" t="inlineStr">
        <is>
          <t>03 - NACIONAL</t>
        </is>
      </c>
      <c r="Q205" t="inlineStr">
        <is>
          <t>JULIO GADRET</t>
        </is>
      </c>
      <c r="S205" t="inlineStr">
        <is>
          <t>ZR - NAO APLICAVEL</t>
        </is>
      </c>
      <c r="T205" t="inlineStr">
        <is>
          <t>ZV - NAO APLICAVEL</t>
        </is>
      </c>
      <c r="V205" t="inlineStr">
        <is>
          <t>top 300</t>
        </is>
      </c>
      <c r="W205" t="inlineStr">
        <is>
          <t>REDES E FRANQUIAS</t>
        </is>
      </c>
    </row>
    <row r="206" ht="15" customHeight="1">
      <c r="A206" t="n">
        <v>0.417907</v>
      </c>
      <c r="B206" t="inlineStr">
        <is>
          <t>AMARELO</t>
        </is>
      </c>
      <c r="C206" t="n">
        <v>5615.5</v>
      </c>
      <c r="D206" t="n">
        <v>2346.76</v>
      </c>
      <c r="E206" t="n">
        <v>5615.5</v>
      </c>
      <c r="F206" s="6" t="n">
        <v>0.417907</v>
      </c>
      <c r="G206" t="inlineStr">
        <is>
          <t>SEM GRUPO</t>
        </is>
      </c>
      <c r="H206" t="inlineStr">
        <is>
          <t>SC</t>
        </is>
      </c>
      <c r="I206" t="n">
        <v>48996248761</v>
      </c>
      <c r="J206" t="inlineStr">
        <is>
          <t>Plano de Sell Out</t>
        </is>
      </c>
      <c r="K206" t="inlineStr">
        <is>
          <t>SEM REDE</t>
        </is>
      </c>
      <c r="L206" t="inlineStr">
        <is>
          <t>SC</t>
        </is>
      </c>
      <c r="M206" t="n">
        <v>48996248761</v>
      </c>
      <c r="N206" t="n">
        <v>2346.76</v>
      </c>
      <c r="O206" t="n">
        <v>467.96</v>
      </c>
      <c r="P206" t="inlineStr">
        <is>
          <t>03 - SUL</t>
        </is>
      </c>
      <c r="Q206" t="inlineStr">
        <is>
          <t>JULIO GADRET</t>
        </is>
      </c>
      <c r="S206" t="inlineStr">
        <is>
          <t>LG REPRESENTACOES LTDA - EPP</t>
        </is>
      </c>
      <c r="T206" t="inlineStr">
        <is>
          <t>ZV - NAO APLICAVEL</t>
        </is>
      </c>
      <c r="V206" t="inlineStr">
        <is>
          <t>top 300</t>
        </is>
      </c>
      <c r="W206" t="inlineStr">
        <is>
          <t>REGIÕES/GRUPOS</t>
        </is>
      </c>
    </row>
    <row r="207" ht="15" customHeight="1">
      <c r="A207" t="n">
        <v>0.416037</v>
      </c>
      <c r="B207" t="inlineStr">
        <is>
          <t>AMARELO</t>
        </is>
      </c>
      <c r="C207" t="n">
        <v>5615.5</v>
      </c>
      <c r="D207" t="n">
        <v>2336.26</v>
      </c>
      <c r="E207" t="n">
        <v>5615.5</v>
      </c>
      <c r="F207" s="6" t="n">
        <v>0.416037</v>
      </c>
      <c r="G207" t="inlineStr">
        <is>
          <t>SEM GRUPO</t>
        </is>
      </c>
      <c r="H207" t="inlineStr">
        <is>
          <t>SP</t>
        </is>
      </c>
      <c r="I207" t="n">
        <v>1150528475</v>
      </c>
      <c r="J207" t="inlineStr">
        <is>
          <t>Plano de Sell Out</t>
        </is>
      </c>
      <c r="K207" t="inlineStr">
        <is>
          <t>SEM REDE</t>
        </is>
      </c>
      <c r="L207" t="inlineStr">
        <is>
          <t>SP</t>
        </is>
      </c>
      <c r="M207" t="n">
        <v>1150528475</v>
      </c>
      <c r="N207" t="n">
        <v>2336.26</v>
      </c>
      <c r="O207" t="n">
        <v>467.96</v>
      </c>
      <c r="P207" t="inlineStr">
        <is>
          <t>03 - SP CAPITAL</t>
        </is>
      </c>
      <c r="Q207" t="inlineStr">
        <is>
          <t>LARISSA PADILHA</t>
        </is>
      </c>
      <c r="S207" t="inlineStr">
        <is>
          <t>42.149.466 LARISSA DA SILVA PADILHA - ME</t>
        </is>
      </c>
      <c r="T207" t="inlineStr">
        <is>
          <t>ZV - NAO APLICAVEL</t>
        </is>
      </c>
      <c r="V207" t="inlineStr">
        <is>
          <t>top 300</t>
        </is>
      </c>
      <c r="W207" t="inlineStr">
        <is>
          <t>REGIÕES/GRUPOS</t>
        </is>
      </c>
    </row>
    <row r="208" ht="15" customHeight="1">
      <c r="A208" t="n">
        <v>0.218045</v>
      </c>
      <c r="B208" t="inlineStr">
        <is>
          <t>VERMELHO</t>
        </is>
      </c>
      <c r="C208" t="n">
        <v>10706.9</v>
      </c>
      <c r="D208" t="n">
        <v>2334.59</v>
      </c>
      <c r="E208" t="n">
        <v>10706.9</v>
      </c>
      <c r="F208" s="6" t="n">
        <v>0.218045</v>
      </c>
      <c r="G208" t="inlineStr">
        <is>
          <t>FITLAND</t>
        </is>
      </c>
      <c r="H208" t="inlineStr">
        <is>
          <t>SC</t>
        </is>
      </c>
      <c r="I208" t="n">
        <v>48999312352</v>
      </c>
      <c r="J208" t="inlineStr">
        <is>
          <t>Plano de Negócio</t>
        </is>
      </c>
      <c r="K208" t="inlineStr">
        <is>
          <t>FITLAND</t>
        </is>
      </c>
      <c r="L208" t="inlineStr">
        <is>
          <t>SC</t>
        </is>
      </c>
      <c r="M208" t="n">
        <v>48999312352</v>
      </c>
      <c r="N208" t="n">
        <v>2334.59</v>
      </c>
      <c r="O208" t="n">
        <v>892.24</v>
      </c>
      <c r="P208" t="inlineStr">
        <is>
          <t>03 - NACIONAL</t>
        </is>
      </c>
      <c r="Q208" t="inlineStr">
        <is>
          <t>JULIO GADRET</t>
        </is>
      </c>
      <c r="S208" t="inlineStr">
        <is>
          <t>LG REPRESENTACOES LTDA - EPP</t>
        </is>
      </c>
      <c r="T208" t="inlineStr">
        <is>
          <t>ZV - NAO APLICAVEL</t>
        </is>
      </c>
      <c r="V208" t="inlineStr">
        <is>
          <t>top 300</t>
        </is>
      </c>
      <c r="W208" t="inlineStr">
        <is>
          <t>REDES E FRANQUIAS</t>
        </is>
      </c>
    </row>
    <row r="209" ht="15" customHeight="1">
      <c r="A209" t="n">
        <v>0.411105</v>
      </c>
      <c r="B209" t="inlineStr">
        <is>
          <t>AMARELO</t>
        </is>
      </c>
      <c r="C209" t="n">
        <v>5615.5</v>
      </c>
      <c r="D209" t="n">
        <v>2308.56</v>
      </c>
      <c r="E209" t="n">
        <v>5615.5</v>
      </c>
      <c r="F209" s="6" t="n">
        <v>0.411105</v>
      </c>
      <c r="G209" t="inlineStr">
        <is>
          <t>SEM GRUPO</t>
        </is>
      </c>
      <c r="H209" t="inlineStr">
        <is>
          <t>MA</t>
        </is>
      </c>
      <c r="I209" t="n">
        <v>9884597339</v>
      </c>
      <c r="J209" t="inlineStr">
        <is>
          <t>Plano de Sell Out</t>
        </is>
      </c>
      <c r="K209" t="inlineStr">
        <is>
          <t>SEM REDE</t>
        </is>
      </c>
      <c r="L209" t="inlineStr">
        <is>
          <t>MA</t>
        </is>
      </c>
      <c r="M209" t="n">
        <v>9884597339</v>
      </c>
      <c r="N209" t="n">
        <v>2308.56</v>
      </c>
      <c r="O209" t="n">
        <v>467.96</v>
      </c>
      <c r="P209" t="inlineStr">
        <is>
          <t>03 - NORTE + MA</t>
        </is>
      </c>
      <c r="Q209" t="inlineStr">
        <is>
          <t>LARISSA PADILHA</t>
        </is>
      </c>
      <c r="S209" t="inlineStr">
        <is>
          <t>42.149.466 LARISSA DA SILVA PADILHA - ME</t>
        </is>
      </c>
      <c r="T209" t="inlineStr">
        <is>
          <t>ZV - NAO APLICAVEL</t>
        </is>
      </c>
      <c r="V209" t="inlineStr">
        <is>
          <t>top 300</t>
        </is>
      </c>
      <c r="W209" t="inlineStr">
        <is>
          <t>REGIÕES/GRUPOS</t>
        </is>
      </c>
    </row>
    <row r="210" ht="15" customHeight="1">
      <c r="A210" t="n">
        <v>0.410343</v>
      </c>
      <c r="B210" t="inlineStr">
        <is>
          <t>AMARELO</t>
        </is>
      </c>
      <c r="C210" t="n">
        <v>5615.5</v>
      </c>
      <c r="D210" t="n">
        <v>2304.28</v>
      </c>
      <c r="E210" t="n">
        <v>5615.5</v>
      </c>
      <c r="F210" s="6" t="n">
        <v>0.410343</v>
      </c>
      <c r="G210" t="inlineStr">
        <is>
          <t>SEM GRUPO</t>
        </is>
      </c>
      <c r="H210" t="inlineStr">
        <is>
          <t>SC</t>
        </is>
      </c>
      <c r="I210" t="n">
        <v>47984326298</v>
      </c>
      <c r="J210" t="inlineStr">
        <is>
          <t>Plano de Sell Out</t>
        </is>
      </c>
      <c r="K210" t="inlineStr">
        <is>
          <t>SEM REDE</t>
        </is>
      </c>
      <c r="L210" t="inlineStr">
        <is>
          <t>SC</t>
        </is>
      </c>
      <c r="M210" t="n">
        <v>47984326298</v>
      </c>
      <c r="N210" t="n">
        <v>2304.28</v>
      </c>
      <c r="O210" t="n">
        <v>467.96</v>
      </c>
      <c r="P210" t="inlineStr">
        <is>
          <t>03 - SUL</t>
        </is>
      </c>
      <c r="Q210" t="inlineStr">
        <is>
          <t>JULIO GADRET</t>
        </is>
      </c>
      <c r="S210" t="inlineStr">
        <is>
          <t>LG REPRESENTACOES LTDA - EPP</t>
        </is>
      </c>
      <c r="T210" t="inlineStr">
        <is>
          <t>ZV - NAO APLICAVEL</t>
        </is>
      </c>
      <c r="V210" t="inlineStr">
        <is>
          <t>top 300</t>
        </is>
      </c>
      <c r="W210" t="inlineStr">
        <is>
          <t>REGIÕES/GRUPOS</t>
        </is>
      </c>
    </row>
    <row r="211" ht="15" customHeight="1">
      <c r="A211" t="n">
        <v>0.410314</v>
      </c>
      <c r="B211" t="inlineStr">
        <is>
          <t>AMARELO</t>
        </is>
      </c>
      <c r="C211" t="n">
        <v>5615.5</v>
      </c>
      <c r="D211" t="n">
        <v>2304.12</v>
      </c>
      <c r="E211" t="n">
        <v>5615.5</v>
      </c>
      <c r="F211" s="6" t="n">
        <v>0.410314</v>
      </c>
      <c r="G211" t="inlineStr">
        <is>
          <t>SEM GRUPO</t>
        </is>
      </c>
      <c r="H211" t="inlineStr">
        <is>
          <t>MG</t>
        </is>
      </c>
      <c r="I211" t="n">
        <v>3196946667</v>
      </c>
      <c r="J211" t="inlineStr">
        <is>
          <t>Plano de Sell Out</t>
        </is>
      </c>
      <c r="K211" t="inlineStr">
        <is>
          <t>SEM REDE</t>
        </is>
      </c>
      <c r="L211" t="inlineStr">
        <is>
          <t>MG</t>
        </is>
      </c>
      <c r="M211" t="n">
        <v>3196946667</v>
      </c>
      <c r="N211" t="n">
        <v>2304.12</v>
      </c>
      <c r="O211" t="n">
        <v>467.96</v>
      </c>
      <c r="P211" t="inlineStr">
        <is>
          <t>03 - RJ + ES + MG</t>
        </is>
      </c>
      <c r="Q211" t="inlineStr">
        <is>
          <t>LARISSA PADILHA</t>
        </is>
      </c>
      <c r="S211" t="inlineStr">
        <is>
          <t>ZR - NAO APLICAVEL</t>
        </is>
      </c>
      <c r="T211" t="inlineStr">
        <is>
          <t>ZV - NAO APLICAVEL</t>
        </is>
      </c>
      <c r="V211" t="inlineStr">
        <is>
          <t>top 300</t>
        </is>
      </c>
      <c r="W211" t="inlineStr">
        <is>
          <t>REGIÕES/GRUPOS</t>
        </is>
      </c>
    </row>
    <row r="212" ht="15" customHeight="1">
      <c r="A212" t="n">
        <v>0.409936</v>
      </c>
      <c r="B212" t="inlineStr">
        <is>
          <t>AMARELO</t>
        </is>
      </c>
      <c r="C212" t="n">
        <v>5615.5</v>
      </c>
      <c r="D212" t="n">
        <v>2302</v>
      </c>
      <c r="E212" t="n">
        <v>5615.5</v>
      </c>
      <c r="F212" s="6" t="n">
        <v>0.409936</v>
      </c>
      <c r="G212" t="inlineStr">
        <is>
          <t>SEM GRUPO</t>
        </is>
      </c>
      <c r="H212" t="inlineStr">
        <is>
          <t>SC</t>
        </is>
      </c>
      <c r="I212" t="n">
        <v>4797583831</v>
      </c>
      <c r="J212" t="inlineStr">
        <is>
          <t>Plano de Sell Out</t>
        </is>
      </c>
      <c r="K212" t="inlineStr">
        <is>
          <t>SEM REDE</t>
        </is>
      </c>
      <c r="L212" t="inlineStr">
        <is>
          <t>SC</t>
        </is>
      </c>
      <c r="M212" t="n">
        <v>4797583831</v>
      </c>
      <c r="N212" t="n">
        <v>2302</v>
      </c>
      <c r="O212" t="n">
        <v>467.96</v>
      </c>
      <c r="P212" t="inlineStr">
        <is>
          <t>03 - SUL</t>
        </is>
      </c>
      <c r="Q212" t="inlineStr">
        <is>
          <t>HEMANUELE DITZEL (MANU)</t>
        </is>
      </c>
      <c r="S212" t="inlineStr">
        <is>
          <t>ZR - NAO APLICAVEL</t>
        </is>
      </c>
      <c r="T212" t="inlineStr">
        <is>
          <t>HEMANUELE ROSA DITZEL</t>
        </is>
      </c>
      <c r="V212" t="inlineStr">
        <is>
          <t>top 300</t>
        </is>
      </c>
      <c r="W212" t="inlineStr">
        <is>
          <t>REGIÕES/GRUPOS</t>
        </is>
      </c>
    </row>
    <row r="213" ht="15" customHeight="1">
      <c r="A213" t="n">
        <v>0.406329</v>
      </c>
      <c r="B213" t="inlineStr">
        <is>
          <t>AMARELO</t>
        </is>
      </c>
      <c r="C213" t="n">
        <v>5615.5</v>
      </c>
      <c r="D213" t="n">
        <v>2281.74</v>
      </c>
      <c r="E213" t="n">
        <v>5615.5</v>
      </c>
      <c r="F213" s="6" t="n">
        <v>0.406329</v>
      </c>
      <c r="G213" t="inlineStr">
        <is>
          <t>SEM GRUPO</t>
        </is>
      </c>
      <c r="H213" t="inlineStr">
        <is>
          <t>SC</t>
        </is>
      </c>
      <c r="I213" t="n">
        <v>4832693010</v>
      </c>
      <c r="J213" t="inlineStr">
        <is>
          <t>Plano de Sell Out</t>
        </is>
      </c>
      <c r="K213" t="inlineStr">
        <is>
          <t>SEM REDE</t>
        </is>
      </c>
      <c r="L213" t="inlineStr">
        <is>
          <t>SC</t>
        </is>
      </c>
      <c r="M213" t="n">
        <v>4832693010</v>
      </c>
      <c r="N213" t="n">
        <v>2281.74</v>
      </c>
      <c r="O213" t="n">
        <v>467.96</v>
      </c>
      <c r="P213" t="inlineStr">
        <is>
          <t>03 - SUL</t>
        </is>
      </c>
      <c r="Q213" t="inlineStr">
        <is>
          <t>JULIO GADRET</t>
        </is>
      </c>
      <c r="S213" t="inlineStr">
        <is>
          <t>LG REPRESENTACOES LTDA - EPP</t>
        </is>
      </c>
      <c r="T213" t="inlineStr">
        <is>
          <t>ZV - NAO APLICAVEL</t>
        </is>
      </c>
      <c r="V213" t="inlineStr">
        <is>
          <t>top 300</t>
        </is>
      </c>
      <c r="W213" t="inlineStr">
        <is>
          <t>REGIÕES/GRUPOS</t>
        </is>
      </c>
    </row>
    <row r="214" ht="15" customHeight="1">
      <c r="A214" t="n">
        <v>0.405445</v>
      </c>
      <c r="B214" t="inlineStr">
        <is>
          <t>AMARELO</t>
        </is>
      </c>
      <c r="C214" t="n">
        <v>5615.5</v>
      </c>
      <c r="D214" t="n">
        <v>2276.78</v>
      </c>
      <c r="E214" t="n">
        <v>5615.5</v>
      </c>
      <c r="F214" s="6" t="n">
        <v>0.405445</v>
      </c>
      <c r="G214" t="inlineStr">
        <is>
          <t>SEM GRUPO</t>
        </is>
      </c>
      <c r="H214" t="inlineStr">
        <is>
          <t>SC</t>
        </is>
      </c>
      <c r="I214" t="n">
        <v>4999195902</v>
      </c>
      <c r="J214" t="inlineStr">
        <is>
          <t>Plano de Sell Out</t>
        </is>
      </c>
      <c r="K214" t="inlineStr">
        <is>
          <t>SEM REDE</t>
        </is>
      </c>
      <c r="L214" t="inlineStr">
        <is>
          <t>SC</t>
        </is>
      </c>
      <c r="M214" t="n">
        <v>4999195902</v>
      </c>
      <c r="N214" t="n">
        <v>2276.78</v>
      </c>
      <c r="O214" t="n">
        <v>467.96</v>
      </c>
      <c r="P214" t="inlineStr">
        <is>
          <t>03 - SUL</t>
        </is>
      </c>
      <c r="Q214" t="inlineStr">
        <is>
          <t>HEMANUELE DITZEL (MANU)</t>
        </is>
      </c>
      <c r="S214" t="inlineStr">
        <is>
          <t>ZR - NAO APLICAVEL</t>
        </is>
      </c>
      <c r="T214" t="inlineStr">
        <is>
          <t>HEMANUELE ROSA DITZEL</t>
        </is>
      </c>
      <c r="V214" t="inlineStr">
        <is>
          <t>top 300</t>
        </is>
      </c>
      <c r="W214" t="inlineStr">
        <is>
          <t>REGIÕES/GRUPOS</t>
        </is>
      </c>
    </row>
    <row r="215" ht="15" customHeight="1">
      <c r="A215" t="n">
        <v>0.404213</v>
      </c>
      <c r="B215" t="inlineStr">
        <is>
          <t>AMARELO</t>
        </is>
      </c>
      <c r="C215" t="n">
        <v>5615.5</v>
      </c>
      <c r="D215" t="n">
        <v>2269.86</v>
      </c>
      <c r="E215" t="n">
        <v>5615.5</v>
      </c>
      <c r="F215" s="6" t="n">
        <v>0.404213</v>
      </c>
      <c r="G215" t="inlineStr">
        <is>
          <t>SEM GRUPO</t>
        </is>
      </c>
      <c r="H215" t="inlineStr">
        <is>
          <t>PR</t>
        </is>
      </c>
      <c r="I215" t="n">
        <v>41991736973</v>
      </c>
      <c r="J215" t="inlineStr">
        <is>
          <t>Plano de Sell Out</t>
        </is>
      </c>
      <c r="K215" t="inlineStr">
        <is>
          <t>SEM REDE</t>
        </is>
      </c>
      <c r="L215" t="inlineStr">
        <is>
          <t>PR</t>
        </is>
      </c>
      <c r="M215" t="n">
        <v>41991736973</v>
      </c>
      <c r="N215" t="n">
        <v>2269.86</v>
      </c>
      <c r="O215" t="n">
        <v>467.96</v>
      </c>
      <c r="P215" t="inlineStr">
        <is>
          <t>03 - SUL</t>
        </is>
      </c>
      <c r="Q215" t="inlineStr">
        <is>
          <t>HEMANUELE DITZEL (MANU)</t>
        </is>
      </c>
      <c r="S215" t="inlineStr">
        <is>
          <t>ZR - NAO APLICAVEL</t>
        </is>
      </c>
      <c r="T215" t="inlineStr">
        <is>
          <t>ZV - NAO APLICAVEL</t>
        </is>
      </c>
      <c r="V215" t="inlineStr">
        <is>
          <t>top 300</t>
        </is>
      </c>
      <c r="W215" t="inlineStr">
        <is>
          <t>REGIÕES/GRUPOS</t>
        </is>
      </c>
    </row>
    <row r="216" ht="15" customHeight="1">
      <c r="A216" t="n">
        <v>0.402632</v>
      </c>
      <c r="B216" t="inlineStr">
        <is>
          <t>AMARELO</t>
        </is>
      </c>
      <c r="C216" t="n">
        <v>5615.5</v>
      </c>
      <c r="D216" t="n">
        <v>2260.98</v>
      </c>
      <c r="E216" t="n">
        <v>5615.5</v>
      </c>
      <c r="F216" s="6" t="n">
        <v>0.402632</v>
      </c>
      <c r="G216" t="inlineStr">
        <is>
          <t>SEM GRUPO</t>
        </is>
      </c>
      <c r="H216" t="inlineStr">
        <is>
          <t>SC</t>
        </is>
      </c>
      <c r="I216" t="n">
        <v>4896543563</v>
      </c>
      <c r="J216" t="inlineStr">
        <is>
          <t>Plano de Sell Out</t>
        </is>
      </c>
      <c r="K216" t="inlineStr">
        <is>
          <t>SEM REDE</t>
        </is>
      </c>
      <c r="L216" t="inlineStr">
        <is>
          <t>SC</t>
        </is>
      </c>
      <c r="M216" t="n">
        <v>4896543563</v>
      </c>
      <c r="N216" t="n">
        <v>2260.98</v>
      </c>
      <c r="O216" t="n">
        <v>467.96</v>
      </c>
      <c r="P216" t="inlineStr">
        <is>
          <t>03 - SUL</t>
        </is>
      </c>
      <c r="Q216" t="inlineStr">
        <is>
          <t>HEMANUELE DITZEL (MANU)</t>
        </is>
      </c>
      <c r="S216" t="inlineStr">
        <is>
          <t>ZR - NAO APLICAVEL</t>
        </is>
      </c>
      <c r="T216" t="inlineStr">
        <is>
          <t>HEMANUELE ROSA DITZEL</t>
        </is>
      </c>
      <c r="V216" t="inlineStr">
        <is>
          <t>top 300</t>
        </is>
      </c>
      <c r="W216" t="inlineStr">
        <is>
          <t>REGIÕES/GRUPOS</t>
        </is>
      </c>
    </row>
    <row r="217" ht="15" customHeight="1">
      <c r="A217" t="n">
        <v>0.210672</v>
      </c>
      <c r="B217" t="inlineStr">
        <is>
          <t>VERMELHO</t>
        </is>
      </c>
      <c r="C217" t="n">
        <v>10706.9</v>
      </c>
      <c r="D217" t="n">
        <v>2255.64</v>
      </c>
      <c r="E217" t="n">
        <v>10706.9</v>
      </c>
      <c r="F217" s="6" t="n">
        <v>0.210672</v>
      </c>
      <c r="G217" t="inlineStr">
        <is>
          <t>FITLAND</t>
        </is>
      </c>
      <c r="H217" t="inlineStr">
        <is>
          <t>SC</t>
        </is>
      </c>
      <c r="I217" t="n">
        <v>47988910411</v>
      </c>
      <c r="J217" t="inlineStr">
        <is>
          <t>Plano de Negócio</t>
        </is>
      </c>
      <c r="K217" t="inlineStr">
        <is>
          <t>FITLAND</t>
        </is>
      </c>
      <c r="L217" t="inlineStr">
        <is>
          <t>SC</t>
        </is>
      </c>
      <c r="M217" t="n">
        <v>47988910411</v>
      </c>
      <c r="N217" t="n">
        <v>2255.64</v>
      </c>
      <c r="O217" t="n">
        <v>892.24</v>
      </c>
      <c r="P217" t="inlineStr">
        <is>
          <t>03 - NACIONAL</t>
        </is>
      </c>
      <c r="Q217" t="inlineStr">
        <is>
          <t>JULIO GADRET</t>
        </is>
      </c>
      <c r="S217" t="inlineStr">
        <is>
          <t>LG REPRESENTACOES LTDA - EPP</t>
        </is>
      </c>
      <c r="T217" t="inlineStr">
        <is>
          <t>ZV - NAO APLICAVEL</t>
        </is>
      </c>
      <c r="V217" t="inlineStr">
        <is>
          <t>top 300</t>
        </is>
      </c>
      <c r="W217" t="inlineStr">
        <is>
          <t>REDES E FRANQUIAS</t>
        </is>
      </c>
    </row>
    <row r="218" ht="15" customHeight="1">
      <c r="A218" t="n">
        <v>0.391402</v>
      </c>
      <c r="B218" t="inlineStr">
        <is>
          <t>VERMELHO</t>
        </is>
      </c>
      <c r="C218" t="n">
        <v>5615.5</v>
      </c>
      <c r="D218" t="n">
        <v>2197.92</v>
      </c>
      <c r="E218" t="n">
        <v>5615.5</v>
      </c>
      <c r="F218" s="6" t="n">
        <v>0.391402</v>
      </c>
      <c r="G218" t="inlineStr">
        <is>
          <t>SEM GRUPO</t>
        </is>
      </c>
      <c r="H218" t="inlineStr">
        <is>
          <t>RJ</t>
        </is>
      </c>
      <c r="I218" t="n">
        <v>21999960666</v>
      </c>
      <c r="J218" t="inlineStr">
        <is>
          <t>Plano de Negócio</t>
        </is>
      </c>
      <c r="K218" t="inlineStr">
        <is>
          <t>SEM REDE</t>
        </is>
      </c>
      <c r="L218" t="inlineStr">
        <is>
          <t>RJ</t>
        </is>
      </c>
      <c r="M218" t="n">
        <v>21999960666</v>
      </c>
      <c r="N218" t="n">
        <v>2197.92</v>
      </c>
      <c r="O218" t="n">
        <v>467.96</v>
      </c>
      <c r="P218" t="inlineStr">
        <is>
          <t>03 - RJ + ES + MG</t>
        </is>
      </c>
      <c r="Q218" t="inlineStr">
        <is>
          <t>LARISSA PADILHA</t>
        </is>
      </c>
      <c r="S218" t="inlineStr">
        <is>
          <t>42.149.466 LARISSA DA SILVA PADILHA - ME</t>
        </is>
      </c>
      <c r="T218" t="inlineStr">
        <is>
          <t>ZV - NAO APLICAVEL</t>
        </is>
      </c>
      <c r="V218" t="inlineStr">
        <is>
          <t>top 300</t>
        </is>
      </c>
      <c r="W218" t="inlineStr">
        <is>
          <t>REGIÕES/GRUPOS</t>
        </is>
      </c>
    </row>
    <row r="219" ht="15" customHeight="1">
      <c r="A219" t="n">
        <v>0.388754</v>
      </c>
      <c r="B219" t="inlineStr">
        <is>
          <t>VERMELHO</t>
        </is>
      </c>
      <c r="C219" t="n">
        <v>5615.5</v>
      </c>
      <c r="D219" t="n">
        <v>2183.05</v>
      </c>
      <c r="E219" t="n">
        <v>5615.5</v>
      </c>
      <c r="F219" s="6" t="n">
        <v>0.388754</v>
      </c>
      <c r="G219" t="inlineStr">
        <is>
          <t>SEM GRUPO</t>
        </is>
      </c>
      <c r="H219" t="inlineStr">
        <is>
          <t>SP</t>
        </is>
      </c>
      <c r="I219" t="n">
        <v>12981991010</v>
      </c>
      <c r="J219" t="inlineStr">
        <is>
          <t>Plano de Negócio</t>
        </is>
      </c>
      <c r="K219" t="inlineStr">
        <is>
          <t>SEM REDE</t>
        </is>
      </c>
      <c r="L219" t="inlineStr">
        <is>
          <t>SP</t>
        </is>
      </c>
      <c r="M219" t="n">
        <v>12981991010</v>
      </c>
      <c r="N219" t="n">
        <v>2183.05</v>
      </c>
      <c r="O219" t="n">
        <v>467.96</v>
      </c>
      <c r="P219" t="inlineStr">
        <is>
          <t>03 - SP INTERIOR</t>
        </is>
      </c>
      <c r="Q219" t="inlineStr">
        <is>
          <t>LARISSA PADILHA</t>
        </is>
      </c>
      <c r="S219" t="inlineStr">
        <is>
          <t>ZR - NAO APLICAVEL</t>
        </is>
      </c>
      <c r="T219" t="inlineStr">
        <is>
          <t>ZV - NAO APLICAVEL</t>
        </is>
      </c>
      <c r="V219" t="inlineStr">
        <is>
          <t>top 300</t>
        </is>
      </c>
      <c r="W219" t="inlineStr">
        <is>
          <t>REGIÕES/GRUPOS</t>
        </is>
      </c>
    </row>
    <row r="220" ht="15" customHeight="1">
      <c r="A220" t="n">
        <v>0.384272</v>
      </c>
      <c r="B220" t="inlineStr">
        <is>
          <t>VERMELHO</t>
        </is>
      </c>
      <c r="C220" t="n">
        <v>5615.5</v>
      </c>
      <c r="D220" t="n">
        <v>2157.88</v>
      </c>
      <c r="E220" t="n">
        <v>5615.5</v>
      </c>
      <c r="F220" s="6" t="n">
        <v>0.384272</v>
      </c>
      <c r="G220" t="inlineStr">
        <is>
          <t>SEM GRUPO</t>
        </is>
      </c>
      <c r="H220" t="inlineStr">
        <is>
          <t>PR</t>
        </is>
      </c>
      <c r="I220" t="n">
        <v>4199156234</v>
      </c>
      <c r="J220" t="inlineStr">
        <is>
          <t>Plano de Negócio</t>
        </is>
      </c>
      <c r="K220" t="inlineStr">
        <is>
          <t>SEM REDE</t>
        </is>
      </c>
      <c r="L220" t="inlineStr">
        <is>
          <t>PR</t>
        </is>
      </c>
      <c r="M220" t="n">
        <v>4199156234</v>
      </c>
      <c r="N220" t="n">
        <v>2157.88</v>
      </c>
      <c r="O220" t="n">
        <v>467.96</v>
      </c>
      <c r="P220" t="inlineStr">
        <is>
          <t>03 - SUL</t>
        </is>
      </c>
      <c r="Q220" t="inlineStr">
        <is>
          <t>HEMANUELE DITZEL (MANU)</t>
        </is>
      </c>
      <c r="S220" t="inlineStr">
        <is>
          <t>ZR - NAO APLICAVEL</t>
        </is>
      </c>
      <c r="T220" t="inlineStr">
        <is>
          <t>HEMANUELE ROSA DITZEL</t>
        </is>
      </c>
      <c r="V220" t="inlineStr">
        <is>
          <t>top 300</t>
        </is>
      </c>
      <c r="W220" t="inlineStr">
        <is>
          <t>REGIÕES/GRUPOS</t>
        </is>
      </c>
    </row>
    <row r="221" ht="15" customHeight="1">
      <c r="A221" t="n">
        <v>0.384151</v>
      </c>
      <c r="B221" t="inlineStr">
        <is>
          <t>VERMELHO</t>
        </is>
      </c>
      <c r="C221" t="n">
        <v>5615.5</v>
      </c>
      <c r="D221" t="n">
        <v>2157.2</v>
      </c>
      <c r="E221" t="n">
        <v>5615.5</v>
      </c>
      <c r="F221" s="6" t="n">
        <v>0.384151</v>
      </c>
      <c r="G221" t="inlineStr">
        <is>
          <t>SEM GRUPO</t>
        </is>
      </c>
      <c r="H221" t="inlineStr">
        <is>
          <t>RS</t>
        </is>
      </c>
      <c r="I221" t="n">
        <v>51992788413</v>
      </c>
      <c r="J221" t="inlineStr">
        <is>
          <t>Plano de Negócio</t>
        </is>
      </c>
      <c r="K221" t="inlineStr">
        <is>
          <t>SEM REDE</t>
        </is>
      </c>
      <c r="L221" t="inlineStr">
        <is>
          <t>RS</t>
        </is>
      </c>
      <c r="M221" t="n">
        <v>51992788413</v>
      </c>
      <c r="N221" t="n">
        <v>2157.2</v>
      </c>
      <c r="O221" t="n">
        <v>467.96</v>
      </c>
      <c r="P221" t="inlineStr">
        <is>
          <t>03 - SUL</t>
        </is>
      </c>
      <c r="Q221" t="inlineStr">
        <is>
          <t>HEMANUELE DITZEL (MANU)</t>
        </is>
      </c>
      <c r="S221" t="inlineStr">
        <is>
          <t>ZR - NAO APLICAVEL</t>
        </is>
      </c>
      <c r="T221" t="inlineStr">
        <is>
          <t>HEMANUELE ROSA DITZEL</t>
        </is>
      </c>
      <c r="V221" t="inlineStr">
        <is>
          <t>top 300</t>
        </is>
      </c>
      <c r="W221" t="inlineStr">
        <is>
          <t>REGIÕES/GRUPOS</t>
        </is>
      </c>
    </row>
    <row r="222" ht="15" customHeight="1">
      <c r="A222" t="n">
        <v>0.381604</v>
      </c>
      <c r="B222" t="inlineStr">
        <is>
          <t>VERMELHO</t>
        </is>
      </c>
      <c r="C222" t="n">
        <v>5615.5</v>
      </c>
      <c r="D222" t="n">
        <v>2142.9</v>
      </c>
      <c r="E222" t="n">
        <v>5615.5</v>
      </c>
      <c r="F222" s="6" t="n">
        <v>0.381604</v>
      </c>
      <c r="G222" t="inlineStr">
        <is>
          <t>SEM GRUPO</t>
        </is>
      </c>
      <c r="H222" t="inlineStr">
        <is>
          <t>PR</t>
        </is>
      </c>
      <c r="I222" t="n">
        <v>4626011782</v>
      </c>
      <c r="J222" t="inlineStr">
        <is>
          <t>Plano de Negócio</t>
        </is>
      </c>
      <c r="K222" t="inlineStr">
        <is>
          <t>SEM REDE</t>
        </is>
      </c>
      <c r="L222" t="inlineStr">
        <is>
          <t>PR</t>
        </is>
      </c>
      <c r="M222" t="n">
        <v>4626011782</v>
      </c>
      <c r="N222" t="n">
        <v>2142.9</v>
      </c>
      <c r="O222" t="n">
        <v>467.96</v>
      </c>
      <c r="P222" t="inlineStr">
        <is>
          <t>03 - SUL</t>
        </is>
      </c>
      <c r="Q222" t="inlineStr">
        <is>
          <t>HEMANUELE DITZEL (MANU)</t>
        </is>
      </c>
      <c r="S222" t="inlineStr">
        <is>
          <t>ZR - NAO APLICAVEL</t>
        </is>
      </c>
      <c r="T222" t="inlineStr">
        <is>
          <t>HEMANUELE ROSA DITZEL</t>
        </is>
      </c>
      <c r="V222" t="inlineStr">
        <is>
          <t>top 300</t>
        </is>
      </c>
      <c r="W222" t="inlineStr">
        <is>
          <t>REGIÕES/GRUPOS</t>
        </is>
      </c>
    </row>
    <row r="223" ht="15" customHeight="1">
      <c r="A223" t="n">
        <v>0.381554</v>
      </c>
      <c r="B223" t="inlineStr">
        <is>
          <t>VERMELHO</t>
        </is>
      </c>
      <c r="C223" t="n">
        <v>5615.5</v>
      </c>
      <c r="D223" t="n">
        <v>2142.62</v>
      </c>
      <c r="E223" t="n">
        <v>5615.5</v>
      </c>
      <c r="F223" s="6" t="n">
        <v>0.381554</v>
      </c>
      <c r="G223" t="inlineStr">
        <is>
          <t>SEM GRUPO</t>
        </is>
      </c>
      <c r="H223" t="inlineStr">
        <is>
          <t>SP</t>
        </is>
      </c>
      <c r="I223" t="n">
        <v>1991597034</v>
      </c>
      <c r="J223" t="inlineStr">
        <is>
          <t>Plano de Negócio</t>
        </is>
      </c>
      <c r="K223" t="inlineStr">
        <is>
          <t>SEM REDE</t>
        </is>
      </c>
      <c r="L223" t="inlineStr">
        <is>
          <t>SP</t>
        </is>
      </c>
      <c r="M223" t="n">
        <v>1991597034</v>
      </c>
      <c r="N223" t="n">
        <v>2142.62</v>
      </c>
      <c r="O223" t="n">
        <v>467.96</v>
      </c>
      <c r="P223" t="inlineStr">
        <is>
          <t>03 - SP INTERIOR</t>
        </is>
      </c>
      <c r="Q223" t="inlineStr">
        <is>
          <t>LARISSA PADILHA</t>
        </is>
      </c>
      <c r="S223" t="inlineStr">
        <is>
          <t>42.149.466 LARISSA DA SILVA PADILHA - ME</t>
        </is>
      </c>
      <c r="T223" t="inlineStr">
        <is>
          <t>ZV - NAO APLICAVEL</t>
        </is>
      </c>
      <c r="V223" t="inlineStr">
        <is>
          <t>top 300</t>
        </is>
      </c>
      <c r="W223" t="inlineStr">
        <is>
          <t>REGIÕES/GRUPOS</t>
        </is>
      </c>
    </row>
    <row r="224" ht="15" customHeight="1">
      <c r="A224" t="n">
        <v>0.207823</v>
      </c>
      <c r="B224" t="inlineStr">
        <is>
          <t>VERMELHO</t>
        </is>
      </c>
      <c r="C224" t="n">
        <v>10200</v>
      </c>
      <c r="D224" t="n">
        <v>2119.79</v>
      </c>
      <c r="E224" t="n">
        <v>10200</v>
      </c>
      <c r="F224" s="6" t="n">
        <v>0.207823</v>
      </c>
      <c r="G224" t="inlineStr">
        <is>
          <t>VIDA LEVE</t>
        </is>
      </c>
      <c r="H224" t="inlineStr">
        <is>
          <t>SP</t>
        </is>
      </c>
      <c r="I224" t="n">
        <v>17996133737</v>
      </c>
      <c r="J224" t="inlineStr">
        <is>
          <t>Plano de Negócio</t>
        </is>
      </c>
      <c r="K224" t="inlineStr">
        <is>
          <t>VIDA LEVE</t>
        </is>
      </c>
      <c r="L224" t="inlineStr">
        <is>
          <t>SP</t>
        </is>
      </c>
      <c r="M224" t="n">
        <v>17996133737</v>
      </c>
      <c r="N224" t="n">
        <v>2119.79</v>
      </c>
      <c r="O224" t="n">
        <v>850</v>
      </c>
      <c r="P224" t="inlineStr">
        <is>
          <t>03 - NACIONAL</t>
        </is>
      </c>
      <c r="Q224" t="inlineStr">
        <is>
          <t>HEMANUELE DITZEL (MANU)</t>
        </is>
      </c>
      <c r="S224" t="inlineStr">
        <is>
          <t>ZR - NAO APLICAVEL</t>
        </is>
      </c>
      <c r="T224" t="inlineStr">
        <is>
          <t>HEMANUELE ROSA DITZEL</t>
        </is>
      </c>
      <c r="V224" t="inlineStr">
        <is>
          <t>top 300</t>
        </is>
      </c>
      <c r="W224" t="inlineStr">
        <is>
          <t>REDES E FRANQUIAS</t>
        </is>
      </c>
    </row>
    <row r="225" ht="15" customHeight="1">
      <c r="A225" t="n">
        <v>0.376102</v>
      </c>
      <c r="B225" t="inlineStr">
        <is>
          <t>VERMELHO</t>
        </is>
      </c>
      <c r="C225" t="n">
        <v>5615.5</v>
      </c>
      <c r="D225" t="n">
        <v>2112</v>
      </c>
      <c r="E225" t="n">
        <v>5615.5</v>
      </c>
      <c r="F225" s="6" t="n">
        <v>0.376102</v>
      </c>
      <c r="G225" t="inlineStr">
        <is>
          <t>SEM GRUPO</t>
        </is>
      </c>
      <c r="H225" t="inlineStr">
        <is>
          <t>SC</t>
        </is>
      </c>
      <c r="I225" t="n">
        <v>4799780533</v>
      </c>
      <c r="J225" t="inlineStr">
        <is>
          <t>Plano de Negócio</t>
        </is>
      </c>
      <c r="K225" t="inlineStr">
        <is>
          <t>SEM REDE</t>
        </is>
      </c>
      <c r="L225" t="inlineStr">
        <is>
          <t>SC</t>
        </is>
      </c>
      <c r="M225" t="n">
        <v>4799780533</v>
      </c>
      <c r="N225" t="n">
        <v>2112</v>
      </c>
      <c r="O225" t="n">
        <v>467.96</v>
      </c>
      <c r="P225" t="inlineStr">
        <is>
          <t>03 - SUL</t>
        </is>
      </c>
      <c r="Q225" t="inlineStr">
        <is>
          <t>HEMANUELE DITZEL (MANU)</t>
        </is>
      </c>
      <c r="S225" t="inlineStr">
        <is>
          <t>ZR - NAO APLICAVEL</t>
        </is>
      </c>
      <c r="T225" t="inlineStr">
        <is>
          <t>HEMANUELE ROSA DITZEL</t>
        </is>
      </c>
      <c r="V225" t="inlineStr">
        <is>
          <t>top 300</t>
        </is>
      </c>
      <c r="W225" t="inlineStr">
        <is>
          <t>REGIÕES/GRUPOS</t>
        </is>
      </c>
    </row>
    <row r="226" ht="15" customHeight="1">
      <c r="A226" t="n">
        <v>0.375184</v>
      </c>
      <c r="B226" t="inlineStr">
        <is>
          <t>VERMELHO</t>
        </is>
      </c>
      <c r="C226" t="n">
        <v>5615.5</v>
      </c>
      <c r="D226" t="n">
        <v>2106.85</v>
      </c>
      <c r="E226" t="n">
        <v>5615.5</v>
      </c>
      <c r="F226" s="6" t="n">
        <v>0.375184</v>
      </c>
      <c r="G226" t="inlineStr">
        <is>
          <t>SEM GRUPO</t>
        </is>
      </c>
      <c r="H226" t="inlineStr">
        <is>
          <t>SP</t>
        </is>
      </c>
      <c r="I226" t="n">
        <v>11933580088</v>
      </c>
      <c r="J226" t="inlineStr">
        <is>
          <t>Plano de Negócio</t>
        </is>
      </c>
      <c r="K226" t="inlineStr">
        <is>
          <t>SEM REDE</t>
        </is>
      </c>
      <c r="L226" t="inlineStr">
        <is>
          <t>SP</t>
        </is>
      </c>
      <c r="M226" t="n">
        <v>11933580088</v>
      </c>
      <c r="N226" t="n">
        <v>2106.85</v>
      </c>
      <c r="O226" t="n">
        <v>467.96</v>
      </c>
      <c r="P226" t="inlineStr">
        <is>
          <t>03 - SP CAPITAL</t>
        </is>
      </c>
      <c r="Q226" t="inlineStr">
        <is>
          <t>LARISSA PADILHA</t>
        </is>
      </c>
      <c r="S226" t="inlineStr">
        <is>
          <t>42.149.466 LARISSA DA SILVA PADILHA - ME</t>
        </is>
      </c>
      <c r="T226" t="inlineStr">
        <is>
          <t>ZV - NAO APLICAVEL</t>
        </is>
      </c>
      <c r="V226" t="inlineStr">
        <is>
          <t>top 300</t>
        </is>
      </c>
      <c r="W226" t="inlineStr">
        <is>
          <t>REGIÕES/GRUPOS</t>
        </is>
      </c>
    </row>
    <row r="227" ht="15" customHeight="1">
      <c r="A227" t="n">
        <v>0.368936</v>
      </c>
      <c r="B227" t="inlineStr">
        <is>
          <t>VERMELHO</t>
        </is>
      </c>
      <c r="C227" t="n">
        <v>5615.5</v>
      </c>
      <c r="D227" t="n">
        <v>2071.76</v>
      </c>
      <c r="E227" t="n">
        <v>5615.5</v>
      </c>
      <c r="F227" s="6" t="n">
        <v>0.368936</v>
      </c>
      <c r="G227" t="inlineStr">
        <is>
          <t>SEM GRUPO</t>
        </is>
      </c>
      <c r="H227" t="inlineStr">
        <is>
          <t>SC</t>
        </is>
      </c>
      <c r="I227" t="n">
        <v>4999044309</v>
      </c>
      <c r="J227" t="inlineStr">
        <is>
          <t>Plano de Negócio</t>
        </is>
      </c>
      <c r="K227" t="inlineStr">
        <is>
          <t>SEM REDE</t>
        </is>
      </c>
      <c r="L227" t="inlineStr">
        <is>
          <t>SC</t>
        </is>
      </c>
      <c r="M227" t="n">
        <v>4999044309</v>
      </c>
      <c r="N227" t="n">
        <v>2071.76</v>
      </c>
      <c r="O227" t="n">
        <v>467.96</v>
      </c>
      <c r="P227" t="inlineStr">
        <is>
          <t>03 - SUL</t>
        </is>
      </c>
      <c r="Q227" t="inlineStr">
        <is>
          <t>HEMANUELE DITZEL (MANU)</t>
        </is>
      </c>
      <c r="S227" t="inlineStr">
        <is>
          <t>ZR - NAO APLICAVEL</t>
        </is>
      </c>
      <c r="T227" t="inlineStr">
        <is>
          <t>HEMANUELE ROSA DITZEL</t>
        </is>
      </c>
      <c r="V227" t="inlineStr">
        <is>
          <t>top 300</t>
        </is>
      </c>
      <c r="W227" t="inlineStr">
        <is>
          <t>REGIÕES/GRUPOS</t>
        </is>
      </c>
    </row>
    <row r="228" ht="15" customHeight="1">
      <c r="A228" t="n">
        <v>0.368857</v>
      </c>
      <c r="B228" t="inlineStr">
        <is>
          <t>VERMELHO</t>
        </is>
      </c>
      <c r="C228" t="n">
        <v>5615.5</v>
      </c>
      <c r="D228" t="n">
        <v>2071.32</v>
      </c>
      <c r="E228" t="n">
        <v>5615.5</v>
      </c>
      <c r="F228" s="6" t="n">
        <v>0.368857</v>
      </c>
      <c r="G228" t="inlineStr">
        <is>
          <t>SEM GRUPO</t>
        </is>
      </c>
      <c r="H228" t="inlineStr">
        <is>
          <t>SC</t>
        </is>
      </c>
      <c r="I228" t="n">
        <v>47996379456</v>
      </c>
      <c r="J228" t="inlineStr">
        <is>
          <t>Plano de Negócio</t>
        </is>
      </c>
      <c r="K228" t="inlineStr">
        <is>
          <t>SEM REDE</t>
        </is>
      </c>
      <c r="L228" t="inlineStr">
        <is>
          <t>SC</t>
        </is>
      </c>
      <c r="M228" t="n">
        <v>47996379456</v>
      </c>
      <c r="N228" t="n">
        <v>2071.32</v>
      </c>
      <c r="O228" t="n">
        <v>467.96</v>
      </c>
      <c r="P228" t="inlineStr">
        <is>
          <t>03 - SUL</t>
        </is>
      </c>
      <c r="Q228" t="inlineStr">
        <is>
          <t>HEMANUELE DITZEL (MANU)</t>
        </is>
      </c>
      <c r="S228" t="inlineStr">
        <is>
          <t>ZR - NAO APLICAVEL</t>
        </is>
      </c>
      <c r="T228" t="inlineStr">
        <is>
          <t>HEMANUELE ROSA DITZEL</t>
        </is>
      </c>
      <c r="V228" t="inlineStr">
        <is>
          <t>top 300</t>
        </is>
      </c>
      <c r="W228" t="inlineStr">
        <is>
          <t>REGIÕES/GRUPOS</t>
        </is>
      </c>
    </row>
    <row r="229" ht="15" customHeight="1">
      <c r="A229" t="n">
        <v>0.193318</v>
      </c>
      <c r="B229" t="inlineStr">
        <is>
          <t>VERMELHO</t>
        </is>
      </c>
      <c r="C229" t="n">
        <v>10706.9</v>
      </c>
      <c r="D229" t="n">
        <v>2069.84</v>
      </c>
      <c r="E229" t="n">
        <v>10706.9</v>
      </c>
      <c r="F229" s="6" t="n">
        <v>0.193318</v>
      </c>
      <c r="G229" t="inlineStr">
        <is>
          <t>FITLAND</t>
        </is>
      </c>
      <c r="H229" t="inlineStr">
        <is>
          <t>SC</t>
        </is>
      </c>
      <c r="I229" t="n">
        <v>48999320410</v>
      </c>
      <c r="J229" t="inlineStr">
        <is>
          <t>Plano de Negócio</t>
        </is>
      </c>
      <c r="K229" t="inlineStr">
        <is>
          <t>FITLAND</t>
        </is>
      </c>
      <c r="L229" t="inlineStr">
        <is>
          <t>SC</t>
        </is>
      </c>
      <c r="M229" t="n">
        <v>48999320410</v>
      </c>
      <c r="N229" t="n">
        <v>2069.84</v>
      </c>
      <c r="O229" t="n">
        <v>892.24</v>
      </c>
      <c r="P229" t="inlineStr">
        <is>
          <t>03 - NACIONAL</t>
        </is>
      </c>
      <c r="Q229" t="inlineStr">
        <is>
          <t>JULIO GADRET</t>
        </is>
      </c>
      <c r="S229" t="inlineStr">
        <is>
          <t>LG REPRESENTACOES LTDA - EPP</t>
        </is>
      </c>
      <c r="T229" t="inlineStr">
        <is>
          <t>ZV - NAO APLICAVEL</t>
        </is>
      </c>
      <c r="V229" t="inlineStr">
        <is>
          <t>top 300</t>
        </is>
      </c>
      <c r="W229" t="inlineStr">
        <is>
          <t>REDES E FRANQUIAS</t>
        </is>
      </c>
    </row>
    <row r="230" ht="15" customHeight="1">
      <c r="A230" t="n">
        <v>0.367267</v>
      </c>
      <c r="B230" t="inlineStr">
        <is>
          <t>VERMELHO</t>
        </is>
      </c>
      <c r="C230" t="n">
        <v>5615.5</v>
      </c>
      <c r="D230" t="n">
        <v>2062.39</v>
      </c>
      <c r="E230" t="n">
        <v>5615.5</v>
      </c>
      <c r="F230" s="6" t="n">
        <v>0.367267</v>
      </c>
      <c r="G230" t="inlineStr">
        <is>
          <t>SEM GRUPO</t>
        </is>
      </c>
      <c r="H230" t="inlineStr">
        <is>
          <t>SC</t>
        </is>
      </c>
      <c r="I230" t="n">
        <v>4899481178</v>
      </c>
      <c r="J230" t="inlineStr">
        <is>
          <t>Plano de Negócio</t>
        </is>
      </c>
      <c r="K230" t="inlineStr">
        <is>
          <t>SEM REDE</t>
        </is>
      </c>
      <c r="L230" t="inlineStr">
        <is>
          <t>SC</t>
        </is>
      </c>
      <c r="M230" t="n">
        <v>4899481178</v>
      </c>
      <c r="N230" t="n">
        <v>2062.39</v>
      </c>
      <c r="O230" t="n">
        <v>467.96</v>
      </c>
      <c r="P230" t="inlineStr">
        <is>
          <t>03 - SUL</t>
        </is>
      </c>
      <c r="Q230" t="inlineStr">
        <is>
          <t>HEMANUELE DITZEL (MANU)</t>
        </is>
      </c>
      <c r="S230" t="inlineStr">
        <is>
          <t>ZR - NAO APLICAVEL</t>
        </is>
      </c>
      <c r="T230" t="inlineStr">
        <is>
          <t>HEMANUELE ROSA DITZEL</t>
        </is>
      </c>
      <c r="V230" t="inlineStr">
        <is>
          <t>top 300</t>
        </is>
      </c>
      <c r="W230" t="inlineStr">
        <is>
          <t>REGIÕES/GRUPOS</t>
        </is>
      </c>
    </row>
    <row r="231" ht="15" customHeight="1">
      <c r="A231" t="n">
        <v>0.367119</v>
      </c>
      <c r="B231" t="inlineStr">
        <is>
          <t>VERMELHO</t>
        </is>
      </c>
      <c r="C231" t="n">
        <v>5615.5</v>
      </c>
      <c r="D231" t="n">
        <v>2061.56</v>
      </c>
      <c r="E231" t="n">
        <v>5615.5</v>
      </c>
      <c r="F231" s="6" t="n">
        <v>0.367119</v>
      </c>
      <c r="G231" t="inlineStr">
        <is>
          <t>SEM GRUPO</t>
        </is>
      </c>
      <c r="H231" t="inlineStr">
        <is>
          <t>SP</t>
        </is>
      </c>
      <c r="I231" t="n">
        <v>14999082203</v>
      </c>
      <c r="J231" t="inlineStr">
        <is>
          <t>Plano de Negócio</t>
        </is>
      </c>
      <c r="K231" t="inlineStr">
        <is>
          <t>SEM REDE</t>
        </is>
      </c>
      <c r="L231" t="inlineStr">
        <is>
          <t>SP</t>
        </is>
      </c>
      <c r="M231" t="n">
        <v>14999082203</v>
      </c>
      <c r="N231" t="n">
        <v>2061.56</v>
      </c>
      <c r="O231" t="n">
        <v>467.96</v>
      </c>
      <c r="P231" t="inlineStr">
        <is>
          <t>03 - SP INTERIOR</t>
        </is>
      </c>
      <c r="Q231" t="inlineStr">
        <is>
          <t>LARISSA PADILHA</t>
        </is>
      </c>
      <c r="S231" t="inlineStr">
        <is>
          <t>ZR - NAO APLICAVEL</t>
        </is>
      </c>
      <c r="T231" t="inlineStr">
        <is>
          <t>ZV - NAO APLICAVEL</t>
        </is>
      </c>
      <c r="V231" t="inlineStr">
        <is>
          <t>top 300</t>
        </is>
      </c>
      <c r="W231" t="inlineStr">
        <is>
          <t>REGIÕES/GRUPOS</t>
        </is>
      </c>
    </row>
    <row r="232" ht="15" customHeight="1">
      <c r="A232" t="n">
        <v>0.364455</v>
      </c>
      <c r="B232" t="inlineStr">
        <is>
          <t>VERMELHO</t>
        </is>
      </c>
      <c r="C232" t="n">
        <v>5615.5</v>
      </c>
      <c r="D232" t="n">
        <v>2046.6</v>
      </c>
      <c r="E232" t="n">
        <v>5615.5</v>
      </c>
      <c r="F232" s="6" t="n">
        <v>0.364455</v>
      </c>
      <c r="G232" t="inlineStr">
        <is>
          <t>SEM GRUPO</t>
        </is>
      </c>
      <c r="H232" t="inlineStr">
        <is>
          <t>MA</t>
        </is>
      </c>
      <c r="I232" t="n">
        <v>98992181903</v>
      </c>
      <c r="J232" t="inlineStr">
        <is>
          <t>Plano de Negócio</t>
        </is>
      </c>
      <c r="K232" t="inlineStr">
        <is>
          <t>SEM REDE</t>
        </is>
      </c>
      <c r="L232" t="inlineStr">
        <is>
          <t>MA</t>
        </is>
      </c>
      <c r="M232" t="n">
        <v>98992181903</v>
      </c>
      <c r="N232" t="n">
        <v>2046.6</v>
      </c>
      <c r="O232" t="n">
        <v>467.96</v>
      </c>
      <c r="P232" t="inlineStr">
        <is>
          <t>03 - NORTE + MA</t>
        </is>
      </c>
      <c r="Q232" t="inlineStr">
        <is>
          <t>LARISSA PADILHA</t>
        </is>
      </c>
      <c r="S232" t="inlineStr">
        <is>
          <t>42.149.466 LARISSA DA SILVA PADILHA - ME</t>
        </is>
      </c>
      <c r="T232" t="inlineStr">
        <is>
          <t>ZV - NAO APLICAVEL</t>
        </is>
      </c>
      <c r="V232" t="inlineStr">
        <is>
          <t>top 300</t>
        </is>
      </c>
      <c r="W232" t="inlineStr">
        <is>
          <t>REGIÕES/GRUPOS</t>
        </is>
      </c>
    </row>
    <row r="233" ht="15" customHeight="1">
      <c r="A233" t="n">
        <v>0.362228</v>
      </c>
      <c r="B233" t="inlineStr">
        <is>
          <t>VERMELHO</t>
        </is>
      </c>
      <c r="C233" t="n">
        <v>5615.5</v>
      </c>
      <c r="D233" t="n">
        <v>2034.09</v>
      </c>
      <c r="E233" t="n">
        <v>5615.5</v>
      </c>
      <c r="F233" s="6" t="n">
        <v>0.362228</v>
      </c>
      <c r="G233" t="inlineStr">
        <is>
          <t>SEM GRUPO</t>
        </is>
      </c>
      <c r="H233" t="inlineStr">
        <is>
          <t>PR</t>
        </is>
      </c>
      <c r="I233" t="n">
        <v>4133693610</v>
      </c>
      <c r="J233" t="inlineStr">
        <is>
          <t>Plano de Negócio</t>
        </is>
      </c>
      <c r="K233" t="inlineStr">
        <is>
          <t>SEM REDE</t>
        </is>
      </c>
      <c r="L233" t="inlineStr">
        <is>
          <t>PR</t>
        </is>
      </c>
      <c r="M233" t="n">
        <v>4133693610</v>
      </c>
      <c r="N233" t="n">
        <v>2034.09</v>
      </c>
      <c r="O233" t="n">
        <v>467.96</v>
      </c>
      <c r="P233" t="inlineStr">
        <is>
          <t>03 - SUL</t>
        </is>
      </c>
      <c r="Q233" t="inlineStr">
        <is>
          <t>HEMANUELE DITZEL (MANU)</t>
        </is>
      </c>
      <c r="S233" t="inlineStr">
        <is>
          <t>ZR - NAO APLICAVEL</t>
        </is>
      </c>
      <c r="T233" t="inlineStr">
        <is>
          <t>ZV - NAO APLICAVEL</t>
        </is>
      </c>
      <c r="V233" t="inlineStr">
        <is>
          <t>top 300</t>
        </is>
      </c>
      <c r="W233" t="inlineStr">
        <is>
          <t>REGIÕES/GRUPOS</t>
        </is>
      </c>
    </row>
    <row r="234" ht="15" customHeight="1">
      <c r="A234" t="n">
        <v>0.361921</v>
      </c>
      <c r="B234" t="inlineStr">
        <is>
          <t>VERMELHO</t>
        </is>
      </c>
      <c r="C234" t="n">
        <v>5615.5</v>
      </c>
      <c r="D234" t="n">
        <v>2032.37</v>
      </c>
      <c r="E234" t="n">
        <v>5615.5</v>
      </c>
      <c r="F234" s="6" t="n">
        <v>0.361921</v>
      </c>
      <c r="G234" t="inlineStr">
        <is>
          <t>SEM GRUPO</t>
        </is>
      </c>
      <c r="H234" t="inlineStr">
        <is>
          <t>MG</t>
        </is>
      </c>
      <c r="I234" t="n">
        <v>31985937048</v>
      </c>
      <c r="J234" t="inlineStr">
        <is>
          <t>Plano de Negócio</t>
        </is>
      </c>
      <c r="K234" t="inlineStr">
        <is>
          <t>SEM REDE</t>
        </is>
      </c>
      <c r="L234" t="inlineStr">
        <is>
          <t>MG</t>
        </is>
      </c>
      <c r="M234" t="n">
        <v>31985937048</v>
      </c>
      <c r="N234" t="n">
        <v>2032.37</v>
      </c>
      <c r="O234" t="n">
        <v>467.96</v>
      </c>
      <c r="P234" t="inlineStr">
        <is>
          <t>03 - RJ + ES + MG</t>
        </is>
      </c>
      <c r="Q234" t="inlineStr">
        <is>
          <t>LARISSA PADILHA</t>
        </is>
      </c>
      <c r="S234" t="inlineStr">
        <is>
          <t>42.149.466 LARISSA DA SILVA PADILHA - ME</t>
        </is>
      </c>
      <c r="T234" t="inlineStr">
        <is>
          <t>ZV - NAO APLICAVEL</t>
        </is>
      </c>
      <c r="V234" t="inlineStr">
        <is>
          <t>top 300</t>
        </is>
      </c>
      <c r="W234" t="inlineStr">
        <is>
          <t>REGIÕES/GRUPOS</t>
        </is>
      </c>
    </row>
    <row r="235" ht="15" customHeight="1">
      <c r="A235" t="n">
        <v>0.361602</v>
      </c>
      <c r="B235" t="inlineStr">
        <is>
          <t>VERMELHO</t>
        </is>
      </c>
      <c r="C235" t="n">
        <v>5615.5</v>
      </c>
      <c r="D235" t="n">
        <v>2030.58</v>
      </c>
      <c r="E235" t="n">
        <v>5615.5</v>
      </c>
      <c r="F235" s="6" t="n">
        <v>0.361602</v>
      </c>
      <c r="G235" t="inlineStr">
        <is>
          <t>SEM GRUPO</t>
        </is>
      </c>
      <c r="H235" t="inlineStr">
        <is>
          <t>PR</t>
        </is>
      </c>
      <c r="I235" t="n">
        <v>4391970746</v>
      </c>
      <c r="J235" t="inlineStr">
        <is>
          <t>Plano de Negócio</t>
        </is>
      </c>
      <c r="K235" t="inlineStr">
        <is>
          <t>SEM REDE</t>
        </is>
      </c>
      <c r="L235" t="inlineStr">
        <is>
          <t>PR</t>
        </is>
      </c>
      <c r="M235" t="n">
        <v>4391970746</v>
      </c>
      <c r="N235" t="n">
        <v>2030.58</v>
      </c>
      <c r="O235" t="n">
        <v>467.96</v>
      </c>
      <c r="P235" t="inlineStr">
        <is>
          <t>03 - SUL</t>
        </is>
      </c>
      <c r="Q235" t="inlineStr">
        <is>
          <t>HEMANUELE DITZEL (MANU)</t>
        </is>
      </c>
      <c r="S235" t="inlineStr">
        <is>
          <t>ZR - NAO APLICAVEL</t>
        </is>
      </c>
      <c r="T235" t="inlineStr">
        <is>
          <t>HEMANUELE ROSA DITZEL</t>
        </is>
      </c>
      <c r="V235" t="inlineStr">
        <is>
          <t>top 300</t>
        </is>
      </c>
      <c r="W235" t="inlineStr">
        <is>
          <t>REGIÕES/GRUPOS</t>
        </is>
      </c>
    </row>
    <row r="236" ht="15" customHeight="1">
      <c r="A236" t="n">
        <v>0.186165</v>
      </c>
      <c r="B236" t="inlineStr">
        <is>
          <t>VERMELHO</t>
        </is>
      </c>
      <c r="C236" t="n">
        <v>10875</v>
      </c>
      <c r="D236" t="n">
        <v>2024.54</v>
      </c>
      <c r="E236" t="n">
        <v>10875</v>
      </c>
      <c r="F236" s="6" t="n">
        <v>0.186165</v>
      </c>
      <c r="G236" t="inlineStr">
        <is>
          <t>CIA DA SAUDE</t>
        </is>
      </c>
      <c r="H236" t="inlineStr">
        <is>
          <t>SC</t>
        </is>
      </c>
      <c r="I236" t="n">
        <v>47988041731</v>
      </c>
      <c r="J236" t="inlineStr">
        <is>
          <t>Plano de Negócio</t>
        </is>
      </c>
      <c r="K236" t="inlineStr">
        <is>
          <t>CIA DA SAUDE</t>
        </is>
      </c>
      <c r="L236" t="inlineStr">
        <is>
          <t>SC</t>
        </is>
      </c>
      <c r="M236" t="n">
        <v>47988041731</v>
      </c>
      <c r="N236" t="n">
        <v>2024.54</v>
      </c>
      <c r="O236" t="n">
        <v>906.25</v>
      </c>
      <c r="P236" t="inlineStr">
        <is>
          <t>03 - NACIONAL</t>
        </is>
      </c>
      <c r="Q236" t="inlineStr">
        <is>
          <t>JULIO GADRET</t>
        </is>
      </c>
      <c r="S236" t="inlineStr">
        <is>
          <t>LG REPRESENTACOES LTDA - EPP</t>
        </is>
      </c>
      <c r="T236" t="inlineStr">
        <is>
          <t>ZV - NAO APLICAVEL</t>
        </is>
      </c>
      <c r="V236" t="inlineStr">
        <is>
          <t>top 300</t>
        </is>
      </c>
      <c r="W236" t="inlineStr">
        <is>
          <t>REDES E FRANQUIAS</t>
        </is>
      </c>
    </row>
    <row r="237" ht="15" customHeight="1">
      <c r="A237" t="n">
        <v>0.358921</v>
      </c>
      <c r="B237" t="inlineStr">
        <is>
          <t>VERMELHO</t>
        </is>
      </c>
      <c r="C237" t="n">
        <v>5615.5</v>
      </c>
      <c r="D237" t="n">
        <v>2015.52</v>
      </c>
      <c r="E237" t="n">
        <v>5615.5</v>
      </c>
      <c r="F237" s="6" t="n">
        <v>0.358921</v>
      </c>
      <c r="G237" t="inlineStr">
        <is>
          <t>SEM GRUPO</t>
        </is>
      </c>
      <c r="H237" t="inlineStr">
        <is>
          <t>SP</t>
        </is>
      </c>
      <c r="I237" t="n">
        <v>11996548328</v>
      </c>
      <c r="J237" t="inlineStr">
        <is>
          <t>Plano de Negócio</t>
        </is>
      </c>
      <c r="K237" t="inlineStr">
        <is>
          <t>SEM REDE</t>
        </is>
      </c>
      <c r="L237" t="inlineStr">
        <is>
          <t>SP</t>
        </is>
      </c>
      <c r="M237" t="n">
        <v>11996548328</v>
      </c>
      <c r="N237" t="n">
        <v>2015.52</v>
      </c>
      <c r="O237" t="n">
        <v>467.96</v>
      </c>
      <c r="P237" t="inlineStr">
        <is>
          <t>03 - SP INTERIOR</t>
        </is>
      </c>
      <c r="Q237" t="inlineStr">
        <is>
          <t>LARISSA PADILHA</t>
        </is>
      </c>
      <c r="S237" t="inlineStr">
        <is>
          <t>42.149.466 LARISSA DA SILVA PADILHA - ME</t>
        </is>
      </c>
      <c r="T237" t="inlineStr">
        <is>
          <t>ZV - NAO APLICAVEL</t>
        </is>
      </c>
      <c r="V237" t="inlineStr">
        <is>
          <t>top 300</t>
        </is>
      </c>
      <c r="W237" t="inlineStr">
        <is>
          <t>REGIÕES/GRUPOS</t>
        </is>
      </c>
    </row>
    <row r="238" ht="15" customHeight="1">
      <c r="A238" t="n">
        <v>0.358908</v>
      </c>
      <c r="B238" t="inlineStr">
        <is>
          <t>VERMELHO</t>
        </is>
      </c>
      <c r="C238" t="n">
        <v>5615.5</v>
      </c>
      <c r="D238" t="n">
        <v>2015.45</v>
      </c>
      <c r="E238" t="n">
        <v>5615.5</v>
      </c>
      <c r="F238" s="6" t="n">
        <v>0.358908</v>
      </c>
      <c r="G238" t="inlineStr">
        <is>
          <t>SEM GRUPO</t>
        </is>
      </c>
      <c r="H238" t="inlineStr">
        <is>
          <t>SP</t>
        </is>
      </c>
      <c r="I238" t="n">
        <v>16996100364</v>
      </c>
      <c r="J238" t="inlineStr">
        <is>
          <t>Plano de Negócio</t>
        </is>
      </c>
      <c r="K238" t="inlineStr">
        <is>
          <t>SEM REDE</t>
        </is>
      </c>
      <c r="L238" t="inlineStr">
        <is>
          <t>SP</t>
        </is>
      </c>
      <c r="M238" t="n">
        <v>16996100364</v>
      </c>
      <c r="N238" t="n">
        <v>2015.45</v>
      </c>
      <c r="O238" t="n">
        <v>467.96</v>
      </c>
      <c r="P238" t="inlineStr">
        <is>
          <t>03 - SP INTERIOR</t>
        </is>
      </c>
      <c r="Q238" t="inlineStr">
        <is>
          <t>HEMANUELE DITZEL (MANU)</t>
        </is>
      </c>
      <c r="S238" t="inlineStr">
        <is>
          <t>ZR - NAO APLICAVEL</t>
        </is>
      </c>
      <c r="T238" t="inlineStr">
        <is>
          <t>HEMANUELE ROSA DITZEL</t>
        </is>
      </c>
      <c r="V238" t="inlineStr">
        <is>
          <t>top 300</t>
        </is>
      </c>
      <c r="W238" t="inlineStr">
        <is>
          <t>REGIÕES/GRUPOS</t>
        </is>
      </c>
    </row>
    <row r="239" ht="15" customHeight="1">
      <c r="A239" t="n">
        <v>0.352002</v>
      </c>
      <c r="B239" t="inlineStr">
        <is>
          <t>VERMELHO</t>
        </is>
      </c>
      <c r="C239" t="n">
        <v>5615.5</v>
      </c>
      <c r="D239" t="n">
        <v>1976.67</v>
      </c>
      <c r="E239" t="n">
        <v>5615.5</v>
      </c>
      <c r="F239" s="6" t="n">
        <v>0.352002</v>
      </c>
      <c r="G239" t="inlineStr">
        <is>
          <t>SEM GRUPO</t>
        </is>
      </c>
      <c r="H239" t="inlineStr">
        <is>
          <t>RJ</t>
        </is>
      </c>
      <c r="I239" t="n">
        <v>21997156179</v>
      </c>
      <c r="J239" t="inlineStr">
        <is>
          <t>Plano de Negócio</t>
        </is>
      </c>
      <c r="K239" t="inlineStr">
        <is>
          <t>SEM REDE</t>
        </is>
      </c>
      <c r="L239" t="inlineStr">
        <is>
          <t>RJ</t>
        </is>
      </c>
      <c r="M239" t="n">
        <v>21997156179</v>
      </c>
      <c r="N239" t="n">
        <v>1976.67</v>
      </c>
      <c r="O239" t="n">
        <v>467.96</v>
      </c>
      <c r="P239" t="inlineStr">
        <is>
          <t>03 - RJ + ES + MG</t>
        </is>
      </c>
      <c r="Q239" t="inlineStr">
        <is>
          <t>LARISSA PADILHA</t>
        </is>
      </c>
      <c r="S239" t="inlineStr">
        <is>
          <t>42.149.466 LARISSA DA SILVA PADILHA - ME</t>
        </is>
      </c>
      <c r="T239" t="inlineStr">
        <is>
          <t>ZV - NAO APLICAVEL</t>
        </is>
      </c>
      <c r="V239" t="inlineStr">
        <is>
          <t>top 300</t>
        </is>
      </c>
      <c r="W239" t="inlineStr">
        <is>
          <t>REGIÕES/GRUPOS</t>
        </is>
      </c>
    </row>
    <row r="240" ht="15" customHeight="1">
      <c r="A240" t="n">
        <v>0.193531</v>
      </c>
      <c r="B240" t="inlineStr">
        <is>
          <t>VERMELHO</t>
        </is>
      </c>
      <c r="C240" t="n">
        <v>10200</v>
      </c>
      <c r="D240" t="n">
        <v>1974.02</v>
      </c>
      <c r="E240" t="n">
        <v>10200</v>
      </c>
      <c r="F240" s="6" t="n">
        <v>0.193531</v>
      </c>
      <c r="G240" t="inlineStr">
        <is>
          <t>VIDA LEVE</t>
        </is>
      </c>
      <c r="H240" t="inlineStr">
        <is>
          <t>PR</t>
        </is>
      </c>
      <c r="I240" t="n">
        <v>17992091540</v>
      </c>
      <c r="J240" t="inlineStr">
        <is>
          <t>Plano de Negócio</t>
        </is>
      </c>
      <c r="K240" t="inlineStr">
        <is>
          <t>VIDA LEVE</t>
        </is>
      </c>
      <c r="L240" t="inlineStr">
        <is>
          <t>PR</t>
        </is>
      </c>
      <c r="M240" t="n">
        <v>17992091540</v>
      </c>
      <c r="N240" t="n">
        <v>1974.02</v>
      </c>
      <c r="O240" t="n">
        <v>850</v>
      </c>
      <c r="P240" t="inlineStr">
        <is>
          <t>03 - NACIONAL</t>
        </is>
      </c>
      <c r="Q240" t="inlineStr">
        <is>
          <t>DAIANE STAVICKI</t>
        </is>
      </c>
      <c r="S240" t="inlineStr">
        <is>
          <t>ZR - NAO APLICAVEL</t>
        </is>
      </c>
      <c r="T240" t="inlineStr">
        <is>
          <t>ZV - NAO APLICAVEL</t>
        </is>
      </c>
      <c r="V240" t="inlineStr">
        <is>
          <t>top 300</t>
        </is>
      </c>
      <c r="W240" t="inlineStr">
        <is>
          <t>REDES E FRANQUIAS</t>
        </is>
      </c>
    </row>
    <row r="241" ht="15" customHeight="1">
      <c r="A241" t="n">
        <v>0.351034</v>
      </c>
      <c r="B241" t="inlineStr">
        <is>
          <t>VERMELHO</t>
        </is>
      </c>
      <c r="C241" t="n">
        <v>5615.5</v>
      </c>
      <c r="D241" t="n">
        <v>1971.23</v>
      </c>
      <c r="E241" t="n">
        <v>5615.5</v>
      </c>
      <c r="F241" s="6" t="n">
        <v>0.351034</v>
      </c>
      <c r="G241" t="inlineStr">
        <is>
          <t>SEM GRUPO</t>
        </is>
      </c>
      <c r="H241" t="inlineStr">
        <is>
          <t>SP</t>
        </is>
      </c>
      <c r="I241" t="n">
        <v>12996532808</v>
      </c>
      <c r="J241" t="inlineStr">
        <is>
          <t>Plano de Negócio</t>
        </is>
      </c>
      <c r="K241" t="inlineStr">
        <is>
          <t>SEM REDE</t>
        </is>
      </c>
      <c r="L241" t="inlineStr">
        <is>
          <t>SP</t>
        </is>
      </c>
      <c r="M241" t="n">
        <v>12996532808</v>
      </c>
      <c r="N241" t="n">
        <v>1971.23</v>
      </c>
      <c r="O241" t="n">
        <v>467.96</v>
      </c>
      <c r="P241" t="inlineStr">
        <is>
          <t>03 - SP INTERIOR</t>
        </is>
      </c>
      <c r="Q241" t="inlineStr">
        <is>
          <t>LARISSA PADILHA</t>
        </is>
      </c>
      <c r="S241" t="inlineStr">
        <is>
          <t>42.149.466 LARISSA DA SILVA PADILHA - ME</t>
        </is>
      </c>
      <c r="T241" t="inlineStr">
        <is>
          <t>ZV - NAO APLICAVEL</t>
        </is>
      </c>
      <c r="V241" t="inlineStr">
        <is>
          <t>top 300</t>
        </is>
      </c>
      <c r="W241" t="inlineStr">
        <is>
          <t>REGIÕES/GRUPOS</t>
        </is>
      </c>
    </row>
    <row r="242" ht="15" customHeight="1">
      <c r="A242" t="n">
        <v>0.344112</v>
      </c>
      <c r="B242" t="inlineStr">
        <is>
          <t>VERMELHO</t>
        </is>
      </c>
      <c r="C242" t="n">
        <v>5615.5</v>
      </c>
      <c r="D242" t="n">
        <v>1932.36</v>
      </c>
      <c r="E242" t="n">
        <v>5615.5</v>
      </c>
      <c r="F242" s="6" t="n">
        <v>0.344112</v>
      </c>
      <c r="G242" t="inlineStr">
        <is>
          <t>SEM GRUPO</t>
        </is>
      </c>
      <c r="H242" t="inlineStr">
        <is>
          <t>SC</t>
        </is>
      </c>
      <c r="I242" t="n">
        <v>49998205538</v>
      </c>
      <c r="J242" t="inlineStr">
        <is>
          <t>Plano de Negócio</t>
        </is>
      </c>
      <c r="K242" t="inlineStr">
        <is>
          <t>SEM REDE</t>
        </is>
      </c>
      <c r="L242" t="inlineStr">
        <is>
          <t>SC</t>
        </is>
      </c>
      <c r="M242" t="n">
        <v>49998205538</v>
      </c>
      <c r="N242" t="n">
        <v>1932.36</v>
      </c>
      <c r="O242" t="n">
        <v>467.96</v>
      </c>
      <c r="P242" t="inlineStr">
        <is>
          <t>03 - SUL</t>
        </is>
      </c>
      <c r="Q242" t="inlineStr">
        <is>
          <t>HEMANUELE DITZEL (MANU)</t>
        </is>
      </c>
      <c r="S242" t="inlineStr">
        <is>
          <t>ZR - NAO APLICAVEL</t>
        </is>
      </c>
      <c r="T242" t="inlineStr">
        <is>
          <t>HEMANUELE ROSA DITZEL</t>
        </is>
      </c>
      <c r="V242" t="inlineStr">
        <is>
          <t>top 300</t>
        </is>
      </c>
      <c r="W242" t="inlineStr">
        <is>
          <t>REGIÕES/GRUPOS</t>
        </is>
      </c>
    </row>
    <row r="243" ht="15" customHeight="1">
      <c r="A243" t="n">
        <v>0.2678</v>
      </c>
      <c r="B243" t="inlineStr">
        <is>
          <t>VERMELHO</t>
        </is>
      </c>
      <c r="C243" t="n">
        <v>7200</v>
      </c>
      <c r="D243" t="n">
        <v>1928.16</v>
      </c>
      <c r="E243" t="n">
        <v>7200</v>
      </c>
      <c r="F243" s="6" t="n">
        <v>0.2678</v>
      </c>
      <c r="G243" t="inlineStr">
        <is>
          <t>MINHA QUITANDINHA - SP</t>
        </is>
      </c>
      <c r="H243" t="inlineStr">
        <is>
          <t>SP</t>
        </is>
      </c>
      <c r="I243" t="n">
        <v>16982035010</v>
      </c>
      <c r="J243" t="inlineStr">
        <is>
          <t>Plano de Negócio</t>
        </is>
      </c>
      <c r="K243" t="inlineStr">
        <is>
          <t>SEM REDE</t>
        </is>
      </c>
      <c r="L243" t="inlineStr">
        <is>
          <t>SP</t>
        </is>
      </c>
      <c r="M243" t="n">
        <v>16982035010</v>
      </c>
      <c r="N243" t="n">
        <v>1928.16</v>
      </c>
      <c r="O243" t="n">
        <v>600</v>
      </c>
      <c r="P243" t="inlineStr">
        <is>
          <t>03 - SP INTERIOR</t>
        </is>
      </c>
      <c r="Q243" t="inlineStr">
        <is>
          <t>LARISSA PADILHA</t>
        </is>
      </c>
      <c r="S243" t="inlineStr">
        <is>
          <t>42.149.466 LARISSA DA SILVA PADILHA - ME</t>
        </is>
      </c>
      <c r="T243" t="inlineStr">
        <is>
          <t>ZV - NAO APLICAVEL</t>
        </is>
      </c>
      <c r="V243" t="inlineStr">
        <is>
          <t>top 300</t>
        </is>
      </c>
      <c r="W243" t="inlineStr">
        <is>
          <t>REGIÕES/GRUPOS</t>
        </is>
      </c>
    </row>
    <row r="244" ht="15" customHeight="1">
      <c r="A244" t="n">
        <v>0.343264</v>
      </c>
      <c r="B244" t="inlineStr">
        <is>
          <t>VERMELHO</t>
        </is>
      </c>
      <c r="C244" t="n">
        <v>5615.5</v>
      </c>
      <c r="D244" t="n">
        <v>1927.6</v>
      </c>
      <c r="E244" t="n">
        <v>5615.5</v>
      </c>
      <c r="F244" s="6" t="n">
        <v>0.343264</v>
      </c>
      <c r="G244" t="inlineStr">
        <is>
          <t>SEM GRUPO</t>
        </is>
      </c>
      <c r="H244" t="inlineStr">
        <is>
          <t>RJ</t>
        </is>
      </c>
      <c r="I244" t="n">
        <v>22999419668</v>
      </c>
      <c r="J244" t="inlineStr">
        <is>
          <t>Plano de Negócio</t>
        </is>
      </c>
      <c r="K244" t="inlineStr">
        <is>
          <t>SEM REDE</t>
        </is>
      </c>
      <c r="L244" t="inlineStr">
        <is>
          <t>RJ</t>
        </is>
      </c>
      <c r="M244" t="n">
        <v>22999419668</v>
      </c>
      <c r="N244" t="n">
        <v>1927.6</v>
      </c>
      <c r="O244" t="n">
        <v>467.96</v>
      </c>
      <c r="P244" t="inlineStr">
        <is>
          <t>03 - RJ + ES + MG</t>
        </is>
      </c>
      <c r="Q244" t="inlineStr">
        <is>
          <t>LARISSA PADILHA</t>
        </is>
      </c>
      <c r="S244" t="inlineStr">
        <is>
          <t>42.149.466 LARISSA DA SILVA PADILHA - ME</t>
        </is>
      </c>
      <c r="T244" t="inlineStr">
        <is>
          <t>ZV - NAO APLICAVEL</t>
        </is>
      </c>
      <c r="V244" t="inlineStr">
        <is>
          <t>top 300</t>
        </is>
      </c>
      <c r="W244" t="inlineStr">
        <is>
          <t>REGIÕES/GRUPOS</t>
        </is>
      </c>
    </row>
    <row r="245" ht="15" customHeight="1">
      <c r="A245" t="n">
        <v>0.186969</v>
      </c>
      <c r="B245" t="inlineStr">
        <is>
          <t>VERMELHO</t>
        </is>
      </c>
      <c r="C245" t="n">
        <v>10200</v>
      </c>
      <c r="D245" t="n">
        <v>1907.08</v>
      </c>
      <c r="E245" t="n">
        <v>10200</v>
      </c>
      <c r="F245" s="6" t="n">
        <v>0.186969</v>
      </c>
      <c r="G245" t="inlineStr">
        <is>
          <t>VIDA LEVE</t>
        </is>
      </c>
      <c r="H245" t="inlineStr">
        <is>
          <t>PR</t>
        </is>
      </c>
      <c r="I245" t="n">
        <v>41988589412</v>
      </c>
      <c r="J245" t="inlineStr">
        <is>
          <t>Plano de Negócio</t>
        </is>
      </c>
      <c r="K245" t="inlineStr">
        <is>
          <t>VIDA LEVE</t>
        </is>
      </c>
      <c r="L245" t="inlineStr">
        <is>
          <t>PR</t>
        </is>
      </c>
      <c r="M245" t="n">
        <v>41988589412</v>
      </c>
      <c r="N245" t="n">
        <v>1907.08</v>
      </c>
      <c r="O245" t="n">
        <v>850</v>
      </c>
      <c r="P245" t="inlineStr">
        <is>
          <t>03 - NACIONAL</t>
        </is>
      </c>
      <c r="Q245" t="inlineStr">
        <is>
          <t>DAIANE STAVICKI</t>
        </is>
      </c>
      <c r="S245" t="inlineStr">
        <is>
          <t>ZR - NAO APLICAVEL</t>
        </is>
      </c>
      <c r="T245" t="inlineStr">
        <is>
          <t>ZV - NAO APLICAVEL</t>
        </is>
      </c>
      <c r="V245" t="inlineStr">
        <is>
          <t>top 300</t>
        </is>
      </c>
      <c r="W245" t="inlineStr">
        <is>
          <t>REDES E FRANQUIAS</t>
        </is>
      </c>
    </row>
    <row r="246" ht="15" customHeight="1">
      <c r="A246" t="n">
        <v>0.338741</v>
      </c>
      <c r="B246" t="inlineStr">
        <is>
          <t>VERMELHO</t>
        </is>
      </c>
      <c r="C246" t="n">
        <v>5615.5</v>
      </c>
      <c r="D246" t="n">
        <v>1902.2</v>
      </c>
      <c r="E246" t="n">
        <v>5615.5</v>
      </c>
      <c r="F246" s="6" t="n">
        <v>0.338741</v>
      </c>
      <c r="G246" t="inlineStr">
        <is>
          <t>SEM GRUPO</t>
        </is>
      </c>
      <c r="H246" t="inlineStr">
        <is>
          <t>MT</t>
        </is>
      </c>
      <c r="I246" t="n">
        <v>65999367619</v>
      </c>
      <c r="J246" t="inlineStr">
        <is>
          <t>Plano de Negócio</t>
        </is>
      </c>
      <c r="K246" t="inlineStr">
        <is>
          <t>SEM REDE</t>
        </is>
      </c>
      <c r="L246" t="inlineStr">
        <is>
          <t>MT</t>
        </is>
      </c>
      <c r="M246" t="n">
        <v>65999367619</v>
      </c>
      <c r="N246" t="n">
        <v>1902.2</v>
      </c>
      <c r="O246" t="n">
        <v>467.96</v>
      </c>
      <c r="P246" t="inlineStr">
        <is>
          <t>03 - CENTRO OESTE</t>
        </is>
      </c>
      <c r="Q246" t="inlineStr">
        <is>
          <t>LARISSA PADILHA</t>
        </is>
      </c>
      <c r="S246" t="inlineStr">
        <is>
          <t>42.149.466 LARISSA DA SILVA PADILHA - ME</t>
        </is>
      </c>
      <c r="T246" t="inlineStr">
        <is>
          <t>ZV - NAO APLICAVEL</t>
        </is>
      </c>
      <c r="V246" t="inlineStr">
        <is>
          <t>top 300</t>
        </is>
      </c>
      <c r="W246" t="inlineStr">
        <is>
          <t>REGIÕES/GRUPOS</t>
        </is>
      </c>
    </row>
    <row r="247" ht="15" customHeight="1">
      <c r="A247" t="n">
        <v>0.337957</v>
      </c>
      <c r="B247" t="inlineStr">
        <is>
          <t>VERMELHO</t>
        </is>
      </c>
      <c r="C247" t="n">
        <v>5615.5</v>
      </c>
      <c r="D247" t="n">
        <v>1897.8</v>
      </c>
      <c r="E247" t="n">
        <v>5615.5</v>
      </c>
      <c r="F247" s="6" t="n">
        <v>0.337957</v>
      </c>
      <c r="G247" t="inlineStr">
        <is>
          <t>SEM GRUPO</t>
        </is>
      </c>
      <c r="H247" t="inlineStr">
        <is>
          <t>ES</t>
        </is>
      </c>
      <c r="I247" t="n">
        <v>27992310947</v>
      </c>
      <c r="J247" t="inlineStr">
        <is>
          <t>Plano de Negócio</t>
        </is>
      </c>
      <c r="K247" t="inlineStr">
        <is>
          <t>SEM REDE</t>
        </is>
      </c>
      <c r="L247" t="inlineStr">
        <is>
          <t>ES</t>
        </is>
      </c>
      <c r="M247" t="n">
        <v>27992310947</v>
      </c>
      <c r="N247" t="n">
        <v>1897.8</v>
      </c>
      <c r="O247" t="n">
        <v>467.96</v>
      </c>
      <c r="P247" t="inlineStr">
        <is>
          <t>03 - RJ + ES + MG</t>
        </is>
      </c>
      <c r="Q247" t="inlineStr">
        <is>
          <t>LARISSA PADILHA</t>
        </is>
      </c>
      <c r="S247" t="inlineStr">
        <is>
          <t>42.149.466 LARISSA DA SILVA PADILHA - ME</t>
        </is>
      </c>
      <c r="T247" t="inlineStr">
        <is>
          <t>ZV - NAO APLICAVEL</t>
        </is>
      </c>
      <c r="V247" t="inlineStr">
        <is>
          <t>top 300</t>
        </is>
      </c>
      <c r="W247" t="inlineStr">
        <is>
          <t>REGIÕES/GRUPOS</t>
        </is>
      </c>
    </row>
    <row r="248" ht="15" customHeight="1">
      <c r="A248" t="n">
        <v>0.337083</v>
      </c>
      <c r="B248" t="inlineStr">
        <is>
          <t>VERMELHO</t>
        </is>
      </c>
      <c r="C248" t="n">
        <v>5615.5</v>
      </c>
      <c r="D248" t="n">
        <v>1892.89</v>
      </c>
      <c r="E248" t="n">
        <v>5615.5</v>
      </c>
      <c r="F248" s="6" t="n">
        <v>0.337083</v>
      </c>
      <c r="G248" t="inlineStr">
        <is>
          <t>SEM GRUPO</t>
        </is>
      </c>
      <c r="H248" t="inlineStr">
        <is>
          <t>SC</t>
        </is>
      </c>
      <c r="I248" t="n">
        <v>48991730745</v>
      </c>
      <c r="J248" t="inlineStr">
        <is>
          <t>Plano de Negócio</t>
        </is>
      </c>
      <c r="K248" t="inlineStr">
        <is>
          <t>SEM REDE</t>
        </is>
      </c>
      <c r="L248" t="inlineStr">
        <is>
          <t>SC</t>
        </is>
      </c>
      <c r="M248" t="n">
        <v>48991730745</v>
      </c>
      <c r="N248" t="n">
        <v>1892.89</v>
      </c>
      <c r="O248" t="n">
        <v>467.96</v>
      </c>
      <c r="P248" t="inlineStr">
        <is>
          <t>03 - SUL</t>
        </is>
      </c>
      <c r="Q248" t="inlineStr">
        <is>
          <t>HEMANUELE DITZEL (MANU)</t>
        </is>
      </c>
      <c r="S248" t="inlineStr">
        <is>
          <t>ZR - NAO APLICAVEL</t>
        </is>
      </c>
      <c r="T248" t="inlineStr">
        <is>
          <t>HEMANUELE ROSA DITZEL</t>
        </is>
      </c>
      <c r="V248" t="inlineStr">
        <is>
          <t>top 300</t>
        </is>
      </c>
      <c r="W248" t="inlineStr">
        <is>
          <t>REGIÕES/GRUPOS</t>
        </is>
      </c>
    </row>
    <row r="249" ht="15" customHeight="1">
      <c r="A249" t="n">
        <v>0.170212</v>
      </c>
      <c r="B249" t="inlineStr">
        <is>
          <t>VERMELHO</t>
        </is>
      </c>
      <c r="C249" t="n">
        <v>10875</v>
      </c>
      <c r="D249" t="n">
        <v>1851.06</v>
      </c>
      <c r="E249" t="n">
        <v>10875</v>
      </c>
      <c r="F249" s="6" t="n">
        <v>0.170212</v>
      </c>
      <c r="G249" t="inlineStr">
        <is>
          <t>CIA DA SAUDE</t>
        </is>
      </c>
      <c r="H249" t="inlineStr">
        <is>
          <t>SC</t>
        </is>
      </c>
      <c r="I249" t="n">
        <v>4834472489</v>
      </c>
      <c r="J249" t="inlineStr">
        <is>
          <t>Plano de Negócio</t>
        </is>
      </c>
      <c r="K249" t="inlineStr">
        <is>
          <t>CIA DA SAUDE</t>
        </is>
      </c>
      <c r="L249" t="inlineStr">
        <is>
          <t>SC</t>
        </is>
      </c>
      <c r="M249" t="n">
        <v>4834472489</v>
      </c>
      <c r="N249" t="n">
        <v>1851.06</v>
      </c>
      <c r="O249" t="n">
        <v>906.25</v>
      </c>
      <c r="P249" t="inlineStr">
        <is>
          <t>03 - NACIONAL</t>
        </is>
      </c>
      <c r="Q249" t="inlineStr">
        <is>
          <t>JULIO GADRET</t>
        </is>
      </c>
      <c r="S249" t="inlineStr">
        <is>
          <t>LG REPRESENTACOES LTDA - EPP</t>
        </is>
      </c>
      <c r="T249" t="inlineStr">
        <is>
          <t>ZV - NAO APLICAVEL</t>
        </is>
      </c>
      <c r="V249" t="inlineStr">
        <is>
          <t>top 300</t>
        </is>
      </c>
      <c r="W249" t="inlineStr">
        <is>
          <t>REDES E FRANQUIAS</t>
        </is>
      </c>
    </row>
    <row r="250" ht="15" customHeight="1">
      <c r="A250" t="n">
        <v>0.326989</v>
      </c>
      <c r="B250" t="inlineStr">
        <is>
          <t>VERMELHO</t>
        </is>
      </c>
      <c r="C250" t="n">
        <v>5615.5</v>
      </c>
      <c r="D250" t="n">
        <v>1836.21</v>
      </c>
      <c r="E250" t="n">
        <v>5615.5</v>
      </c>
      <c r="F250" s="6" t="n">
        <v>0.326989</v>
      </c>
      <c r="G250" t="inlineStr">
        <is>
          <t>SEM GRUPO</t>
        </is>
      </c>
      <c r="H250" t="inlineStr">
        <is>
          <t>PR</t>
        </is>
      </c>
      <c r="I250" t="n">
        <v>4191464469</v>
      </c>
      <c r="J250" t="inlineStr">
        <is>
          <t>Plano de Negócio</t>
        </is>
      </c>
      <c r="K250" t="inlineStr">
        <is>
          <t>SEM REDE</t>
        </is>
      </c>
      <c r="L250" t="inlineStr">
        <is>
          <t>PR</t>
        </is>
      </c>
      <c r="M250" t="n">
        <v>4191464469</v>
      </c>
      <c r="N250" t="n">
        <v>1836.21</v>
      </c>
      <c r="O250" t="n">
        <v>467.96</v>
      </c>
      <c r="P250" t="inlineStr">
        <is>
          <t>03 - SUL</t>
        </is>
      </c>
      <c r="Q250" t="inlineStr">
        <is>
          <t>HEMANUELE DITZEL (MANU)</t>
        </is>
      </c>
      <c r="S250" t="inlineStr">
        <is>
          <t>ZR - NAO APLICAVEL</t>
        </is>
      </c>
      <c r="T250" t="inlineStr">
        <is>
          <t>ZV - NAO APLICAVEL</t>
        </is>
      </c>
      <c r="V250" t="inlineStr">
        <is>
          <t>top 300</t>
        </is>
      </c>
      <c r="W250" t="inlineStr">
        <is>
          <t>REGIÕES/GRUPOS</t>
        </is>
      </c>
    </row>
    <row r="251" ht="15" customHeight="1">
      <c r="A251" t="n">
        <v>0.32614</v>
      </c>
      <c r="B251" t="inlineStr">
        <is>
          <t>VERMELHO</t>
        </is>
      </c>
      <c r="C251" t="n">
        <v>5615.5</v>
      </c>
      <c r="D251" t="n">
        <v>1831.44</v>
      </c>
      <c r="E251" t="n">
        <v>5615.5</v>
      </c>
      <c r="F251" s="6" t="n">
        <v>0.32614</v>
      </c>
      <c r="G251" t="inlineStr">
        <is>
          <t>SEM GRUPO</t>
        </is>
      </c>
      <c r="H251" t="inlineStr">
        <is>
          <t>SC</t>
        </is>
      </c>
      <c r="I251" t="n">
        <v>4733238507</v>
      </c>
      <c r="J251" t="inlineStr">
        <is>
          <t>Plano de Negócio</t>
        </is>
      </c>
      <c r="K251" t="inlineStr">
        <is>
          <t>SEM REDE</t>
        </is>
      </c>
      <c r="L251" t="inlineStr">
        <is>
          <t>SC</t>
        </is>
      </c>
      <c r="M251" t="n">
        <v>4733238507</v>
      </c>
      <c r="N251" t="n">
        <v>1831.44</v>
      </c>
      <c r="O251" t="n">
        <v>467.96</v>
      </c>
      <c r="P251" t="inlineStr">
        <is>
          <t>03 - SUL</t>
        </is>
      </c>
      <c r="Q251" t="inlineStr">
        <is>
          <t>HEMANUELE DITZEL (MANU)</t>
        </is>
      </c>
      <c r="S251" t="inlineStr">
        <is>
          <t>ZR - NAO APLICAVEL</t>
        </is>
      </c>
      <c r="T251" t="inlineStr">
        <is>
          <t>HEMANUELE ROSA DITZEL</t>
        </is>
      </c>
      <c r="V251" t="inlineStr">
        <is>
          <t>top 300</t>
        </is>
      </c>
      <c r="W251" t="inlineStr">
        <is>
          <t>REGIÕES/GRUPOS</t>
        </is>
      </c>
    </row>
    <row r="252" ht="15" customHeight="1">
      <c r="A252" t="n">
        <v>0.32495</v>
      </c>
      <c r="B252" t="inlineStr">
        <is>
          <t>VERMELHO</t>
        </is>
      </c>
      <c r="C252" t="n">
        <v>5615.5</v>
      </c>
      <c r="D252" t="n">
        <v>1824.76</v>
      </c>
      <c r="E252" t="n">
        <v>5615.5</v>
      </c>
      <c r="F252" s="6" t="n">
        <v>0.32495</v>
      </c>
      <c r="G252" t="inlineStr">
        <is>
          <t>SEM GRUPO</t>
        </is>
      </c>
      <c r="H252" t="inlineStr">
        <is>
          <t>PA</t>
        </is>
      </c>
      <c r="I252" t="n">
        <v>91985331298</v>
      </c>
      <c r="J252" t="inlineStr">
        <is>
          <t>Plano de Negócio</t>
        </is>
      </c>
      <c r="K252" t="inlineStr">
        <is>
          <t>SEM REDE</t>
        </is>
      </c>
      <c r="L252" t="inlineStr">
        <is>
          <t>PA</t>
        </is>
      </c>
      <c r="M252" t="n">
        <v>91985331298</v>
      </c>
      <c r="N252" t="n">
        <v>1824.76</v>
      </c>
      <c r="O252" t="n">
        <v>467.96</v>
      </c>
      <c r="P252" t="inlineStr">
        <is>
          <t>03 - NORTE + MA</t>
        </is>
      </c>
      <c r="Q252" t="inlineStr">
        <is>
          <t>LARISSA PADILHA</t>
        </is>
      </c>
      <c r="S252" t="inlineStr">
        <is>
          <t>42.149.466 LARISSA DA SILVA PADILHA - ME</t>
        </is>
      </c>
      <c r="T252" t="inlineStr">
        <is>
          <t>ZV - NAO APLICAVEL</t>
        </is>
      </c>
      <c r="V252" t="inlineStr">
        <is>
          <t>top 300</t>
        </is>
      </c>
      <c r="W252" t="inlineStr">
        <is>
          <t>REGIÕES/GRUPOS</t>
        </is>
      </c>
    </row>
    <row r="253" ht="15" customHeight="1">
      <c r="A253" t="n">
        <v>0.324001</v>
      </c>
      <c r="B253" t="inlineStr">
        <is>
          <t>VERMELHO</t>
        </is>
      </c>
      <c r="C253" t="n">
        <v>5615.5</v>
      </c>
      <c r="D253" t="n">
        <v>1819.43</v>
      </c>
      <c r="E253" t="n">
        <v>5615.5</v>
      </c>
      <c r="F253" s="6" t="n">
        <v>0.324001</v>
      </c>
      <c r="G253" t="inlineStr">
        <is>
          <t>SEM GRUPO</t>
        </is>
      </c>
      <c r="H253" t="inlineStr">
        <is>
          <t>PR</t>
        </is>
      </c>
      <c r="I253" t="n">
        <v>4391176642</v>
      </c>
      <c r="J253" t="inlineStr">
        <is>
          <t>Plano de Negócio</t>
        </is>
      </c>
      <c r="K253" t="inlineStr">
        <is>
          <t>SEM REDE</t>
        </is>
      </c>
      <c r="L253" t="inlineStr">
        <is>
          <t>PR</t>
        </is>
      </c>
      <c r="M253" t="n">
        <v>4391176642</v>
      </c>
      <c r="N253" t="n">
        <v>1819.43</v>
      </c>
      <c r="O253" t="n">
        <v>467.96</v>
      </c>
      <c r="P253" t="inlineStr">
        <is>
          <t>03 - SUL</t>
        </is>
      </c>
      <c r="Q253" t="inlineStr">
        <is>
          <t>HEMANUELE DITZEL (MANU)</t>
        </is>
      </c>
      <c r="S253" t="inlineStr">
        <is>
          <t>ZR - NAO APLICAVEL</t>
        </is>
      </c>
      <c r="T253" t="inlineStr">
        <is>
          <t>HEMANUELE ROSA DITZEL</t>
        </is>
      </c>
      <c r="V253" t="inlineStr">
        <is>
          <t>top 300</t>
        </is>
      </c>
      <c r="W253" t="inlineStr">
        <is>
          <t>REGIÕES/GRUPOS</t>
        </is>
      </c>
    </row>
    <row r="254" ht="15" customHeight="1">
      <c r="A254" t="n">
        <v>0.323711</v>
      </c>
      <c r="B254" t="inlineStr">
        <is>
          <t>VERMELHO</t>
        </is>
      </c>
      <c r="C254" t="n">
        <v>5615.5</v>
      </c>
      <c r="D254" t="n">
        <v>1817.8</v>
      </c>
      <c r="E254" t="n">
        <v>5615.5</v>
      </c>
      <c r="F254" s="6" t="n">
        <v>0.323711</v>
      </c>
      <c r="G254" t="inlineStr">
        <is>
          <t>SEM GRUPO</t>
        </is>
      </c>
      <c r="H254" t="inlineStr">
        <is>
          <t>SP</t>
        </is>
      </c>
      <c r="I254" t="n">
        <v>11982636370</v>
      </c>
      <c r="J254" t="inlineStr">
        <is>
          <t>Plano de Negócio</t>
        </is>
      </c>
      <c r="K254" t="inlineStr">
        <is>
          <t>SEM REDE</t>
        </is>
      </c>
      <c r="L254" t="inlineStr">
        <is>
          <t>SP</t>
        </is>
      </c>
      <c r="M254" t="n">
        <v>11982636370</v>
      </c>
      <c r="N254" t="n">
        <v>1817.8</v>
      </c>
      <c r="O254" t="n">
        <v>467.96</v>
      </c>
      <c r="P254" t="inlineStr">
        <is>
          <t>03 - SP INTERIOR</t>
        </is>
      </c>
      <c r="Q254" t="inlineStr">
        <is>
          <t>LARISSA PADILHA</t>
        </is>
      </c>
      <c r="S254" t="inlineStr">
        <is>
          <t>ZR - NAO APLICAVEL</t>
        </is>
      </c>
      <c r="T254" t="inlineStr">
        <is>
          <t>ZV - NAO APLICAVEL</t>
        </is>
      </c>
      <c r="V254" t="inlineStr">
        <is>
          <t>top 300</t>
        </is>
      </c>
      <c r="W254" t="inlineStr">
        <is>
          <t>REGIÕES/GRUPOS</t>
        </is>
      </c>
    </row>
    <row r="255" ht="15" customHeight="1">
      <c r="A255" t="n">
        <v>0.168765</v>
      </c>
      <c r="B255" t="inlineStr">
        <is>
          <t>VERMELHO</t>
        </is>
      </c>
      <c r="C255" t="n">
        <v>10706.9</v>
      </c>
      <c r="D255" t="n">
        <v>1806.95</v>
      </c>
      <c r="E255" t="n">
        <v>10706.9</v>
      </c>
      <c r="F255" s="6" t="n">
        <v>0.168765</v>
      </c>
      <c r="G255" t="inlineStr">
        <is>
          <t>FITLAND</t>
        </is>
      </c>
      <c r="H255" t="inlineStr">
        <is>
          <t>SC</t>
        </is>
      </c>
      <c r="I255" t="n">
        <v>47992141901</v>
      </c>
      <c r="J255" t="inlineStr">
        <is>
          <t>Plano de Negócio</t>
        </is>
      </c>
      <c r="K255" t="inlineStr">
        <is>
          <t>FITLAND</t>
        </is>
      </c>
      <c r="L255" t="inlineStr">
        <is>
          <t>SC</t>
        </is>
      </c>
      <c r="M255" t="n">
        <v>47992141901</v>
      </c>
      <c r="N255" t="n">
        <v>1806.95</v>
      </c>
      <c r="O255" t="n">
        <v>892.24</v>
      </c>
      <c r="P255" t="inlineStr">
        <is>
          <t>03 - NACIONAL</t>
        </is>
      </c>
      <c r="Q255" t="inlineStr">
        <is>
          <t>JULIO GADRET</t>
        </is>
      </c>
      <c r="S255" t="inlineStr">
        <is>
          <t>ZR - NAO APLICAVEL</t>
        </is>
      </c>
      <c r="T255" t="inlineStr">
        <is>
          <t>ZV - NAO APLICAVEL</t>
        </is>
      </c>
      <c r="V255" t="inlineStr">
        <is>
          <t>top 300</t>
        </is>
      </c>
      <c r="W255" t="inlineStr">
        <is>
          <t>REDES E FRANQUIAS</t>
        </is>
      </c>
    </row>
    <row r="256" ht="15" customHeight="1">
      <c r="A256" t="n">
        <v>0.315975</v>
      </c>
      <c r="B256" t="inlineStr">
        <is>
          <t>VERMELHO</t>
        </is>
      </c>
      <c r="C256" t="n">
        <v>5615.5</v>
      </c>
      <c r="D256" t="n">
        <v>1774.36</v>
      </c>
      <c r="E256" t="n">
        <v>5615.5</v>
      </c>
      <c r="F256" s="6" t="n">
        <v>0.315975</v>
      </c>
      <c r="G256" t="inlineStr">
        <is>
          <t>SEM GRUPO</t>
        </is>
      </c>
      <c r="H256" t="inlineStr">
        <is>
          <t>PR</t>
        </is>
      </c>
      <c r="I256" t="n">
        <v>41998795596</v>
      </c>
      <c r="J256" t="inlineStr">
        <is>
          <t>Plano de Negócio</t>
        </is>
      </c>
      <c r="K256" t="inlineStr">
        <is>
          <t>SEM REDE</t>
        </is>
      </c>
      <c r="L256" t="inlineStr">
        <is>
          <t>PR</t>
        </is>
      </c>
      <c r="M256" t="n">
        <v>41998795596</v>
      </c>
      <c r="N256" t="n">
        <v>1774.36</v>
      </c>
      <c r="O256" t="n">
        <v>467.96</v>
      </c>
      <c r="P256" t="inlineStr">
        <is>
          <t>03 - SUL</t>
        </is>
      </c>
      <c r="Q256" t="inlineStr">
        <is>
          <t>HEMANUELE DITZEL (MANU)</t>
        </is>
      </c>
      <c r="S256" t="inlineStr">
        <is>
          <t>ZR - NAO APLICAVEL</t>
        </is>
      </c>
      <c r="T256" t="inlineStr">
        <is>
          <t>HEMANUELE ROSA DITZEL</t>
        </is>
      </c>
      <c r="V256" t="inlineStr">
        <is>
          <t>top 300</t>
        </is>
      </c>
      <c r="W256" t="inlineStr">
        <is>
          <t>REGIÕES/GRUPOS</t>
        </is>
      </c>
    </row>
    <row r="257" ht="15" customHeight="1">
      <c r="A257" t="n">
        <v>0.315576</v>
      </c>
      <c r="B257" t="inlineStr">
        <is>
          <t>VERMELHO</t>
        </is>
      </c>
      <c r="C257" t="n">
        <v>5615.5</v>
      </c>
      <c r="D257" t="n">
        <v>1772.12</v>
      </c>
      <c r="E257" t="n">
        <v>5615.5</v>
      </c>
      <c r="F257" s="6" t="n">
        <v>0.315576</v>
      </c>
      <c r="G257" t="inlineStr">
        <is>
          <t>SEM GRUPO</t>
        </is>
      </c>
      <c r="H257" t="inlineStr">
        <is>
          <t>SC</t>
        </is>
      </c>
      <c r="I257" t="n">
        <v>47925240074</v>
      </c>
      <c r="J257" t="inlineStr">
        <is>
          <t>Plano de Negócio</t>
        </is>
      </c>
      <c r="K257" t="inlineStr">
        <is>
          <t>SEM REDE</t>
        </is>
      </c>
      <c r="L257" t="inlineStr">
        <is>
          <t>SC</t>
        </is>
      </c>
      <c r="M257" t="n">
        <v>47925240074</v>
      </c>
      <c r="N257" t="n">
        <v>1772.12</v>
      </c>
      <c r="O257" t="n">
        <v>467.96</v>
      </c>
      <c r="P257" t="inlineStr">
        <is>
          <t>03 - SUL</t>
        </is>
      </c>
      <c r="Q257" t="inlineStr">
        <is>
          <t>HEMANUELE DITZEL (MANU)</t>
        </is>
      </c>
      <c r="S257" t="inlineStr">
        <is>
          <t>ZR - NAO APLICAVEL</t>
        </is>
      </c>
      <c r="T257" t="inlineStr">
        <is>
          <t>HEMANUELE ROSA DITZEL</t>
        </is>
      </c>
      <c r="V257" t="inlineStr">
        <is>
          <t>top 300</t>
        </is>
      </c>
      <c r="W257" t="inlineStr">
        <is>
          <t>REGIÕES/GRUPOS</t>
        </is>
      </c>
    </row>
    <row r="258" ht="15" customHeight="1">
      <c r="A258" t="n">
        <v>0.165379</v>
      </c>
      <c r="B258" t="inlineStr">
        <is>
          <t>VERMELHO</t>
        </is>
      </c>
      <c r="C258" t="n">
        <v>10706.9</v>
      </c>
      <c r="D258" t="n">
        <v>1770.7</v>
      </c>
      <c r="E258" t="n">
        <v>10706.9</v>
      </c>
      <c r="F258" s="6" t="n">
        <v>0.165379</v>
      </c>
      <c r="G258" t="inlineStr">
        <is>
          <t>FITLAND</t>
        </is>
      </c>
      <c r="H258" t="inlineStr">
        <is>
          <t>SC</t>
        </is>
      </c>
      <c r="I258" t="n">
        <v>4733680373</v>
      </c>
      <c r="J258" t="inlineStr">
        <is>
          <t>Plano de Negócio</t>
        </is>
      </c>
      <c r="K258" t="inlineStr">
        <is>
          <t>FITLAND</t>
        </is>
      </c>
      <c r="L258" t="inlineStr">
        <is>
          <t>SC</t>
        </is>
      </c>
      <c r="M258" t="n">
        <v>4733680373</v>
      </c>
      <c r="N258" t="n">
        <v>1770.7</v>
      </c>
      <c r="O258" t="n">
        <v>892.24</v>
      </c>
      <c r="P258" t="inlineStr">
        <is>
          <t>03 - NACIONAL</t>
        </is>
      </c>
      <c r="Q258" t="inlineStr">
        <is>
          <t>JULIO GADRET</t>
        </is>
      </c>
      <c r="S258" t="inlineStr">
        <is>
          <t>ZR - NAO APLICAVEL</t>
        </is>
      </c>
      <c r="T258" t="inlineStr">
        <is>
          <t>ZV - NAO APLICAVEL</t>
        </is>
      </c>
      <c r="V258" t="inlineStr">
        <is>
          <t>top 300</t>
        </is>
      </c>
      <c r="W258" t="inlineStr">
        <is>
          <t>REDES E FRANQUIAS</t>
        </is>
      </c>
    </row>
    <row r="259" ht="15" customHeight="1">
      <c r="A259" t="n">
        <v>0.313874</v>
      </c>
      <c r="B259" t="inlineStr">
        <is>
          <t>VERMELHO</t>
        </is>
      </c>
      <c r="C259" t="n">
        <v>5615.5</v>
      </c>
      <c r="D259" t="n">
        <v>1762.56</v>
      </c>
      <c r="E259" t="n">
        <v>5615.5</v>
      </c>
      <c r="F259" s="6" t="n">
        <v>0.313874</v>
      </c>
      <c r="G259" t="inlineStr">
        <is>
          <t>SEM GRUPO</t>
        </is>
      </c>
      <c r="H259" t="inlineStr">
        <is>
          <t>SP</t>
        </is>
      </c>
      <c r="I259" t="n">
        <v>15998401484</v>
      </c>
      <c r="J259" t="inlineStr">
        <is>
          <t>Plano de Negócio</t>
        </is>
      </c>
      <c r="K259" t="inlineStr">
        <is>
          <t>SEM REDE</t>
        </is>
      </c>
      <c r="L259" t="inlineStr">
        <is>
          <t>SP</t>
        </is>
      </c>
      <c r="M259" t="n">
        <v>15998401484</v>
      </c>
      <c r="N259" t="n">
        <v>1762.56</v>
      </c>
      <c r="O259" t="n">
        <v>467.96</v>
      </c>
      <c r="P259" t="inlineStr">
        <is>
          <t>03 - SP INTERIOR</t>
        </is>
      </c>
      <c r="Q259" t="inlineStr">
        <is>
          <t>LARISSA PADILHA</t>
        </is>
      </c>
      <c r="S259" t="inlineStr">
        <is>
          <t>42.149.466 LARISSA DA SILVA PADILHA - ME</t>
        </is>
      </c>
      <c r="T259" t="inlineStr">
        <is>
          <t>ZV - NAO APLICAVEL</t>
        </is>
      </c>
      <c r="V259" t="inlineStr">
        <is>
          <t>top 300</t>
        </is>
      </c>
      <c r="W259" t="inlineStr">
        <is>
          <t>REGIÕES/GRUPOS</t>
        </is>
      </c>
    </row>
    <row r="260" ht="15" customHeight="1">
      <c r="A260" t="n">
        <v>0.3136</v>
      </c>
      <c r="B260" t="inlineStr">
        <is>
          <t>VERMELHO</t>
        </is>
      </c>
      <c r="C260" t="n">
        <v>5615.5</v>
      </c>
      <c r="D260" t="n">
        <v>1761.02</v>
      </c>
      <c r="E260" t="n">
        <v>5615.5</v>
      </c>
      <c r="F260" s="6" t="n">
        <v>0.3136</v>
      </c>
      <c r="G260" t="inlineStr">
        <is>
          <t>SEM GRUPO</t>
        </is>
      </c>
      <c r="H260" t="inlineStr">
        <is>
          <t>MT</t>
        </is>
      </c>
      <c r="I260" t="n">
        <v>66999911659</v>
      </c>
      <c r="J260" t="inlineStr">
        <is>
          <t>Plano de Negócio</t>
        </is>
      </c>
      <c r="K260" t="inlineStr">
        <is>
          <t>SEM REDE</t>
        </is>
      </c>
      <c r="L260" t="inlineStr">
        <is>
          <t>MT</t>
        </is>
      </c>
      <c r="M260" t="n">
        <v>66999911659</v>
      </c>
      <c r="N260" t="n">
        <v>1761.02</v>
      </c>
      <c r="O260" t="n">
        <v>467.96</v>
      </c>
      <c r="P260" t="inlineStr">
        <is>
          <t>03 - CENTRO OESTE</t>
        </is>
      </c>
      <c r="Q260" t="inlineStr">
        <is>
          <t>LARISSA PADILHA</t>
        </is>
      </c>
      <c r="S260" t="inlineStr">
        <is>
          <t>42.149.466 LARISSA DA SILVA PADILHA - ME</t>
        </is>
      </c>
      <c r="T260" t="inlineStr">
        <is>
          <t>ZV - NAO APLICAVEL</t>
        </is>
      </c>
      <c r="V260" t="inlineStr">
        <is>
          <t>top 300</t>
        </is>
      </c>
      <c r="W260" t="inlineStr">
        <is>
          <t>REGIÕES/GRUPOS</t>
        </is>
      </c>
    </row>
    <row r="261" ht="15" customHeight="1">
      <c r="A261" t="n">
        <v>0.313391</v>
      </c>
      <c r="B261" t="inlineStr">
        <is>
          <t>VERMELHO</t>
        </is>
      </c>
      <c r="C261" t="n">
        <v>5615.5</v>
      </c>
      <c r="D261" t="n">
        <v>1759.85</v>
      </c>
      <c r="E261" t="n">
        <v>5615.5</v>
      </c>
      <c r="F261" s="6" t="n">
        <v>0.313391</v>
      </c>
      <c r="G261" t="inlineStr">
        <is>
          <t>SEM GRUPO</t>
        </is>
      </c>
      <c r="H261" t="inlineStr">
        <is>
          <t>SC</t>
        </is>
      </c>
      <c r="I261" t="n">
        <v>4792532971</v>
      </c>
      <c r="J261" t="inlineStr">
        <is>
          <t>Plano de Negócio</t>
        </is>
      </c>
      <c r="K261" t="inlineStr">
        <is>
          <t>SEM REDE</t>
        </is>
      </c>
      <c r="L261" t="inlineStr">
        <is>
          <t>SC</t>
        </is>
      </c>
      <c r="M261" t="n">
        <v>4792532971</v>
      </c>
      <c r="N261" t="n">
        <v>1759.85</v>
      </c>
      <c r="O261" t="n">
        <v>467.96</v>
      </c>
      <c r="P261" t="inlineStr">
        <is>
          <t>03 - SUL</t>
        </is>
      </c>
      <c r="Q261" t="inlineStr">
        <is>
          <t>HEMANUELE DITZEL (MANU)</t>
        </is>
      </c>
      <c r="S261" t="inlineStr">
        <is>
          <t>ZR - NAO APLICAVEL</t>
        </is>
      </c>
      <c r="T261" t="inlineStr">
        <is>
          <t>ZV - NAO APLICAVEL</t>
        </is>
      </c>
      <c r="V261" t="inlineStr">
        <is>
          <t>top 300</t>
        </is>
      </c>
      <c r="W261" t="inlineStr">
        <is>
          <t>REGIÕES/GRUPOS</t>
        </is>
      </c>
    </row>
    <row r="262" ht="15" customHeight="1">
      <c r="A262" t="n">
        <v>0.311256</v>
      </c>
      <c r="B262" t="inlineStr">
        <is>
          <t>VERMELHO</t>
        </is>
      </c>
      <c r="C262" t="n">
        <v>5615.5</v>
      </c>
      <c r="D262" t="n">
        <v>1747.86</v>
      </c>
      <c r="E262" t="n">
        <v>5615.5</v>
      </c>
      <c r="F262" s="6" t="n">
        <v>0.311256</v>
      </c>
      <c r="G262" t="inlineStr">
        <is>
          <t>SEM GRUPO</t>
        </is>
      </c>
      <c r="H262" t="inlineStr">
        <is>
          <t>SP</t>
        </is>
      </c>
      <c r="I262" t="n">
        <v>1391441021</v>
      </c>
      <c r="J262" t="inlineStr">
        <is>
          <t>Plano de Negócio</t>
        </is>
      </c>
      <c r="K262" t="inlineStr">
        <is>
          <t>SEM REDE</t>
        </is>
      </c>
      <c r="L262" t="inlineStr">
        <is>
          <t>SP</t>
        </is>
      </c>
      <c r="M262" t="n">
        <v>1391441021</v>
      </c>
      <c r="N262" t="n">
        <v>1747.86</v>
      </c>
      <c r="O262" t="n">
        <v>467.96</v>
      </c>
      <c r="P262" t="inlineStr">
        <is>
          <t>03 - SP CAPITAL</t>
        </is>
      </c>
      <c r="Q262" t="inlineStr">
        <is>
          <t>LARISSA PADILHA</t>
        </is>
      </c>
      <c r="S262" t="inlineStr">
        <is>
          <t>42.149.466 LARISSA DA SILVA PADILHA - ME</t>
        </is>
      </c>
      <c r="T262" t="inlineStr">
        <is>
          <t>ZV - NAO APLICAVEL</t>
        </is>
      </c>
      <c r="V262" t="inlineStr">
        <is>
          <t>top 300</t>
        </is>
      </c>
      <c r="W262" t="inlineStr">
        <is>
          <t>REGIÕES/GRUPOS</t>
        </is>
      </c>
    </row>
    <row r="263" ht="15" customHeight="1">
      <c r="A263" t="n">
        <v>0.310711</v>
      </c>
      <c r="B263" t="inlineStr">
        <is>
          <t>VERMELHO</t>
        </is>
      </c>
      <c r="C263" t="n">
        <v>5615.5</v>
      </c>
      <c r="D263" t="n">
        <v>1744.8</v>
      </c>
      <c r="E263" t="n">
        <v>5615.5</v>
      </c>
      <c r="F263" s="6" t="n">
        <v>0.310711</v>
      </c>
      <c r="G263" t="inlineStr">
        <is>
          <t>SEM GRUPO</t>
        </is>
      </c>
      <c r="H263" t="inlineStr">
        <is>
          <t>PR</t>
        </is>
      </c>
      <c r="I263" t="n">
        <v>44997406173</v>
      </c>
      <c r="J263" t="inlineStr">
        <is>
          <t>Plano de Negócio</t>
        </is>
      </c>
      <c r="K263" t="inlineStr">
        <is>
          <t>SEM REDE</t>
        </is>
      </c>
      <c r="L263" t="inlineStr">
        <is>
          <t>PR</t>
        </is>
      </c>
      <c r="M263" t="n">
        <v>44997406173</v>
      </c>
      <c r="N263" t="n">
        <v>1744.8</v>
      </c>
      <c r="O263" t="n">
        <v>467.96</v>
      </c>
      <c r="P263" t="inlineStr">
        <is>
          <t>03 - SUL</t>
        </is>
      </c>
      <c r="Q263" t="inlineStr">
        <is>
          <t>HEMANUELE DITZEL (MANU)</t>
        </is>
      </c>
      <c r="S263" t="inlineStr">
        <is>
          <t>ZR - NAO APLICAVEL</t>
        </is>
      </c>
      <c r="T263" t="inlineStr">
        <is>
          <t>HEMANUELE ROSA DITZEL</t>
        </is>
      </c>
      <c r="V263" t="inlineStr">
        <is>
          <t>top 300</t>
        </is>
      </c>
      <c r="W263" t="inlineStr">
        <is>
          <t>REGIÕES/GRUPOS</t>
        </is>
      </c>
    </row>
    <row r="264" ht="15" customHeight="1">
      <c r="A264" t="n">
        <v>0.310658</v>
      </c>
      <c r="B264" t="inlineStr">
        <is>
          <t>VERMELHO</t>
        </is>
      </c>
      <c r="C264" t="n">
        <v>5615.5</v>
      </c>
      <c r="D264" t="n">
        <v>1744.5</v>
      </c>
      <c r="E264" t="n">
        <v>5615.5</v>
      </c>
      <c r="F264" s="6" t="n">
        <v>0.310658</v>
      </c>
      <c r="G264" t="inlineStr">
        <is>
          <t>SEM GRUPO</t>
        </is>
      </c>
      <c r="H264" t="inlineStr">
        <is>
          <t>SP</t>
        </is>
      </c>
      <c r="I264" t="n">
        <v>16997813352</v>
      </c>
      <c r="J264" t="inlineStr">
        <is>
          <t>Plano de Negócio</t>
        </is>
      </c>
      <c r="K264" t="inlineStr">
        <is>
          <t>SEM REDE</t>
        </is>
      </c>
      <c r="L264" t="inlineStr">
        <is>
          <t>SP</t>
        </is>
      </c>
      <c r="M264" t="n">
        <v>16997813352</v>
      </c>
      <c r="N264" t="n">
        <v>1744.5</v>
      </c>
      <c r="O264" t="n">
        <v>467.96</v>
      </c>
      <c r="P264" t="inlineStr">
        <is>
          <t>03 - SP INTERIOR</t>
        </is>
      </c>
      <c r="Q264" t="inlineStr">
        <is>
          <t>LARISSA PADILHA</t>
        </is>
      </c>
      <c r="S264" t="inlineStr">
        <is>
          <t>42.149.466 LARISSA DA SILVA PADILHA - ME</t>
        </is>
      </c>
      <c r="T264" t="inlineStr">
        <is>
          <t>ZV - NAO APLICAVEL</t>
        </is>
      </c>
      <c r="V264" t="inlineStr">
        <is>
          <t>top 300</t>
        </is>
      </c>
      <c r="W264" t="inlineStr">
        <is>
          <t>REGIÕES/GRUPOS</t>
        </is>
      </c>
    </row>
    <row r="265" ht="15" customHeight="1">
      <c r="A265" t="n">
        <v>0.309856</v>
      </c>
      <c r="B265" t="inlineStr">
        <is>
          <t>VERMELHO</t>
        </is>
      </c>
      <c r="C265" t="n">
        <v>5615.5</v>
      </c>
      <c r="D265" t="n">
        <v>1740</v>
      </c>
      <c r="E265" t="n">
        <v>5615.5</v>
      </c>
      <c r="F265" s="6" t="n">
        <v>0.309856</v>
      </c>
      <c r="G265" t="inlineStr">
        <is>
          <t>SEM GRUPO</t>
        </is>
      </c>
      <c r="H265" t="inlineStr">
        <is>
          <t>SP</t>
        </is>
      </c>
      <c r="I265" t="n">
        <v>11953936791</v>
      </c>
      <c r="J265" t="inlineStr">
        <is>
          <t>Plano de Negócio</t>
        </is>
      </c>
      <c r="K265" t="inlineStr">
        <is>
          <t>SEM REDE</t>
        </is>
      </c>
      <c r="L265" t="inlineStr">
        <is>
          <t>SP</t>
        </is>
      </c>
      <c r="M265" t="n">
        <v>11953936791</v>
      </c>
      <c r="N265" t="n">
        <v>1740</v>
      </c>
      <c r="O265" t="n">
        <v>467.96</v>
      </c>
      <c r="P265" t="inlineStr">
        <is>
          <t>03 - SP INTERIOR</t>
        </is>
      </c>
      <c r="Q265" t="inlineStr">
        <is>
          <t>LARISSA PADILHA</t>
        </is>
      </c>
      <c r="S265" t="inlineStr">
        <is>
          <t>42.149.466 LARISSA DA SILVA PADILHA - ME</t>
        </is>
      </c>
      <c r="T265" t="inlineStr">
        <is>
          <t>ZV - NAO APLICAVEL</t>
        </is>
      </c>
      <c r="V265" t="inlineStr">
        <is>
          <t>top 300</t>
        </is>
      </c>
      <c r="W265" t="inlineStr">
        <is>
          <t>REGIÕES/GRUPOS</t>
        </is>
      </c>
    </row>
    <row r="266" ht="15" customHeight="1">
      <c r="A266" t="n">
        <v>0.308784</v>
      </c>
      <c r="B266" t="inlineStr">
        <is>
          <t>VERMELHO</t>
        </is>
      </c>
      <c r="C266" t="n">
        <v>5615.5</v>
      </c>
      <c r="D266" t="n">
        <v>1733.98</v>
      </c>
      <c r="E266" t="n">
        <v>5615.5</v>
      </c>
      <c r="F266" s="6" t="n">
        <v>0.308784</v>
      </c>
      <c r="G266" t="inlineStr">
        <is>
          <t>SEM GRUPO</t>
        </is>
      </c>
      <c r="H266" t="inlineStr">
        <is>
          <t>MT</t>
        </is>
      </c>
      <c r="I266" t="n">
        <v>66996310634</v>
      </c>
      <c r="J266" t="inlineStr">
        <is>
          <t>Plano de Negócio</t>
        </is>
      </c>
      <c r="K266" t="inlineStr">
        <is>
          <t>SEM REDE</t>
        </is>
      </c>
      <c r="L266" t="inlineStr">
        <is>
          <t>MT</t>
        </is>
      </c>
      <c r="M266" t="n">
        <v>66996310634</v>
      </c>
      <c r="N266" t="n">
        <v>1733.98</v>
      </c>
      <c r="O266" t="n">
        <v>467.96</v>
      </c>
      <c r="P266" t="inlineStr">
        <is>
          <t>03 - CENTRO OESTE</t>
        </is>
      </c>
      <c r="Q266" t="inlineStr">
        <is>
          <t>LARISSA PADILHA</t>
        </is>
      </c>
      <c r="S266" t="inlineStr">
        <is>
          <t>42.149.466 LARISSA DA SILVA PADILHA - ME</t>
        </is>
      </c>
      <c r="T266" t="inlineStr">
        <is>
          <t>ZV - NAO APLICAVEL</t>
        </is>
      </c>
      <c r="V266" t="inlineStr">
        <is>
          <t>top 300</t>
        </is>
      </c>
      <c r="W266" t="inlineStr">
        <is>
          <t>REGIÕES/GRUPOS</t>
        </is>
      </c>
    </row>
    <row r="267" ht="15" customHeight="1">
      <c r="A267" t="n">
        <v>0.306177</v>
      </c>
      <c r="B267" t="inlineStr">
        <is>
          <t>VERMELHO</t>
        </is>
      </c>
      <c r="C267" t="n">
        <v>5615.5</v>
      </c>
      <c r="D267" t="n">
        <v>1719.34</v>
      </c>
      <c r="E267" t="n">
        <v>5615.5</v>
      </c>
      <c r="F267" s="6" t="n">
        <v>0.306177</v>
      </c>
      <c r="G267" t="inlineStr">
        <is>
          <t>SEM GRUPO</t>
        </is>
      </c>
      <c r="H267" t="inlineStr">
        <is>
          <t>SC</t>
        </is>
      </c>
      <c r="I267" t="n">
        <v>4899835143</v>
      </c>
      <c r="J267" t="inlineStr">
        <is>
          <t>Plano de Negócio</t>
        </is>
      </c>
      <c r="K267" t="inlineStr">
        <is>
          <t>SEM REDE</t>
        </is>
      </c>
      <c r="L267" t="inlineStr">
        <is>
          <t>SC</t>
        </is>
      </c>
      <c r="M267" t="n">
        <v>4899835143</v>
      </c>
      <c r="N267" t="n">
        <v>1719.34</v>
      </c>
      <c r="O267" t="n">
        <v>467.96</v>
      </c>
      <c r="P267" t="inlineStr">
        <is>
          <t>03 - SUL</t>
        </is>
      </c>
      <c r="Q267" t="inlineStr">
        <is>
          <t>HEMANUELE DITZEL (MANU)</t>
        </is>
      </c>
      <c r="S267" t="inlineStr">
        <is>
          <t>ZR - NAO APLICAVEL</t>
        </is>
      </c>
      <c r="T267" t="inlineStr">
        <is>
          <t>HEMANUELE ROSA DITZEL</t>
        </is>
      </c>
      <c r="V267" t="inlineStr">
        <is>
          <t>top 300</t>
        </is>
      </c>
      <c r="W267" t="inlineStr">
        <is>
          <t>REGIÕES/GRUPOS</t>
        </is>
      </c>
    </row>
    <row r="268" ht="15" customHeight="1">
      <c r="A268" t="n">
        <v>0.304624</v>
      </c>
      <c r="B268" t="inlineStr">
        <is>
          <t>VERMELHO</t>
        </is>
      </c>
      <c r="C268" t="n">
        <v>5615.5</v>
      </c>
      <c r="D268" t="n">
        <v>1710.62</v>
      </c>
      <c r="E268" t="n">
        <v>5615.5</v>
      </c>
      <c r="F268" s="6" t="n">
        <v>0.304624</v>
      </c>
      <c r="G268" t="inlineStr">
        <is>
          <t>SEM GRUPO</t>
        </is>
      </c>
      <c r="H268" t="inlineStr">
        <is>
          <t>RS</t>
        </is>
      </c>
      <c r="I268" t="n">
        <v>5184104577</v>
      </c>
      <c r="J268" t="inlineStr">
        <is>
          <t>Plano de Negócio</t>
        </is>
      </c>
      <c r="K268" t="inlineStr">
        <is>
          <t>SEM REDE</t>
        </is>
      </c>
      <c r="L268" t="inlineStr">
        <is>
          <t>RS</t>
        </is>
      </c>
      <c r="M268" t="n">
        <v>5184104577</v>
      </c>
      <c r="N268" t="n">
        <v>1710.62</v>
      </c>
      <c r="O268" t="n">
        <v>467.96</v>
      </c>
      <c r="P268" t="inlineStr">
        <is>
          <t>03 - SUL</t>
        </is>
      </c>
      <c r="Q268" t="inlineStr">
        <is>
          <t>HEMANUELE DITZEL (MANU)</t>
        </is>
      </c>
      <c r="S268" t="inlineStr">
        <is>
          <t>ZR - NAO APLICAVEL</t>
        </is>
      </c>
      <c r="T268" t="inlineStr">
        <is>
          <t>HEMANUELE ROSA DITZEL</t>
        </is>
      </c>
      <c r="V268" t="inlineStr">
        <is>
          <t>top 300</t>
        </is>
      </c>
      <c r="W268" t="inlineStr">
        <is>
          <t>REGIÕES/GRUPOS</t>
        </is>
      </c>
    </row>
    <row r="269" ht="15" customHeight="1">
      <c r="A269" t="n">
        <v>0.30352</v>
      </c>
      <c r="B269" t="inlineStr">
        <is>
          <t>VERMELHO</t>
        </is>
      </c>
      <c r="C269" t="n">
        <v>5615.5</v>
      </c>
      <c r="D269" t="n">
        <v>1704.42</v>
      </c>
      <c r="E269" t="n">
        <v>5615.5</v>
      </c>
      <c r="F269" s="6" t="n">
        <v>0.30352</v>
      </c>
      <c r="G269" t="inlineStr">
        <is>
          <t>SEM GRUPO</t>
        </is>
      </c>
      <c r="H269" t="inlineStr">
        <is>
          <t>PR</t>
        </is>
      </c>
      <c r="I269" t="n">
        <v>4199812308</v>
      </c>
      <c r="J269" t="inlineStr">
        <is>
          <t>Plano de Negócio</t>
        </is>
      </c>
      <c r="K269" t="inlineStr">
        <is>
          <t>SEM REDE</t>
        </is>
      </c>
      <c r="L269" t="inlineStr">
        <is>
          <t>PR</t>
        </is>
      </c>
      <c r="M269" t="n">
        <v>4199812308</v>
      </c>
      <c r="N269" t="n">
        <v>1704.42</v>
      </c>
      <c r="O269" t="n">
        <v>467.96</v>
      </c>
      <c r="P269" t="inlineStr">
        <is>
          <t>03 - SUL</t>
        </is>
      </c>
      <c r="Q269" t="inlineStr">
        <is>
          <t>HEMANUELE DITZEL (MANU)</t>
        </is>
      </c>
      <c r="S269" t="inlineStr">
        <is>
          <t>ZR - NAO APLICAVEL</t>
        </is>
      </c>
      <c r="T269" t="inlineStr">
        <is>
          <t>ZV - NAO APLICAVEL</t>
        </is>
      </c>
      <c r="V269" t="inlineStr">
        <is>
          <t>top 300</t>
        </is>
      </c>
      <c r="W269" t="inlineStr">
        <is>
          <t>REGIÕES/GRUPOS</t>
        </is>
      </c>
    </row>
    <row r="270" ht="15" customHeight="1">
      <c r="A270" t="n">
        <v>0.301184</v>
      </c>
      <c r="B270" t="inlineStr">
        <is>
          <t>VERMELHO</t>
        </is>
      </c>
      <c r="C270" t="n">
        <v>5615.5</v>
      </c>
      <c r="D270" t="n">
        <v>1691.3</v>
      </c>
      <c r="E270" t="n">
        <v>5615.5</v>
      </c>
      <c r="F270" s="6" t="n">
        <v>0.301184</v>
      </c>
      <c r="G270" t="inlineStr">
        <is>
          <t>SEM GRUPO</t>
        </is>
      </c>
      <c r="H270" t="inlineStr">
        <is>
          <t>PR</t>
        </is>
      </c>
      <c r="I270" t="n">
        <v>4399660161</v>
      </c>
      <c r="J270" t="inlineStr">
        <is>
          <t>Plano de Negócio</t>
        </is>
      </c>
      <c r="K270" t="inlineStr">
        <is>
          <t>SEM REDE</t>
        </is>
      </c>
      <c r="L270" t="inlineStr">
        <is>
          <t>PR</t>
        </is>
      </c>
      <c r="M270" t="n">
        <v>4399660161</v>
      </c>
      <c r="N270" t="n">
        <v>1691.3</v>
      </c>
      <c r="O270" t="n">
        <v>467.96</v>
      </c>
      <c r="P270" t="inlineStr">
        <is>
          <t>03 - SUL</t>
        </is>
      </c>
      <c r="Q270" t="inlineStr">
        <is>
          <t>HEMANUELE DITZEL (MANU)</t>
        </is>
      </c>
      <c r="S270" t="inlineStr">
        <is>
          <t>ZR - NAO APLICAVEL</t>
        </is>
      </c>
      <c r="T270" t="inlineStr">
        <is>
          <t>HEMANUELE ROSA DITZEL</t>
        </is>
      </c>
      <c r="V270" t="inlineStr">
        <is>
          <t>top 300</t>
        </is>
      </c>
      <c r="W270" t="inlineStr">
        <is>
          <t>REGIÕES/GRUPOS</t>
        </is>
      </c>
    </row>
    <row r="271" ht="15" customHeight="1">
      <c r="A271" t="n">
        <v>0.299181</v>
      </c>
      <c r="B271" t="inlineStr">
        <is>
          <t>VERMELHO</t>
        </is>
      </c>
      <c r="C271" t="n">
        <v>5615.5</v>
      </c>
      <c r="D271" t="n">
        <v>1680.05</v>
      </c>
      <c r="E271" t="n">
        <v>5615.5</v>
      </c>
      <c r="F271" s="6" t="n">
        <v>0.299181</v>
      </c>
      <c r="G271" t="inlineStr">
        <is>
          <t>SEM GRUPO</t>
        </is>
      </c>
      <c r="H271" t="inlineStr">
        <is>
          <t>SC</t>
        </is>
      </c>
      <c r="I271" t="n">
        <v>4733870191</v>
      </c>
      <c r="J271" t="inlineStr">
        <is>
          <t>Plano de Negócio</t>
        </is>
      </c>
      <c r="K271" t="inlineStr">
        <is>
          <t>SEM REDE</t>
        </is>
      </c>
      <c r="L271" t="inlineStr">
        <is>
          <t>SC</t>
        </is>
      </c>
      <c r="M271" t="n">
        <v>4733870191</v>
      </c>
      <c r="N271" t="n">
        <v>1680.05</v>
      </c>
      <c r="O271" t="n">
        <v>467.96</v>
      </c>
      <c r="P271" t="inlineStr">
        <is>
          <t>03 - SUL</t>
        </is>
      </c>
      <c r="Q271" t="inlineStr">
        <is>
          <t>HEMANUELE DITZEL (MANU)</t>
        </is>
      </c>
      <c r="S271" t="inlineStr">
        <is>
          <t>ZR - NAO APLICAVEL</t>
        </is>
      </c>
      <c r="T271" t="inlineStr">
        <is>
          <t>HEMANUELE ROSA DITZEL</t>
        </is>
      </c>
      <c r="V271" t="inlineStr">
        <is>
          <t>top 300</t>
        </is>
      </c>
      <c r="W271" t="inlineStr">
        <is>
          <t>REGIÕES/GRUPOS</t>
        </is>
      </c>
    </row>
    <row r="272" ht="15" customHeight="1">
      <c r="A272" t="n">
        <v>0.285837</v>
      </c>
      <c r="B272" t="inlineStr">
        <is>
          <t>VERMELHO</t>
        </is>
      </c>
      <c r="C272" t="n">
        <v>5615.5</v>
      </c>
      <c r="D272" t="n">
        <v>1605.12</v>
      </c>
      <c r="E272" t="n">
        <v>5615.5</v>
      </c>
      <c r="F272" s="6" t="n">
        <v>0.285837</v>
      </c>
      <c r="G272" t="inlineStr">
        <is>
          <t>SEM GRUPO</t>
        </is>
      </c>
      <c r="H272" t="inlineStr">
        <is>
          <t>SP</t>
        </is>
      </c>
      <c r="I272" t="n">
        <v>1697204740</v>
      </c>
      <c r="J272" t="inlineStr">
        <is>
          <t>Plano de Negócio</t>
        </is>
      </c>
      <c r="K272" t="inlineStr">
        <is>
          <t>SEM REDE</t>
        </is>
      </c>
      <c r="L272" t="inlineStr">
        <is>
          <t>SP</t>
        </is>
      </c>
      <c r="M272" t="n">
        <v>1697204740</v>
      </c>
      <c r="N272" t="n">
        <v>1605.12</v>
      </c>
      <c r="O272" t="n">
        <v>467.96</v>
      </c>
      <c r="P272" t="inlineStr">
        <is>
          <t>03 - SP INTERIOR</t>
        </is>
      </c>
      <c r="Q272" t="inlineStr">
        <is>
          <t>LARISSA PADILHA</t>
        </is>
      </c>
      <c r="S272" t="inlineStr">
        <is>
          <t>42.149.466 LARISSA DA SILVA PADILHA - ME</t>
        </is>
      </c>
      <c r="T272" t="inlineStr">
        <is>
          <t>ZV - NAO APLICAVEL</t>
        </is>
      </c>
      <c r="V272" t="inlineStr">
        <is>
          <t>top 300</t>
        </is>
      </c>
      <c r="W272" t="inlineStr">
        <is>
          <t>REGIÕES/GRUPOS</t>
        </is>
      </c>
    </row>
    <row r="273" ht="15" customHeight="1">
      <c r="A273" t="n">
        <v>0.28343</v>
      </c>
      <c r="B273" t="inlineStr">
        <is>
          <t>VERMELHO</t>
        </is>
      </c>
      <c r="C273" t="n">
        <v>5615.5</v>
      </c>
      <c r="D273" t="n">
        <v>1591.6</v>
      </c>
      <c r="E273" t="n">
        <v>5615.5</v>
      </c>
      <c r="F273" s="6" t="n">
        <v>0.28343</v>
      </c>
      <c r="G273" t="inlineStr">
        <is>
          <t>SEM GRUPO</t>
        </is>
      </c>
      <c r="H273" t="inlineStr">
        <is>
          <t>PR</t>
        </is>
      </c>
      <c r="I273" t="n">
        <v>45984061896</v>
      </c>
      <c r="J273" t="inlineStr">
        <is>
          <t>Plano de Negócio</t>
        </is>
      </c>
      <c r="K273" t="inlineStr">
        <is>
          <t>SEM REDE</t>
        </is>
      </c>
      <c r="L273" t="inlineStr">
        <is>
          <t>PR</t>
        </is>
      </c>
      <c r="M273" t="n">
        <v>45984061896</v>
      </c>
      <c r="N273" t="n">
        <v>1591.6</v>
      </c>
      <c r="O273" t="n">
        <v>467.96</v>
      </c>
      <c r="P273" t="inlineStr">
        <is>
          <t>03 - SUL</t>
        </is>
      </c>
      <c r="Q273" t="inlineStr">
        <is>
          <t>HEMANUELE DITZEL (MANU)</t>
        </is>
      </c>
      <c r="S273" t="inlineStr">
        <is>
          <t>ZR - NAO APLICAVEL</t>
        </is>
      </c>
      <c r="T273" t="inlineStr">
        <is>
          <t>HEMANUELE ROSA DITZEL</t>
        </is>
      </c>
      <c r="V273" t="inlineStr">
        <is>
          <t>top 300</t>
        </is>
      </c>
      <c r="W273" t="inlineStr">
        <is>
          <t>REGIÕES/GRUPOS</t>
        </is>
      </c>
    </row>
    <row r="274" ht="15" customHeight="1">
      <c r="A274" t="n">
        <v>0.282441</v>
      </c>
      <c r="B274" t="inlineStr">
        <is>
          <t>VERMELHO</t>
        </is>
      </c>
      <c r="C274" t="n">
        <v>5615.5</v>
      </c>
      <c r="D274" t="n">
        <v>1586.05</v>
      </c>
      <c r="E274" t="n">
        <v>5615.5</v>
      </c>
      <c r="F274" s="6" t="n">
        <v>0.282441</v>
      </c>
      <c r="G274" t="inlineStr">
        <is>
          <t>SEM GRUPO</t>
        </is>
      </c>
      <c r="H274" t="inlineStr">
        <is>
          <t>SP</t>
        </is>
      </c>
      <c r="I274" t="n">
        <v>11921909046</v>
      </c>
      <c r="J274" t="inlineStr">
        <is>
          <t>Plano de Negócio</t>
        </is>
      </c>
      <c r="K274" t="inlineStr">
        <is>
          <t>SEM REDE</t>
        </is>
      </c>
      <c r="L274" t="inlineStr">
        <is>
          <t>SP</t>
        </is>
      </c>
      <c r="M274" t="n">
        <v>11921909046</v>
      </c>
      <c r="N274" t="n">
        <v>1586.05</v>
      </c>
      <c r="O274" t="n">
        <v>467.96</v>
      </c>
      <c r="P274" t="inlineStr">
        <is>
          <t>03 - SP CAPITAL</t>
        </is>
      </c>
      <c r="Q274" t="inlineStr">
        <is>
          <t>LARISSA PADILHA</t>
        </is>
      </c>
      <c r="S274" t="inlineStr">
        <is>
          <t>42.149.466 LARISSA DA SILVA PADILHA - ME</t>
        </is>
      </c>
      <c r="T274" t="inlineStr">
        <is>
          <t>ZV - NAO APLICAVEL</t>
        </is>
      </c>
      <c r="V274" t="inlineStr">
        <is>
          <t>top 300</t>
        </is>
      </c>
      <c r="W274" t="inlineStr">
        <is>
          <t>REGIÕES/GRUPOS</t>
        </is>
      </c>
    </row>
    <row r="275" ht="15" customHeight="1">
      <c r="A275" t="n">
        <v>0.282295</v>
      </c>
      <c r="B275" t="inlineStr">
        <is>
          <t>VERMELHO</t>
        </is>
      </c>
      <c r="C275" t="n">
        <v>5615.5</v>
      </c>
      <c r="D275" t="n">
        <v>1585.23</v>
      </c>
      <c r="E275" t="n">
        <v>5615.5</v>
      </c>
      <c r="F275" s="6" t="n">
        <v>0.282295</v>
      </c>
      <c r="G275" t="inlineStr">
        <is>
          <t>SEM GRUPO</t>
        </is>
      </c>
      <c r="H275" t="inlineStr">
        <is>
          <t>SP</t>
        </is>
      </c>
      <c r="I275" t="n">
        <v>1699929667</v>
      </c>
      <c r="J275" t="inlineStr">
        <is>
          <t>Plano de Negócio</t>
        </is>
      </c>
      <c r="K275" t="inlineStr">
        <is>
          <t>SEM REDE</t>
        </is>
      </c>
      <c r="L275" t="inlineStr">
        <is>
          <t>SP</t>
        </is>
      </c>
      <c r="M275" t="n">
        <v>1699929667</v>
      </c>
      <c r="N275" t="n">
        <v>1585.23</v>
      </c>
      <c r="O275" t="n">
        <v>467.96</v>
      </c>
      <c r="P275" t="inlineStr">
        <is>
          <t>03 - SP INTERIOR</t>
        </is>
      </c>
      <c r="Q275" t="inlineStr">
        <is>
          <t>LARISSA PADILHA</t>
        </is>
      </c>
      <c r="S275" t="inlineStr">
        <is>
          <t>42.149.466 LARISSA DA SILVA PADILHA - ME</t>
        </is>
      </c>
      <c r="T275" t="inlineStr">
        <is>
          <t>ZV - NAO APLICAVEL</t>
        </is>
      </c>
      <c r="V275" t="inlineStr">
        <is>
          <t>top 300</t>
        </is>
      </c>
      <c r="W275" t="inlineStr">
        <is>
          <t>REGIÕES/GRUPOS</t>
        </is>
      </c>
    </row>
    <row r="276" ht="15" customHeight="1">
      <c r="A276" t="n">
        <v>0.279583</v>
      </c>
      <c r="B276" t="inlineStr">
        <is>
          <t>VERMELHO</t>
        </is>
      </c>
      <c r="C276" t="n">
        <v>5615.5</v>
      </c>
      <c r="D276" t="n">
        <v>1570</v>
      </c>
      <c r="E276" t="n">
        <v>5615.5</v>
      </c>
      <c r="F276" s="6" t="n">
        <v>0.279583</v>
      </c>
      <c r="G276" t="inlineStr">
        <is>
          <t>SEM GRUPO</t>
        </is>
      </c>
      <c r="H276" t="inlineStr">
        <is>
          <t>GO</t>
        </is>
      </c>
      <c r="I276" t="n">
        <v>62981558479</v>
      </c>
      <c r="J276" t="inlineStr">
        <is>
          <t>Plano de Negócio</t>
        </is>
      </c>
      <c r="K276" t="inlineStr">
        <is>
          <t>SEM REDE</t>
        </is>
      </c>
      <c r="L276" t="inlineStr">
        <is>
          <t>GO</t>
        </is>
      </c>
      <c r="M276" t="n">
        <v>62981558479</v>
      </c>
      <c r="N276" t="n">
        <v>1570</v>
      </c>
      <c r="O276" t="n">
        <v>467.96</v>
      </c>
      <c r="P276" t="inlineStr">
        <is>
          <t>03 - CENTRO OESTE</t>
        </is>
      </c>
      <c r="Q276" t="inlineStr">
        <is>
          <t>HEMANUELE DITZEL (MANU)</t>
        </is>
      </c>
      <c r="S276" t="inlineStr">
        <is>
          <t>ZR - NAO APLICAVEL</t>
        </is>
      </c>
      <c r="T276" t="inlineStr">
        <is>
          <t>HEMANUELE ROSA DITZEL</t>
        </is>
      </c>
      <c r="V276" t="inlineStr">
        <is>
          <t>top 300</t>
        </is>
      </c>
      <c r="W276" t="inlineStr">
        <is>
          <t>REGIÕES/GRUPOS</t>
        </is>
      </c>
    </row>
    <row r="277" ht="15" customHeight="1">
      <c r="A277" t="n">
        <v>0.151765</v>
      </c>
      <c r="B277" t="inlineStr">
        <is>
          <t>VERMELHO</t>
        </is>
      </c>
      <c r="C277" t="n">
        <v>10200</v>
      </c>
      <c r="D277" t="n">
        <v>1548</v>
      </c>
      <c r="E277" t="n">
        <v>10200</v>
      </c>
      <c r="F277" s="6" t="n">
        <v>0.151765</v>
      </c>
      <c r="G277" t="inlineStr">
        <is>
          <t>VIDA LEVE</t>
        </is>
      </c>
      <c r="H277" t="inlineStr">
        <is>
          <t>BA</t>
        </is>
      </c>
      <c r="I277" t="n">
        <v>77997018683</v>
      </c>
      <c r="J277" t="inlineStr">
        <is>
          <t>Plano de Negócio</t>
        </is>
      </c>
      <c r="K277" t="inlineStr">
        <is>
          <t>VIDA LEVE</t>
        </is>
      </c>
      <c r="L277" t="inlineStr">
        <is>
          <t>BA</t>
        </is>
      </c>
      <c r="M277" t="n">
        <v>77997018683</v>
      </c>
      <c r="N277" t="n">
        <v>1548</v>
      </c>
      <c r="O277" t="n">
        <v>850</v>
      </c>
      <c r="P277" t="inlineStr">
        <is>
          <t>03 - NACIONAL</t>
        </is>
      </c>
      <c r="Q277" t="inlineStr">
        <is>
          <t>DAIANE STAVICKI</t>
        </is>
      </c>
      <c r="S277" t="inlineStr">
        <is>
          <t>ZR - NAO APLICAVEL</t>
        </is>
      </c>
      <c r="T277" t="inlineStr">
        <is>
          <t>ZV - NAO APLICAVEL</t>
        </is>
      </c>
      <c r="V277" t="inlineStr">
        <is>
          <t>top 300</t>
        </is>
      </c>
      <c r="W277" t="inlineStr">
        <is>
          <t>REDES E FRANQUIAS</t>
        </is>
      </c>
    </row>
    <row r="278" ht="15" customHeight="1">
      <c r="A278" t="n">
        <v>0.271757</v>
      </c>
      <c r="B278" t="inlineStr">
        <is>
          <t>VERMELHO</t>
        </is>
      </c>
      <c r="C278" t="n">
        <v>5615.5</v>
      </c>
      <c r="D278" t="n">
        <v>1526.05</v>
      </c>
      <c r="E278" t="n">
        <v>5615.5</v>
      </c>
      <c r="F278" s="6" t="n">
        <v>0.271757</v>
      </c>
      <c r="G278" t="inlineStr">
        <is>
          <t>SEM GRUPO</t>
        </is>
      </c>
      <c r="H278" t="inlineStr">
        <is>
          <t>CE</t>
        </is>
      </c>
      <c r="I278" t="n">
        <v>8835124018</v>
      </c>
      <c r="J278" t="inlineStr">
        <is>
          <t>Plano de Negócio</t>
        </is>
      </c>
      <c r="K278" t="inlineStr">
        <is>
          <t>SEM REDE</t>
        </is>
      </c>
      <c r="L278" t="inlineStr">
        <is>
          <t>CE</t>
        </is>
      </c>
      <c r="M278" t="n">
        <v>8835124018</v>
      </c>
      <c r="N278" t="n">
        <v>1526.05</v>
      </c>
      <c r="O278" t="n">
        <v>467.96</v>
      </c>
      <c r="P278" t="inlineStr">
        <is>
          <t>03 - NORDESTE (SEM MA)</t>
        </is>
      </c>
      <c r="Q278" t="inlineStr">
        <is>
          <t>LARISSA PADILHA</t>
        </is>
      </c>
      <c r="S278" t="inlineStr">
        <is>
          <t>42.149.466 LARISSA DA SILVA PADILHA - ME</t>
        </is>
      </c>
      <c r="T278" t="inlineStr">
        <is>
          <t>ZV - NAO APLICAVEL</t>
        </is>
      </c>
      <c r="V278" t="inlineStr">
        <is>
          <t>top 300</t>
        </is>
      </c>
      <c r="W278" t="inlineStr">
        <is>
          <t>REGIÕES/GRUPOS</t>
        </is>
      </c>
    </row>
    <row r="279" ht="15" customHeight="1">
      <c r="A279" t="n">
        <v>0.269468</v>
      </c>
      <c r="B279" t="inlineStr">
        <is>
          <t>VERMELHO</t>
        </is>
      </c>
      <c r="C279" t="n">
        <v>5615.5</v>
      </c>
      <c r="D279" t="n">
        <v>1513.2</v>
      </c>
      <c r="E279" t="n">
        <v>5615.5</v>
      </c>
      <c r="F279" s="6" t="n">
        <v>0.269468</v>
      </c>
      <c r="G279" t="inlineStr">
        <is>
          <t>SEM GRUPO</t>
        </is>
      </c>
      <c r="H279" t="inlineStr">
        <is>
          <t>PR</t>
        </is>
      </c>
      <c r="I279" t="n">
        <v>4136413003</v>
      </c>
      <c r="J279" t="inlineStr">
        <is>
          <t>Plano de Negócio</t>
        </is>
      </c>
      <c r="K279" t="inlineStr">
        <is>
          <t>SEM REDE</t>
        </is>
      </c>
      <c r="L279" t="inlineStr">
        <is>
          <t>PR</t>
        </is>
      </c>
      <c r="M279" t="n">
        <v>4136413003</v>
      </c>
      <c r="N279" t="n">
        <v>1513.2</v>
      </c>
      <c r="O279" t="n">
        <v>467.96</v>
      </c>
      <c r="P279" t="inlineStr">
        <is>
          <t>03 - SUL</t>
        </is>
      </c>
      <c r="Q279" t="inlineStr">
        <is>
          <t>HEMANUELE DITZEL (MANU)</t>
        </is>
      </c>
      <c r="S279" t="inlineStr">
        <is>
          <t>ZR - NAO APLICAVEL</t>
        </is>
      </c>
      <c r="T279" t="inlineStr">
        <is>
          <t>HEMANUELE ROSA DITZEL</t>
        </is>
      </c>
      <c r="V279" t="inlineStr">
        <is>
          <t>top 300</t>
        </is>
      </c>
      <c r="W279" t="inlineStr">
        <is>
          <t>REGIÕES/GRUPOS</t>
        </is>
      </c>
    </row>
    <row r="280" ht="15" customHeight="1">
      <c r="A280" t="n">
        <v>0.141247</v>
      </c>
      <c r="B280" t="inlineStr">
        <is>
          <t>VERMELHO</t>
        </is>
      </c>
      <c r="C280" t="n">
        <v>10706.9</v>
      </c>
      <c r="D280" t="n">
        <v>1512.32</v>
      </c>
      <c r="E280" t="n">
        <v>10706.9</v>
      </c>
      <c r="F280" s="6" t="n">
        <v>0.141247</v>
      </c>
      <c r="G280" t="inlineStr">
        <is>
          <t>FITLAND</t>
        </is>
      </c>
      <c r="H280" t="inlineStr">
        <is>
          <t>MG</t>
        </is>
      </c>
      <c r="I280" t="n">
        <v>3193909540</v>
      </c>
      <c r="J280" t="inlineStr">
        <is>
          <t>Plano de Negócio</t>
        </is>
      </c>
      <c r="K280" t="inlineStr">
        <is>
          <t>FITLAND</t>
        </is>
      </c>
      <c r="L280" t="inlineStr">
        <is>
          <t>MG</t>
        </is>
      </c>
      <c r="M280" t="n">
        <v>3193909540</v>
      </c>
      <c r="N280" t="n">
        <v>1512.32</v>
      </c>
      <c r="O280" t="n">
        <v>892.24</v>
      </c>
      <c r="P280" t="inlineStr">
        <is>
          <t>03 - NACIONAL</t>
        </is>
      </c>
      <c r="Q280" t="inlineStr">
        <is>
          <t>JULIO GADRET</t>
        </is>
      </c>
      <c r="S280" t="inlineStr">
        <is>
          <t>LG REPRESENTACOES LTDA - EPP</t>
        </is>
      </c>
      <c r="T280" t="inlineStr">
        <is>
          <t>ZV - NAO APLICAVEL</t>
        </is>
      </c>
      <c r="V280" t="inlineStr">
        <is>
          <t>top 300</t>
        </is>
      </c>
      <c r="W280" t="inlineStr">
        <is>
          <t>REDES E FRANQUIAS</t>
        </is>
      </c>
    </row>
    <row r="281" ht="15" customHeight="1">
      <c r="A281" t="n">
        <v>0.239592</v>
      </c>
      <c r="B281" t="inlineStr">
        <is>
          <t>VERMELHO</t>
        </is>
      </c>
      <c r="C281" t="n">
        <v>6281.25</v>
      </c>
      <c r="D281" t="n">
        <v>1504.94</v>
      </c>
      <c r="E281" t="n">
        <v>6281.25</v>
      </c>
      <c r="F281" s="6" t="n">
        <v>0.239592</v>
      </c>
      <c r="G281" t="inlineStr">
        <is>
          <t>BIO MUNDO</t>
        </is>
      </c>
      <c r="H281" t="inlineStr">
        <is>
          <t>GO</t>
        </is>
      </c>
      <c r="I281" t="n">
        <v>6292088174</v>
      </c>
      <c r="J281" t="inlineStr">
        <is>
          <t>Plano de Negócio</t>
        </is>
      </c>
      <c r="K281" t="inlineStr">
        <is>
          <t>BIO MUNDO</t>
        </is>
      </c>
      <c r="L281" t="inlineStr">
        <is>
          <t>GO</t>
        </is>
      </c>
      <c r="M281" t="n">
        <v>6292088174</v>
      </c>
      <c r="N281" t="n">
        <v>1504.94</v>
      </c>
      <c r="O281" t="n">
        <v>523.4400000000001</v>
      </c>
      <c r="P281" t="inlineStr">
        <is>
          <t>03 - NACIONAL</t>
        </is>
      </c>
      <c r="Q281" t="inlineStr">
        <is>
          <t>LARISSA PADILHA</t>
        </is>
      </c>
      <c r="S281" t="inlineStr">
        <is>
          <t>42.149.466 LARISSA DA SILVA PADILHA - ME</t>
        </is>
      </c>
      <c r="T281" t="inlineStr">
        <is>
          <t>ZV - NAO APLICAVEL</t>
        </is>
      </c>
      <c r="V281" t="inlineStr">
        <is>
          <t>top 300</t>
        </is>
      </c>
      <c r="W281" t="inlineStr">
        <is>
          <t>REDES E FRANQUIAS</t>
        </is>
      </c>
    </row>
    <row r="282" ht="15" customHeight="1">
      <c r="A282" t="n">
        <v>0.147059</v>
      </c>
      <c r="B282" t="inlineStr">
        <is>
          <t>VERMELHO</t>
        </is>
      </c>
      <c r="C282" t="n">
        <v>10200</v>
      </c>
      <c r="D282" t="n">
        <v>1500</v>
      </c>
      <c r="E282" t="n">
        <v>10200</v>
      </c>
      <c r="F282" s="6" t="n">
        <v>0.147059</v>
      </c>
      <c r="G282" t="inlineStr">
        <is>
          <t>VIDA LEVE</t>
        </is>
      </c>
      <c r="H282" t="inlineStr">
        <is>
          <t>PR</t>
        </is>
      </c>
      <c r="I282" t="n">
        <v>44999048827</v>
      </c>
      <c r="J282" t="inlineStr">
        <is>
          <t>Plano de Negócio</t>
        </is>
      </c>
      <c r="K282" t="inlineStr">
        <is>
          <t>VIDA LEVE</t>
        </is>
      </c>
      <c r="L282" t="inlineStr">
        <is>
          <t>PR</t>
        </is>
      </c>
      <c r="M282" t="n">
        <v>44999048827</v>
      </c>
      <c r="N282" t="n">
        <v>1500</v>
      </c>
      <c r="O282" t="n">
        <v>850</v>
      </c>
      <c r="P282" t="inlineStr">
        <is>
          <t>03 - NACIONAL</t>
        </is>
      </c>
      <c r="Q282" t="inlineStr">
        <is>
          <t>DAIANE STAVICKI</t>
        </is>
      </c>
      <c r="S282" t="inlineStr">
        <is>
          <t>ZR - NAO APLICAVEL</t>
        </is>
      </c>
      <c r="T282" t="inlineStr">
        <is>
          <t>ZV - NAO APLICAVEL</t>
        </is>
      </c>
      <c r="V282" t="inlineStr">
        <is>
          <t>top 300</t>
        </is>
      </c>
      <c r="W282" t="inlineStr">
        <is>
          <t>REDES E FRANQUIAS</t>
        </is>
      </c>
    </row>
    <row r="283" ht="15" customHeight="1">
      <c r="A283" t="n">
        <v>0.147059</v>
      </c>
      <c r="B283" t="inlineStr">
        <is>
          <t>VERMELHO</t>
        </is>
      </c>
      <c r="C283" t="n">
        <v>10200</v>
      </c>
      <c r="D283" t="n">
        <v>1500</v>
      </c>
      <c r="E283" t="n">
        <v>10200</v>
      </c>
      <c r="F283" s="6" t="n">
        <v>0.147059</v>
      </c>
      <c r="G283" t="inlineStr">
        <is>
          <t>VIDA LEVE</t>
        </is>
      </c>
      <c r="H283" t="inlineStr">
        <is>
          <t>PA</t>
        </is>
      </c>
      <c r="I283" t="n">
        <v>91991420078</v>
      </c>
      <c r="J283" t="inlineStr">
        <is>
          <t>Plano de Negócio</t>
        </is>
      </c>
      <c r="K283" t="inlineStr">
        <is>
          <t>VIDA LEVE</t>
        </is>
      </c>
      <c r="L283" t="inlineStr">
        <is>
          <t>PA</t>
        </is>
      </c>
      <c r="M283" t="n">
        <v>91991420078</v>
      </c>
      <c r="N283" t="n">
        <v>1500</v>
      </c>
      <c r="O283" t="n">
        <v>850</v>
      </c>
      <c r="P283" t="inlineStr">
        <is>
          <t>03 - NACIONAL</t>
        </is>
      </c>
      <c r="Q283" t="inlineStr">
        <is>
          <t>DAIANE STAVICKI</t>
        </is>
      </c>
      <c r="S283" t="inlineStr">
        <is>
          <t>ZR - NAO APLICAVEL</t>
        </is>
      </c>
      <c r="T283" t="inlineStr">
        <is>
          <t>ZV - NAO APLICAVEL</t>
        </is>
      </c>
      <c r="V283" t="inlineStr">
        <is>
          <t>top 300</t>
        </is>
      </c>
      <c r="W283" t="inlineStr">
        <is>
          <t>REDES E FRANQUIAS</t>
        </is>
      </c>
    </row>
    <row r="284" ht="15" customHeight="1">
      <c r="A284" t="n">
        <v>0.147059</v>
      </c>
      <c r="B284" t="inlineStr">
        <is>
          <t>VERMELHO</t>
        </is>
      </c>
      <c r="C284" t="n">
        <v>10200</v>
      </c>
      <c r="D284" t="n">
        <v>1500</v>
      </c>
      <c r="E284" t="n">
        <v>10200</v>
      </c>
      <c r="F284" s="6" t="n">
        <v>0.147059</v>
      </c>
      <c r="G284" t="inlineStr">
        <is>
          <t>VIDA LEVE</t>
        </is>
      </c>
      <c r="H284" t="inlineStr">
        <is>
          <t>SP</t>
        </is>
      </c>
      <c r="I284" t="n">
        <v>11972626546</v>
      </c>
      <c r="J284" t="inlineStr">
        <is>
          <t>Plano de Negócio</t>
        </is>
      </c>
      <c r="K284" t="inlineStr">
        <is>
          <t>VIDA LEVE</t>
        </is>
      </c>
      <c r="L284" t="inlineStr">
        <is>
          <t>SP</t>
        </is>
      </c>
      <c r="M284" t="n">
        <v>11972626546</v>
      </c>
      <c r="N284" t="n">
        <v>1500</v>
      </c>
      <c r="O284" t="n">
        <v>850</v>
      </c>
      <c r="P284" t="inlineStr">
        <is>
          <t>03 - NACIONAL</t>
        </is>
      </c>
      <c r="Q284" t="inlineStr">
        <is>
          <t>DAIANE STAVICKI</t>
        </is>
      </c>
      <c r="S284" t="inlineStr">
        <is>
          <t>ZR - NAO APLICAVEL</t>
        </is>
      </c>
      <c r="T284" t="inlineStr">
        <is>
          <t>ZV - NAO APLICAVEL</t>
        </is>
      </c>
      <c r="V284" t="inlineStr">
        <is>
          <t>top 300</t>
        </is>
      </c>
      <c r="W284" t="inlineStr">
        <is>
          <t>REDES E FRANQUIAS</t>
        </is>
      </c>
    </row>
    <row r="285" ht="15" customHeight="1">
      <c r="A285" t="n">
        <v>0.147059</v>
      </c>
      <c r="B285" t="inlineStr">
        <is>
          <t>VERMELHO</t>
        </is>
      </c>
      <c r="C285" t="n">
        <v>10200</v>
      </c>
      <c r="D285" t="n">
        <v>1500</v>
      </c>
      <c r="E285" t="n">
        <v>10200</v>
      </c>
      <c r="F285" s="6" t="n">
        <v>0.147059</v>
      </c>
      <c r="G285" t="inlineStr">
        <is>
          <t>VIDA LEVE</t>
        </is>
      </c>
      <c r="H285" t="inlineStr">
        <is>
          <t>RO</t>
        </is>
      </c>
      <c r="I285" t="n">
        <v>6999714711</v>
      </c>
      <c r="J285" t="inlineStr">
        <is>
          <t>Plano de Negócio</t>
        </is>
      </c>
      <c r="K285" t="inlineStr">
        <is>
          <t>VIDA LEVE</t>
        </is>
      </c>
      <c r="L285" t="inlineStr">
        <is>
          <t>RO</t>
        </is>
      </c>
      <c r="M285" t="n">
        <v>6999714711</v>
      </c>
      <c r="N285" t="n">
        <v>1500</v>
      </c>
      <c r="O285" t="n">
        <v>850</v>
      </c>
      <c r="P285" t="inlineStr">
        <is>
          <t>03 - NACIONAL</t>
        </is>
      </c>
      <c r="Q285" t="inlineStr">
        <is>
          <t>DAIANE STAVICKI</t>
        </is>
      </c>
      <c r="S285" t="inlineStr">
        <is>
          <t>ZR - NAO APLICAVEL</t>
        </is>
      </c>
      <c r="T285" t="inlineStr">
        <is>
          <t>ZV - NAO APLICAVEL</t>
        </is>
      </c>
      <c r="V285" t="inlineStr">
        <is>
          <t>top 300</t>
        </is>
      </c>
      <c r="W285" t="inlineStr">
        <is>
          <t>REDES E FRANQUIAS</t>
        </is>
      </c>
    </row>
    <row r="286" ht="15" customHeight="1">
      <c r="A286" t="n">
        <v>0.266879</v>
      </c>
      <c r="B286" t="inlineStr">
        <is>
          <t>VERMELHO</t>
        </is>
      </c>
      <c r="C286" t="n">
        <v>5615.5</v>
      </c>
      <c r="D286" t="n">
        <v>1498.66</v>
      </c>
      <c r="E286" t="n">
        <v>5615.5</v>
      </c>
      <c r="F286" s="6" t="n">
        <v>0.266879</v>
      </c>
      <c r="G286" t="inlineStr">
        <is>
          <t>SEM GRUPO</t>
        </is>
      </c>
      <c r="H286" t="inlineStr">
        <is>
          <t>PR</t>
        </is>
      </c>
      <c r="I286" t="n">
        <v>4133635316</v>
      </c>
      <c r="J286" t="inlineStr">
        <is>
          <t>Plano de Negócio</t>
        </is>
      </c>
      <c r="K286" t="inlineStr">
        <is>
          <t>SEM REDE</t>
        </is>
      </c>
      <c r="L286" t="inlineStr">
        <is>
          <t>PR</t>
        </is>
      </c>
      <c r="M286" t="n">
        <v>4133635316</v>
      </c>
      <c r="N286" t="n">
        <v>1498.66</v>
      </c>
      <c r="O286" t="n">
        <v>467.96</v>
      </c>
      <c r="P286" t="inlineStr">
        <is>
          <t>03 - SUL</t>
        </is>
      </c>
      <c r="Q286" t="inlineStr">
        <is>
          <t>HEMANUELE DITZEL (MANU)</t>
        </is>
      </c>
      <c r="S286" t="inlineStr">
        <is>
          <t>ZR - NAO APLICAVEL</t>
        </is>
      </c>
      <c r="T286" t="inlineStr">
        <is>
          <t>HEMANUELE ROSA DITZEL</t>
        </is>
      </c>
      <c r="V286" t="inlineStr">
        <is>
          <t>top 300</t>
        </is>
      </c>
      <c r="W286" t="inlineStr">
        <is>
          <t>REGIÕES/GRUPOS</t>
        </is>
      </c>
    </row>
    <row r="287" ht="15" customHeight="1">
      <c r="A287" t="n">
        <v>0.264653</v>
      </c>
      <c r="B287" t="inlineStr">
        <is>
          <t>VERMELHO</t>
        </is>
      </c>
      <c r="C287" t="n">
        <v>5615.5</v>
      </c>
      <c r="D287" t="n">
        <v>1486.16</v>
      </c>
      <c r="E287" t="n">
        <v>5615.5</v>
      </c>
      <c r="F287" s="6" t="n">
        <v>0.264653</v>
      </c>
      <c r="G287" t="inlineStr">
        <is>
          <t>SEM GRUPO</t>
        </is>
      </c>
      <c r="H287" t="inlineStr">
        <is>
          <t>MG</t>
        </is>
      </c>
      <c r="I287" t="n">
        <v>832222385</v>
      </c>
      <c r="J287" t="inlineStr">
        <is>
          <t>Plano de Negócio</t>
        </is>
      </c>
      <c r="K287" t="inlineStr">
        <is>
          <t>SEM REDE</t>
        </is>
      </c>
      <c r="L287" t="inlineStr">
        <is>
          <t>MG</t>
        </is>
      </c>
      <c r="M287" t="n">
        <v>832222385</v>
      </c>
      <c r="N287" t="n">
        <v>1486.16</v>
      </c>
      <c r="O287" t="n">
        <v>467.96</v>
      </c>
      <c r="P287" t="inlineStr">
        <is>
          <t>03 - RJ + ES + MG</t>
        </is>
      </c>
      <c r="Q287" t="inlineStr">
        <is>
          <t>LARISSA PADILHA</t>
        </is>
      </c>
      <c r="S287" t="inlineStr">
        <is>
          <t>42.149.466 LARISSA DA SILVA PADILHA - ME</t>
        </is>
      </c>
      <c r="T287" t="inlineStr">
        <is>
          <t>ZV - NAO APLICAVEL</t>
        </is>
      </c>
      <c r="V287" t="inlineStr">
        <is>
          <t>top 300</t>
        </is>
      </c>
      <c r="W287" t="inlineStr">
        <is>
          <t>REGIÕES/GRUPOS</t>
        </is>
      </c>
    </row>
    <row r="288" ht="15" customHeight="1">
      <c r="A288" t="n">
        <v>0.263335</v>
      </c>
      <c r="B288" t="inlineStr">
        <is>
          <t>VERMELHO</t>
        </is>
      </c>
      <c r="C288" t="n">
        <v>5615.5</v>
      </c>
      <c r="D288" t="n">
        <v>1478.76</v>
      </c>
      <c r="E288" t="n">
        <v>5615.5</v>
      </c>
      <c r="F288" s="6" t="n">
        <v>0.263335</v>
      </c>
      <c r="G288" t="inlineStr">
        <is>
          <t>SEM GRUPO</t>
        </is>
      </c>
      <c r="H288" t="inlineStr">
        <is>
          <t>GO</t>
        </is>
      </c>
      <c r="I288" t="n">
        <v>62992088805</v>
      </c>
      <c r="J288" t="inlineStr">
        <is>
          <t>Plano de Negócio</t>
        </is>
      </c>
      <c r="K288" t="inlineStr">
        <is>
          <t>SEM REDE</t>
        </is>
      </c>
      <c r="L288" t="inlineStr">
        <is>
          <t>GO</t>
        </is>
      </c>
      <c r="M288" t="n">
        <v>62992088805</v>
      </c>
      <c r="N288" t="n">
        <v>1478.76</v>
      </c>
      <c r="O288" t="n">
        <v>467.96</v>
      </c>
      <c r="P288" t="inlineStr">
        <is>
          <t>03 - CENTRO OESTE</t>
        </is>
      </c>
      <c r="Q288" t="inlineStr">
        <is>
          <t>LARISSA PADILHA</t>
        </is>
      </c>
      <c r="S288" t="inlineStr">
        <is>
          <t>ZR - NAO APLICAVEL</t>
        </is>
      </c>
      <c r="T288" t="inlineStr">
        <is>
          <t>ZV - NAO APLICAVEL</t>
        </is>
      </c>
      <c r="V288" t="inlineStr">
        <is>
          <t>top 300</t>
        </is>
      </c>
      <c r="W288" t="inlineStr">
        <is>
          <t>REGIÕES/GRUPOS</t>
        </is>
      </c>
    </row>
    <row r="289" ht="15" customHeight="1">
      <c r="A289" t="n">
        <v>0.261494</v>
      </c>
      <c r="B289" t="inlineStr">
        <is>
          <t>VERMELHO</t>
        </is>
      </c>
      <c r="C289" t="n">
        <v>5615.5</v>
      </c>
      <c r="D289" t="n">
        <v>1468.42</v>
      </c>
      <c r="E289" t="n">
        <v>5615.5</v>
      </c>
      <c r="F289" s="6" t="n">
        <v>0.261494</v>
      </c>
      <c r="G289" t="inlineStr">
        <is>
          <t>SEM GRUPO</t>
        </is>
      </c>
      <c r="H289" t="inlineStr">
        <is>
          <t>PR</t>
        </is>
      </c>
      <c r="I289" t="n">
        <v>4198143375</v>
      </c>
      <c r="J289" t="inlineStr">
        <is>
          <t>Plano de Negócio</t>
        </is>
      </c>
      <c r="K289" t="inlineStr">
        <is>
          <t>SEM REDE</t>
        </is>
      </c>
      <c r="L289" t="inlineStr">
        <is>
          <t>PR</t>
        </is>
      </c>
      <c r="M289" t="n">
        <v>4198143375</v>
      </c>
      <c r="N289" t="n">
        <v>1468.42</v>
      </c>
      <c r="O289" t="n">
        <v>467.96</v>
      </c>
      <c r="P289" t="inlineStr">
        <is>
          <t>03 - SUL</t>
        </is>
      </c>
      <c r="Q289" t="inlineStr">
        <is>
          <t>HEMANUELE DITZEL (MANU)</t>
        </is>
      </c>
      <c r="S289" t="inlineStr">
        <is>
          <t>ZR - NAO APLICAVEL</t>
        </is>
      </c>
      <c r="T289" t="inlineStr">
        <is>
          <t>ZV - NAO APLICAVEL</t>
        </is>
      </c>
      <c r="V289" t="inlineStr">
        <is>
          <t>top 300</t>
        </is>
      </c>
      <c r="W289" t="inlineStr">
        <is>
          <t>REGIÕES/GRUPOS</t>
        </is>
      </c>
    </row>
    <row r="290" ht="15" customHeight="1">
      <c r="A290" t="n">
        <v>0.221199</v>
      </c>
      <c r="B290" t="inlineStr">
        <is>
          <t>VERMELHO</t>
        </is>
      </c>
      <c r="C290" t="n">
        <v>6566.04</v>
      </c>
      <c r="D290" t="n">
        <v>1452.4</v>
      </c>
      <c r="E290" t="n">
        <v>6566.04</v>
      </c>
      <c r="F290" s="6" t="n">
        <v>0.221199</v>
      </c>
      <c r="G290" t="inlineStr">
        <is>
          <t>DIVINA TERRA</t>
        </is>
      </c>
      <c r="H290" t="inlineStr">
        <is>
          <t>RR</t>
        </is>
      </c>
      <c r="I290" t="n">
        <v>95991125445</v>
      </c>
      <c r="J290" t="inlineStr">
        <is>
          <t>Plano de Negócio</t>
        </is>
      </c>
      <c r="K290" t="inlineStr">
        <is>
          <t>DIVINA TERRA</t>
        </is>
      </c>
      <c r="L290" t="inlineStr">
        <is>
          <t>RR</t>
        </is>
      </c>
      <c r="M290" t="n">
        <v>95991125445</v>
      </c>
      <c r="N290" t="n">
        <v>1452.4</v>
      </c>
      <c r="O290" t="n">
        <v>547.17</v>
      </c>
      <c r="P290" t="inlineStr">
        <is>
          <t>03 - NACIONAL</t>
        </is>
      </c>
      <c r="Q290" t="inlineStr">
        <is>
          <t>DAIANE STAVICKI</t>
        </is>
      </c>
      <c r="S290" t="inlineStr">
        <is>
          <t>ZR - NAO APLICAVEL</t>
        </is>
      </c>
      <c r="T290" t="inlineStr">
        <is>
          <t>ZV - NAO APLICAVEL</t>
        </is>
      </c>
      <c r="V290" t="inlineStr">
        <is>
          <t>top 300</t>
        </is>
      </c>
      <c r="W290" t="inlineStr">
        <is>
          <t>REDES E FRANQUIAS</t>
        </is>
      </c>
    </row>
    <row r="291" ht="15" customHeight="1">
      <c r="A291" t="n">
        <v>0.258036</v>
      </c>
      <c r="B291" t="inlineStr">
        <is>
          <t>VERMELHO</t>
        </is>
      </c>
      <c r="C291" t="n">
        <v>5615.5</v>
      </c>
      <c r="D291" t="n">
        <v>1449</v>
      </c>
      <c r="E291" t="n">
        <v>5615.5</v>
      </c>
      <c r="F291" s="6" t="n">
        <v>0.258036</v>
      </c>
      <c r="G291" t="inlineStr">
        <is>
          <t>SEM GRUPO</t>
        </is>
      </c>
      <c r="H291" t="inlineStr">
        <is>
          <t>PR</t>
        </is>
      </c>
      <c r="I291" t="n">
        <v>4191900066</v>
      </c>
      <c r="J291" t="inlineStr">
        <is>
          <t>Plano de Negócio</t>
        </is>
      </c>
      <c r="K291" t="inlineStr">
        <is>
          <t>SEM REDE</t>
        </is>
      </c>
      <c r="L291" t="inlineStr">
        <is>
          <t>PR</t>
        </is>
      </c>
      <c r="M291" t="n">
        <v>4191900066</v>
      </c>
      <c r="N291" t="n">
        <v>1449</v>
      </c>
      <c r="O291" t="n">
        <v>467.96</v>
      </c>
      <c r="P291" t="inlineStr">
        <is>
          <t>03 - SUL</t>
        </is>
      </c>
      <c r="Q291" t="inlineStr">
        <is>
          <t>HEMANUELE DITZEL (MANU)</t>
        </is>
      </c>
      <c r="S291" t="inlineStr">
        <is>
          <t>ZR - NAO APLICAVEL</t>
        </is>
      </c>
      <c r="T291" t="inlineStr">
        <is>
          <t>HEMANUELE ROSA DITZEL</t>
        </is>
      </c>
      <c r="V291" t="inlineStr">
        <is>
          <t>top 300</t>
        </is>
      </c>
      <c r="W291" t="inlineStr">
        <is>
          <t>REGIÕES/GRUPOS</t>
        </is>
      </c>
    </row>
    <row r="292" ht="15" customHeight="1">
      <c r="A292" t="n">
        <v>0.254305</v>
      </c>
      <c r="B292" t="inlineStr">
        <is>
          <t>VERMELHO</t>
        </is>
      </c>
      <c r="C292" t="n">
        <v>5615.5</v>
      </c>
      <c r="D292" t="n">
        <v>1428.05</v>
      </c>
      <c r="E292" t="n">
        <v>5615.5</v>
      </c>
      <c r="F292" s="6" t="n">
        <v>0.254305</v>
      </c>
      <c r="G292" t="inlineStr">
        <is>
          <t>SEM GRUPO</t>
        </is>
      </c>
      <c r="H292" t="inlineStr">
        <is>
          <t>MT</t>
        </is>
      </c>
      <c r="I292" t="n">
        <v>65993472122</v>
      </c>
      <c r="J292" t="inlineStr">
        <is>
          <t>Plano de Negócio</t>
        </is>
      </c>
      <c r="K292" t="inlineStr">
        <is>
          <t>SEM REDE</t>
        </is>
      </c>
      <c r="L292" t="inlineStr">
        <is>
          <t>MT</t>
        </is>
      </c>
      <c r="M292" t="n">
        <v>65993472122</v>
      </c>
      <c r="N292" t="n">
        <v>1428.05</v>
      </c>
      <c r="O292" t="n">
        <v>467.96</v>
      </c>
      <c r="P292" t="inlineStr">
        <is>
          <t>03 - CENTRO OESTE</t>
        </is>
      </c>
      <c r="Q292" t="inlineStr">
        <is>
          <t>LARISSA PADILHA</t>
        </is>
      </c>
      <c r="S292" t="inlineStr">
        <is>
          <t>42.149.466 LARISSA DA SILVA PADILHA - ME</t>
        </is>
      </c>
      <c r="T292" t="inlineStr">
        <is>
          <t>ZV - NAO APLICAVEL</t>
        </is>
      </c>
      <c r="V292" t="inlineStr">
        <is>
          <t>top 300</t>
        </is>
      </c>
      <c r="W292" t="inlineStr">
        <is>
          <t>REGIÕES/GRUPOS</t>
        </is>
      </c>
    </row>
    <row r="293" ht="15" customHeight="1">
      <c r="A293" t="n">
        <v>0.253981</v>
      </c>
      <c r="B293" t="inlineStr">
        <is>
          <t>VERMELHO</t>
        </is>
      </c>
      <c r="C293" t="n">
        <v>5615.5</v>
      </c>
      <c r="D293" t="n">
        <v>1426.23</v>
      </c>
      <c r="E293" t="n">
        <v>5615.5</v>
      </c>
      <c r="F293" s="6" t="n">
        <v>0.253981</v>
      </c>
      <c r="G293" t="inlineStr">
        <is>
          <t>SEM GRUPO</t>
        </is>
      </c>
      <c r="H293" t="inlineStr">
        <is>
          <t>GO</t>
        </is>
      </c>
      <c r="I293" t="n">
        <v>64992938706</v>
      </c>
      <c r="J293" t="inlineStr">
        <is>
          <t>Plano de Negócio</t>
        </is>
      </c>
      <c r="K293" t="inlineStr">
        <is>
          <t>SEM REDE</t>
        </is>
      </c>
      <c r="L293" t="inlineStr">
        <is>
          <t>GO</t>
        </is>
      </c>
      <c r="M293" t="n">
        <v>64992938706</v>
      </c>
      <c r="N293" t="n">
        <v>1426.23</v>
      </c>
      <c r="O293" t="n">
        <v>467.96</v>
      </c>
      <c r="P293" t="inlineStr">
        <is>
          <t>03 - CENTRO OESTE</t>
        </is>
      </c>
      <c r="Q293" t="inlineStr">
        <is>
          <t>JULIO GADRET</t>
        </is>
      </c>
      <c r="S293" t="inlineStr">
        <is>
          <t>LG REPRESENTACOES LTDA - EPP</t>
        </is>
      </c>
      <c r="T293" t="inlineStr">
        <is>
          <t>ZV - NAO APLICAVEL</t>
        </is>
      </c>
      <c r="V293" t="inlineStr">
        <is>
          <t>top 300</t>
        </is>
      </c>
      <c r="W293" t="inlineStr">
        <is>
          <t>REGIÕES/GRUPOS</t>
        </is>
      </c>
    </row>
    <row r="294" ht="15" customHeight="1">
      <c r="A294" t="n">
        <v>0.252414</v>
      </c>
      <c r="B294" t="inlineStr">
        <is>
          <t>VERMELHO</t>
        </is>
      </c>
      <c r="C294" t="n">
        <v>5615.5</v>
      </c>
      <c r="D294" t="n">
        <v>1417.43</v>
      </c>
      <c r="E294" t="n">
        <v>5615.5</v>
      </c>
      <c r="F294" s="6" t="n">
        <v>0.252414</v>
      </c>
      <c r="G294" t="inlineStr">
        <is>
          <t>SEM GRUPO</t>
        </is>
      </c>
      <c r="H294" t="inlineStr">
        <is>
          <t>PR</t>
        </is>
      </c>
      <c r="I294" t="n">
        <v>4187560606</v>
      </c>
      <c r="J294" t="inlineStr">
        <is>
          <t>Plano de Negócio</t>
        </is>
      </c>
      <c r="K294" t="inlineStr">
        <is>
          <t>SEM REDE</t>
        </is>
      </c>
      <c r="L294" t="inlineStr">
        <is>
          <t>PR</t>
        </is>
      </c>
      <c r="M294" t="n">
        <v>4187560606</v>
      </c>
      <c r="N294" t="n">
        <v>1417.43</v>
      </c>
      <c r="O294" t="n">
        <v>467.96</v>
      </c>
      <c r="P294" t="inlineStr">
        <is>
          <t>03 - SUL</t>
        </is>
      </c>
      <c r="Q294" t="inlineStr">
        <is>
          <t>HEMANUELE DITZEL (MANU)</t>
        </is>
      </c>
      <c r="S294" t="inlineStr">
        <is>
          <t>ZR - NAO APLICAVEL</t>
        </is>
      </c>
      <c r="T294" t="inlineStr">
        <is>
          <t>HEMANUELE ROSA DITZEL</t>
        </is>
      </c>
      <c r="V294" t="inlineStr">
        <is>
          <t>top 300</t>
        </is>
      </c>
      <c r="W294" t="inlineStr">
        <is>
          <t>REGIÕES/GRUPOS</t>
        </is>
      </c>
    </row>
    <row r="295" ht="15" customHeight="1">
      <c r="A295" t="n">
        <v>0.25155</v>
      </c>
      <c r="B295" t="inlineStr">
        <is>
          <t>VERMELHO</t>
        </is>
      </c>
      <c r="C295" t="n">
        <v>5615.5</v>
      </c>
      <c r="D295" t="n">
        <v>1412.58</v>
      </c>
      <c r="E295" t="n">
        <v>5615.5</v>
      </c>
      <c r="F295" s="6" t="n">
        <v>0.25155</v>
      </c>
      <c r="G295" t="inlineStr">
        <is>
          <t>SEM GRUPO</t>
        </is>
      </c>
      <c r="H295" t="inlineStr">
        <is>
          <t>MT</t>
        </is>
      </c>
      <c r="I295" t="n">
        <v>66352912586</v>
      </c>
      <c r="J295" t="inlineStr">
        <is>
          <t>Plano de Negócio</t>
        </is>
      </c>
      <c r="K295" t="inlineStr">
        <is>
          <t>SEM REDE</t>
        </is>
      </c>
      <c r="L295" t="inlineStr">
        <is>
          <t>MT</t>
        </is>
      </c>
      <c r="M295" t="n">
        <v>66352912586</v>
      </c>
      <c r="N295" t="n">
        <v>1412.58</v>
      </c>
      <c r="O295" t="n">
        <v>467.96</v>
      </c>
      <c r="P295" t="inlineStr">
        <is>
          <t>03 - CENTRO OESTE</t>
        </is>
      </c>
      <c r="Q295" t="inlineStr">
        <is>
          <t>LARISSA PADILHA</t>
        </is>
      </c>
      <c r="S295" t="inlineStr">
        <is>
          <t>42.149.466 LARISSA DA SILVA PADILHA - ME</t>
        </is>
      </c>
      <c r="T295" t="inlineStr">
        <is>
          <t>ZV - NAO APLICAVEL</t>
        </is>
      </c>
      <c r="V295" t="inlineStr">
        <is>
          <t>top 300</t>
        </is>
      </c>
      <c r="W295" t="inlineStr">
        <is>
          <t>REGIÕES/GRUPOS</t>
        </is>
      </c>
    </row>
    <row r="296" ht="15" customHeight="1">
      <c r="A296" t="n">
        <v>0.249101</v>
      </c>
      <c r="B296" t="inlineStr">
        <is>
          <t>VERMELHO</t>
        </is>
      </c>
      <c r="C296" t="n">
        <v>5615.5</v>
      </c>
      <c r="D296" t="n">
        <v>1398.83</v>
      </c>
      <c r="E296" t="n">
        <v>5615.5</v>
      </c>
      <c r="F296" s="6" t="n">
        <v>0.249101</v>
      </c>
      <c r="G296" t="inlineStr">
        <is>
          <t>SEM GRUPO</t>
        </is>
      </c>
      <c r="H296" t="inlineStr">
        <is>
          <t>PE</t>
        </is>
      </c>
      <c r="I296" t="n">
        <v>87981797182</v>
      </c>
      <c r="J296" t="inlineStr">
        <is>
          <t>Plano de Negócio</t>
        </is>
      </c>
      <c r="K296" t="inlineStr">
        <is>
          <t>SEM REDE</t>
        </is>
      </c>
      <c r="L296" t="inlineStr">
        <is>
          <t>PE</t>
        </is>
      </c>
      <c r="M296" t="n">
        <v>87981797182</v>
      </c>
      <c r="N296" t="n">
        <v>1398.83</v>
      </c>
      <c r="O296" t="n">
        <v>467.96</v>
      </c>
      <c r="P296" t="inlineStr">
        <is>
          <t>03 - NORDESTE (SEM MA)</t>
        </is>
      </c>
      <c r="Q296" t="inlineStr">
        <is>
          <t>LARISSA PADILHA</t>
        </is>
      </c>
      <c r="S296" t="inlineStr">
        <is>
          <t>42.149.466 LARISSA DA SILVA PADILHA - ME</t>
        </is>
      </c>
      <c r="T296" t="inlineStr">
        <is>
          <t>ZV - NAO APLICAVEL</t>
        </is>
      </c>
      <c r="V296" t="inlineStr">
        <is>
          <t>top 300</t>
        </is>
      </c>
      <c r="W296" t="inlineStr">
        <is>
          <t>REGIÕES/GRUPOS</t>
        </is>
      </c>
    </row>
    <row r="297" ht="15" customHeight="1">
      <c r="A297" t="n">
        <v>0.24898</v>
      </c>
      <c r="B297" t="inlineStr">
        <is>
          <t>VERMELHO</t>
        </is>
      </c>
      <c r="C297" t="n">
        <v>5615.5</v>
      </c>
      <c r="D297" t="n">
        <v>1398.15</v>
      </c>
      <c r="E297" t="n">
        <v>5615.5</v>
      </c>
      <c r="F297" s="6" t="n">
        <v>0.24898</v>
      </c>
      <c r="G297" t="inlineStr">
        <is>
          <t>SEM GRUPO</t>
        </is>
      </c>
      <c r="H297" t="inlineStr">
        <is>
          <t>MG</t>
        </is>
      </c>
      <c r="I297" t="n">
        <v>31983740512</v>
      </c>
      <c r="J297" t="inlineStr">
        <is>
          <t>Plano de Negócio</t>
        </is>
      </c>
      <c r="K297" t="inlineStr">
        <is>
          <t>SEM REDE</t>
        </is>
      </c>
      <c r="L297" t="inlineStr">
        <is>
          <t>MG</t>
        </is>
      </c>
      <c r="M297" t="n">
        <v>31983740512</v>
      </c>
      <c r="N297" t="n">
        <v>1398.15</v>
      </c>
      <c r="O297" t="n">
        <v>467.96</v>
      </c>
      <c r="P297" t="inlineStr">
        <is>
          <t>03 - RJ + ES + MG</t>
        </is>
      </c>
      <c r="Q297" t="inlineStr">
        <is>
          <t>LARISSA PADILHA</t>
        </is>
      </c>
      <c r="S297" t="inlineStr">
        <is>
          <t>42.149.466 LARISSA DA SILVA PADILHA - ME</t>
        </is>
      </c>
      <c r="T297" t="inlineStr">
        <is>
          <t>ZV - NAO APLICAVEL</t>
        </is>
      </c>
      <c r="V297" t="inlineStr">
        <is>
          <t>top 300</t>
        </is>
      </c>
      <c r="W297" t="inlineStr">
        <is>
          <t>REGIÕES/GRUPOS</t>
        </is>
      </c>
    </row>
    <row r="298" ht="15" customHeight="1">
      <c r="A298" t="n">
        <v>0.248619</v>
      </c>
      <c r="B298" t="inlineStr">
        <is>
          <t>VERMELHO</t>
        </is>
      </c>
      <c r="C298" t="n">
        <v>5615.5</v>
      </c>
      <c r="D298" t="n">
        <v>1396.12</v>
      </c>
      <c r="E298" t="n">
        <v>5615.5</v>
      </c>
      <c r="F298" s="6" t="n">
        <v>0.248619</v>
      </c>
      <c r="G298" t="inlineStr">
        <is>
          <t>SEM GRUPO</t>
        </is>
      </c>
      <c r="H298" t="inlineStr">
        <is>
          <t>SC</t>
        </is>
      </c>
      <c r="I298" t="n">
        <v>1</v>
      </c>
      <c r="J298" t="inlineStr">
        <is>
          <t>Plano de Negócio</t>
        </is>
      </c>
      <c r="K298" t="inlineStr">
        <is>
          <t>SEM REDE</t>
        </is>
      </c>
      <c r="L298" t="inlineStr">
        <is>
          <t>SC</t>
        </is>
      </c>
      <c r="M298" t="n">
        <v>1</v>
      </c>
      <c r="N298" t="n">
        <v>1396.12</v>
      </c>
      <c r="O298" t="n">
        <v>467.96</v>
      </c>
      <c r="P298" t="inlineStr">
        <is>
          <t>03 - SUL</t>
        </is>
      </c>
      <c r="Q298" t="inlineStr">
        <is>
          <t>HEMANUELE DITZEL (MANU)</t>
        </is>
      </c>
      <c r="S298" t="inlineStr">
        <is>
          <t>ZR - NAO APLICAVEL</t>
        </is>
      </c>
      <c r="T298" t="inlineStr">
        <is>
          <t>HEMANUELE ROSA DITZEL</t>
        </is>
      </c>
      <c r="V298" t="inlineStr">
        <is>
          <t>top 300</t>
        </is>
      </c>
      <c r="W298" t="inlineStr">
        <is>
          <t>REGIÕES/GRUPOS</t>
        </is>
      </c>
    </row>
    <row r="299" ht="15" customHeight="1">
      <c r="A299" t="n">
        <v>0.136765</v>
      </c>
      <c r="B299" t="inlineStr">
        <is>
          <t>VERMELHO</t>
        </is>
      </c>
      <c r="C299" t="n">
        <v>10200</v>
      </c>
      <c r="D299" t="n">
        <v>1395</v>
      </c>
      <c r="E299" t="n">
        <v>10200</v>
      </c>
      <c r="F299" s="6" t="n">
        <v>0.136765</v>
      </c>
      <c r="G299" t="inlineStr">
        <is>
          <t>VIDA LEVE</t>
        </is>
      </c>
      <c r="H299" t="inlineStr">
        <is>
          <t>RJ</t>
        </is>
      </c>
      <c r="I299" t="n">
        <v>21997618088</v>
      </c>
      <c r="J299" t="inlineStr">
        <is>
          <t>Plano de Negócio</t>
        </is>
      </c>
      <c r="K299" t="inlineStr">
        <is>
          <t>VIDA LEVE</t>
        </is>
      </c>
      <c r="L299" t="inlineStr">
        <is>
          <t>RJ</t>
        </is>
      </c>
      <c r="M299" t="n">
        <v>21997618088</v>
      </c>
      <c r="N299" t="n">
        <v>1395</v>
      </c>
      <c r="O299" t="n">
        <v>850</v>
      </c>
      <c r="P299" t="inlineStr">
        <is>
          <t>03 - NACIONAL</t>
        </is>
      </c>
      <c r="Q299" t="inlineStr">
        <is>
          <t>DAIANE STAVICKI</t>
        </is>
      </c>
      <c r="S299" t="inlineStr">
        <is>
          <t>ZR - NAO APLICAVEL</t>
        </is>
      </c>
      <c r="T299" t="inlineStr">
        <is>
          <t>ZV - NAO APLICAVEL</t>
        </is>
      </c>
      <c r="V299" t="inlineStr">
        <is>
          <t>top 300</t>
        </is>
      </c>
      <c r="W299" t="inlineStr">
        <is>
          <t>REDES E FRANQUIAS</t>
        </is>
      </c>
    </row>
    <row r="300" ht="15" customHeight="1">
      <c r="A300" t="n">
        <v>0.246756</v>
      </c>
      <c r="B300" t="inlineStr">
        <is>
          <t>VERMELHO</t>
        </is>
      </c>
      <c r="C300" t="n">
        <v>5615.5</v>
      </c>
      <c r="D300" t="n">
        <v>1385.66</v>
      </c>
      <c r="E300" t="n">
        <v>5615.5</v>
      </c>
      <c r="F300" s="6" t="n">
        <v>0.246756</v>
      </c>
      <c r="G300" t="inlineStr">
        <is>
          <t>SEM GRUPO</t>
        </is>
      </c>
      <c r="H300" t="inlineStr">
        <is>
          <t>SC</t>
        </is>
      </c>
      <c r="I300" t="n">
        <v>4891551897</v>
      </c>
      <c r="J300" t="inlineStr">
        <is>
          <t>Plano de Negócio</t>
        </is>
      </c>
      <c r="K300" t="inlineStr">
        <is>
          <t>SEM REDE</t>
        </is>
      </c>
      <c r="L300" t="inlineStr">
        <is>
          <t>SC</t>
        </is>
      </c>
      <c r="M300" t="n">
        <v>4891551897</v>
      </c>
      <c r="N300" t="n">
        <v>1385.66</v>
      </c>
      <c r="O300" t="n">
        <v>467.96</v>
      </c>
      <c r="P300" t="inlineStr">
        <is>
          <t>03 - SUL</t>
        </is>
      </c>
      <c r="Q300" t="inlineStr">
        <is>
          <t>HEMANUELE DITZEL (MANU)</t>
        </is>
      </c>
      <c r="S300" t="inlineStr">
        <is>
          <t>ZR - NAO APLICAVEL</t>
        </is>
      </c>
      <c r="T300" t="inlineStr">
        <is>
          <t>HEMANUELE ROSA DITZEL</t>
        </is>
      </c>
      <c r="V300" t="inlineStr">
        <is>
          <t>top 300</t>
        </is>
      </c>
      <c r="W300" t="inlineStr">
        <is>
          <t>REGIÕES/GRUPOS</t>
        </is>
      </c>
    </row>
    <row r="301" ht="15" customHeight="1">
      <c r="A301" t="n">
        <v>0.126546</v>
      </c>
      <c r="B301" t="inlineStr">
        <is>
          <t>VERMELHO</t>
        </is>
      </c>
      <c r="C301" t="n">
        <v>10875</v>
      </c>
      <c r="D301" t="n">
        <v>1376.19</v>
      </c>
      <c r="E301" t="n">
        <v>10875</v>
      </c>
      <c r="F301" s="6" t="n">
        <v>0.126546</v>
      </c>
      <c r="G301" t="inlineStr">
        <is>
          <t>CIA DA SAUDE</t>
        </is>
      </c>
      <c r="H301" t="inlineStr">
        <is>
          <t>PR</t>
        </is>
      </c>
      <c r="I301" t="n">
        <v>4187357088</v>
      </c>
      <c r="J301" t="inlineStr">
        <is>
          <t>Plano de Negócio</t>
        </is>
      </c>
      <c r="K301" t="inlineStr">
        <is>
          <t>CIA DA SAUDE</t>
        </is>
      </c>
      <c r="L301" t="inlineStr">
        <is>
          <t>PR</t>
        </is>
      </c>
      <c r="M301" t="n">
        <v>4187357088</v>
      </c>
      <c r="N301" t="n">
        <v>1376.19</v>
      </c>
      <c r="O301" t="n">
        <v>906.25</v>
      </c>
      <c r="P301" t="inlineStr">
        <is>
          <t>03 - NACIONAL</t>
        </is>
      </c>
      <c r="Q301" t="inlineStr">
        <is>
          <t>JULIO GADRET</t>
        </is>
      </c>
      <c r="S301" t="inlineStr">
        <is>
          <t>LG REPRESENTACOES LTDA - EPP</t>
        </is>
      </c>
      <c r="T301" t="inlineStr">
        <is>
          <t>ZV - NAO APLICAVEL</t>
        </is>
      </c>
      <c r="V301" t="inlineStr">
        <is>
          <t>top 300</t>
        </is>
      </c>
      <c r="W301" t="inlineStr">
        <is>
          <t>REDES E FRANQUIAS</t>
        </is>
      </c>
    </row>
    <row r="302" ht="15" customHeight="1">
      <c r="A302" t="n">
        <v>0.126529</v>
      </c>
      <c r="B302" t="inlineStr">
        <is>
          <t>VERMELHO</t>
        </is>
      </c>
      <c r="C302" t="n">
        <v>10875</v>
      </c>
      <c r="D302" t="n">
        <v>1376</v>
      </c>
      <c r="E302" t="n">
        <v>10875</v>
      </c>
      <c r="F302" s="6" t="n">
        <v>0.126529</v>
      </c>
      <c r="G302" t="inlineStr">
        <is>
          <t>CIA DA SAUDE</t>
        </is>
      </c>
      <c r="H302" t="inlineStr">
        <is>
          <t>SC</t>
        </is>
      </c>
      <c r="I302" t="n">
        <v>4899981463</v>
      </c>
      <c r="J302" t="inlineStr">
        <is>
          <t>Plano de Negócio</t>
        </is>
      </c>
      <c r="K302" t="inlineStr">
        <is>
          <t>CIA DA SAUDE</t>
        </is>
      </c>
      <c r="L302" t="inlineStr">
        <is>
          <t>SC</t>
        </is>
      </c>
      <c r="M302" t="n">
        <v>4899981463</v>
      </c>
      <c r="N302" t="n">
        <v>1376</v>
      </c>
      <c r="O302" t="n">
        <v>906.25</v>
      </c>
      <c r="P302" t="inlineStr">
        <is>
          <t>03 - NACIONAL</t>
        </is>
      </c>
      <c r="Q302" t="inlineStr">
        <is>
          <t>JULIO GADRET</t>
        </is>
      </c>
      <c r="S302" t="inlineStr">
        <is>
          <t>LG REPRESENTACOES LTDA - EPP</t>
        </is>
      </c>
      <c r="T302" t="inlineStr">
        <is>
          <t>ZV - NAO APLICAVEL</t>
        </is>
      </c>
      <c r="V302" t="inlineStr">
        <is>
          <t>top 300</t>
        </is>
      </c>
      <c r="W302" t="inlineStr">
        <is>
          <t>REDES E FRANQUIAS</t>
        </is>
      </c>
    </row>
    <row r="303" ht="15" customHeight="1">
      <c r="A303" t="n">
        <v>0.244153</v>
      </c>
      <c r="B303" t="inlineStr">
        <is>
          <t>VERMELHO</t>
        </is>
      </c>
      <c r="C303" t="n">
        <v>5615.5</v>
      </c>
      <c r="D303" t="n">
        <v>1371.04</v>
      </c>
      <c r="E303" t="n">
        <v>5615.5</v>
      </c>
      <c r="F303" s="6" t="n">
        <v>0.244153</v>
      </c>
      <c r="G303" t="inlineStr">
        <is>
          <t>SEM GRUPO</t>
        </is>
      </c>
      <c r="H303" t="inlineStr">
        <is>
          <t>SP</t>
        </is>
      </c>
      <c r="I303" t="n">
        <v>19981443676</v>
      </c>
      <c r="J303" t="inlineStr">
        <is>
          <t>Plano de Negócio</t>
        </is>
      </c>
      <c r="K303" t="inlineStr">
        <is>
          <t>SEM REDE</t>
        </is>
      </c>
      <c r="L303" t="inlineStr">
        <is>
          <t>SP</t>
        </is>
      </c>
      <c r="M303" t="n">
        <v>19981443676</v>
      </c>
      <c r="N303" t="n">
        <v>1371.04</v>
      </c>
      <c r="O303" t="n">
        <v>467.96</v>
      </c>
      <c r="P303" t="inlineStr">
        <is>
          <t>03 - SP INTERIOR</t>
        </is>
      </c>
      <c r="Q303" t="inlineStr">
        <is>
          <t>LARISSA PADILHA</t>
        </is>
      </c>
      <c r="S303" t="inlineStr">
        <is>
          <t>ZR - NAO APLICAVEL</t>
        </is>
      </c>
      <c r="T303" t="inlineStr">
        <is>
          <t>ZV - NAO APLICAVEL</t>
        </is>
      </c>
      <c r="V303" t="inlineStr">
        <is>
          <t>demais</t>
        </is>
      </c>
      <c r="W303" t="inlineStr">
        <is>
          <t>REGIÕES/GRUPOS</t>
        </is>
      </c>
    </row>
    <row r="304" ht="15" customHeight="1">
      <c r="A304" t="n">
        <v>0.244145</v>
      </c>
      <c r="B304" t="inlineStr">
        <is>
          <t>VERMELHO</t>
        </is>
      </c>
      <c r="C304" t="n">
        <v>5615.5</v>
      </c>
      <c r="D304" t="n">
        <v>1371</v>
      </c>
      <c r="E304" t="n">
        <v>5615.5</v>
      </c>
      <c r="F304" s="6" t="n">
        <v>0.244145</v>
      </c>
      <c r="G304" t="inlineStr">
        <is>
          <t>SEM GRUPO</t>
        </is>
      </c>
      <c r="H304" t="inlineStr">
        <is>
          <t>PR</t>
        </is>
      </c>
      <c r="I304" t="n">
        <v>42988084636</v>
      </c>
      <c r="J304" t="inlineStr">
        <is>
          <t>Plano de Negócio</t>
        </is>
      </c>
      <c r="K304" t="inlineStr">
        <is>
          <t>SEM REDE</t>
        </is>
      </c>
      <c r="L304" t="inlineStr">
        <is>
          <t>PR</t>
        </is>
      </c>
      <c r="M304" t="n">
        <v>42988084636</v>
      </c>
      <c r="N304" t="n">
        <v>1371</v>
      </c>
      <c r="O304" t="n">
        <v>467.96</v>
      </c>
      <c r="P304" t="inlineStr">
        <is>
          <t>03 - SUL</t>
        </is>
      </c>
      <c r="Q304" t="inlineStr">
        <is>
          <t>HEMANUELE DITZEL (MANU)</t>
        </is>
      </c>
      <c r="S304" t="inlineStr">
        <is>
          <t>ZR - NAO APLICAVEL</t>
        </is>
      </c>
      <c r="T304" t="inlineStr">
        <is>
          <t>HEMANUELE ROSA DITZEL</t>
        </is>
      </c>
      <c r="V304" t="inlineStr">
        <is>
          <t>demais</t>
        </is>
      </c>
      <c r="W304" t="inlineStr">
        <is>
          <t>REGIÕES/GRUPOS</t>
        </is>
      </c>
    </row>
    <row r="305" ht="15" customHeight="1">
      <c r="A305" t="n">
        <v>0.126987</v>
      </c>
      <c r="B305" t="inlineStr">
        <is>
          <t>VERMELHO</t>
        </is>
      </c>
      <c r="C305" t="n">
        <v>10706.9</v>
      </c>
      <c r="D305" t="n">
        <v>1359.64</v>
      </c>
      <c r="E305" t="n">
        <v>10706.9</v>
      </c>
      <c r="F305" s="6" t="n">
        <v>0.126987</v>
      </c>
      <c r="G305" t="inlineStr">
        <is>
          <t>FITLAND</t>
        </is>
      </c>
      <c r="H305" t="inlineStr">
        <is>
          <t>SC</t>
        </is>
      </c>
      <c r="I305" t="n">
        <v>4832550664</v>
      </c>
      <c r="J305" t="inlineStr">
        <is>
          <t>Plano de Negócio</t>
        </is>
      </c>
      <c r="K305" t="inlineStr">
        <is>
          <t>FITLAND</t>
        </is>
      </c>
      <c r="L305" t="inlineStr">
        <is>
          <t>SC</t>
        </is>
      </c>
      <c r="M305" t="n">
        <v>4832550664</v>
      </c>
      <c r="N305" t="n">
        <v>1359.64</v>
      </c>
      <c r="O305" t="n">
        <v>892.24</v>
      </c>
      <c r="P305" t="inlineStr">
        <is>
          <t>03 - NACIONAL</t>
        </is>
      </c>
      <c r="Q305" t="inlineStr">
        <is>
          <t>JULIO GADRET</t>
        </is>
      </c>
      <c r="S305" t="inlineStr">
        <is>
          <t>ZR - NAO APLICAVEL</t>
        </is>
      </c>
      <c r="T305" t="inlineStr">
        <is>
          <t>ZV - NAO APLICAVEL</t>
        </is>
      </c>
      <c r="V305" t="inlineStr">
        <is>
          <t>demais</t>
        </is>
      </c>
      <c r="W305" t="inlineStr">
        <is>
          <t>REDES E FRANQUIAS</t>
        </is>
      </c>
    </row>
    <row r="306" ht="15" customHeight="1">
      <c r="A306" t="n">
        <v>0.216046</v>
      </c>
      <c r="B306" t="inlineStr">
        <is>
          <t>VERMELHO</t>
        </is>
      </c>
      <c r="C306" t="n">
        <v>6281.25</v>
      </c>
      <c r="D306" t="n">
        <v>1357.04</v>
      </c>
      <c r="E306" t="n">
        <v>6281.25</v>
      </c>
      <c r="F306" s="6" t="n">
        <v>0.216046</v>
      </c>
      <c r="G306" t="inlineStr">
        <is>
          <t>BIO MUNDO</t>
        </is>
      </c>
      <c r="H306" t="inlineStr">
        <is>
          <t>GO</t>
        </is>
      </c>
      <c r="I306" t="n">
        <v>62992088174</v>
      </c>
      <c r="J306" t="inlineStr">
        <is>
          <t>Plano de Negócio</t>
        </is>
      </c>
      <c r="K306" t="inlineStr">
        <is>
          <t>BIO MUNDO</t>
        </is>
      </c>
      <c r="L306" t="inlineStr">
        <is>
          <t>GO</t>
        </is>
      </c>
      <c r="M306" t="n">
        <v>62992088174</v>
      </c>
      <c r="N306" t="n">
        <v>1357.04</v>
      </c>
      <c r="O306" t="n">
        <v>523.4400000000001</v>
      </c>
      <c r="P306" t="inlineStr">
        <is>
          <t>03 - NACIONAL</t>
        </is>
      </c>
      <c r="Q306" t="inlineStr">
        <is>
          <t>DAIANE STAVICKI</t>
        </is>
      </c>
      <c r="S306" t="inlineStr">
        <is>
          <t>ZR - NAO APLICAVEL</t>
        </is>
      </c>
      <c r="T306" t="inlineStr">
        <is>
          <t>ZV - NAO APLICAVEL</t>
        </is>
      </c>
      <c r="V306" t="inlineStr">
        <is>
          <t>demais</t>
        </is>
      </c>
      <c r="W306" t="inlineStr">
        <is>
          <t>REDES E FRANQUIAS</t>
        </is>
      </c>
    </row>
    <row r="307" ht="15" customHeight="1">
      <c r="A307" t="n">
        <v>0.124759</v>
      </c>
      <c r="B307" t="inlineStr">
        <is>
          <t>VERMELHO</t>
        </is>
      </c>
      <c r="C307" t="n">
        <v>10875</v>
      </c>
      <c r="D307" t="n">
        <v>1356.75</v>
      </c>
      <c r="E307" t="n">
        <v>10875</v>
      </c>
      <c r="F307" s="6" t="n">
        <v>0.124759</v>
      </c>
      <c r="G307" t="inlineStr">
        <is>
          <t>CIA DA SAUDE</t>
        </is>
      </c>
      <c r="H307" t="inlineStr">
        <is>
          <t>SC</t>
        </is>
      </c>
      <c r="I307" t="n">
        <v>4899981463</v>
      </c>
      <c r="J307" t="inlineStr">
        <is>
          <t>Plano de Negócio</t>
        </is>
      </c>
      <c r="K307" t="inlineStr">
        <is>
          <t>CIA DA SAUDE</t>
        </is>
      </c>
      <c r="L307" t="inlineStr">
        <is>
          <t>SC</t>
        </is>
      </c>
      <c r="M307" t="n">
        <v>4899981463</v>
      </c>
      <c r="N307" t="n">
        <v>1356.75</v>
      </c>
      <c r="O307" t="n">
        <v>906.25</v>
      </c>
      <c r="P307" t="inlineStr">
        <is>
          <t>03 - NACIONAL</t>
        </is>
      </c>
      <c r="Q307" t="inlineStr">
        <is>
          <t>JULIO GADRET</t>
        </is>
      </c>
      <c r="S307" t="inlineStr">
        <is>
          <t>LG REPRESENTACOES LTDA - EPP</t>
        </is>
      </c>
      <c r="T307" t="inlineStr">
        <is>
          <t>ZV - NAO APLICAVEL</t>
        </is>
      </c>
      <c r="V307" t="inlineStr">
        <is>
          <t>demais</t>
        </is>
      </c>
      <c r="W307" t="inlineStr">
        <is>
          <t>REDES E FRANQUIAS</t>
        </is>
      </c>
    </row>
    <row r="308" ht="15" customHeight="1">
      <c r="A308" t="n">
        <v>0.240997</v>
      </c>
      <c r="B308" t="inlineStr">
        <is>
          <t>VERMELHO</t>
        </is>
      </c>
      <c r="C308" t="n">
        <v>5615.5</v>
      </c>
      <c r="D308" t="n">
        <v>1353.32</v>
      </c>
      <c r="E308" t="n">
        <v>5615.5</v>
      </c>
      <c r="F308" s="6" t="n">
        <v>0.240997</v>
      </c>
      <c r="G308" t="inlineStr">
        <is>
          <t>SEM GRUPO</t>
        </is>
      </c>
      <c r="H308" t="inlineStr">
        <is>
          <t>RS</t>
        </is>
      </c>
      <c r="I308" t="n">
        <v>51984314995</v>
      </c>
      <c r="J308" t="inlineStr">
        <is>
          <t>Plano de Negócio</t>
        </is>
      </c>
      <c r="K308" t="inlineStr">
        <is>
          <t>SEM REDE</t>
        </is>
      </c>
      <c r="L308" t="inlineStr">
        <is>
          <t>RS</t>
        </is>
      </c>
      <c r="M308" t="n">
        <v>51984314995</v>
      </c>
      <c r="N308" t="n">
        <v>1353.32</v>
      </c>
      <c r="O308" t="n">
        <v>467.96</v>
      </c>
      <c r="P308" t="inlineStr">
        <is>
          <t>03 - SUL</t>
        </is>
      </c>
      <c r="Q308" t="inlineStr">
        <is>
          <t>HEMANUELE DITZEL (MANU)</t>
        </is>
      </c>
      <c r="S308" t="inlineStr">
        <is>
          <t>ZR - NAO APLICAVEL</t>
        </is>
      </c>
      <c r="T308" t="inlineStr">
        <is>
          <t>HEMANUELE ROSA DITZEL</t>
        </is>
      </c>
      <c r="V308" t="inlineStr">
        <is>
          <t>demais</t>
        </is>
      </c>
      <c r="W308" t="inlineStr">
        <is>
          <t>REGIÕES/GRUPOS</t>
        </is>
      </c>
    </row>
    <row r="309" ht="15" customHeight="1">
      <c r="A309" t="n">
        <v>0.132352</v>
      </c>
      <c r="B309" t="inlineStr">
        <is>
          <t>VERMELHO</t>
        </is>
      </c>
      <c r="C309" t="n">
        <v>10200</v>
      </c>
      <c r="D309" t="n">
        <v>1349.99</v>
      </c>
      <c r="E309" t="n">
        <v>10200</v>
      </c>
      <c r="F309" s="6" t="n">
        <v>0.132352</v>
      </c>
      <c r="G309" t="inlineStr">
        <is>
          <t>VIDA LEVE</t>
        </is>
      </c>
      <c r="H309" t="inlineStr">
        <is>
          <t>PI</t>
        </is>
      </c>
      <c r="I309" t="n">
        <v>8632319828</v>
      </c>
      <c r="J309" t="inlineStr">
        <is>
          <t>Plano de Negócio</t>
        </is>
      </c>
      <c r="K309" t="inlineStr">
        <is>
          <t>VIDA LEVE</t>
        </is>
      </c>
      <c r="L309" t="inlineStr">
        <is>
          <t>PI</t>
        </is>
      </c>
      <c r="M309" t="n">
        <v>8632319828</v>
      </c>
      <c r="N309" t="n">
        <v>1349.99</v>
      </c>
      <c r="O309" t="n">
        <v>850</v>
      </c>
      <c r="P309" t="inlineStr">
        <is>
          <t>03 - NACIONAL</t>
        </is>
      </c>
      <c r="Q309" t="inlineStr">
        <is>
          <t>DAIANE STAVICKI</t>
        </is>
      </c>
      <c r="S309" t="inlineStr">
        <is>
          <t>ZR - NAO APLICAVEL</t>
        </is>
      </c>
      <c r="T309" t="inlineStr">
        <is>
          <t>ZV - NAO APLICAVEL</t>
        </is>
      </c>
      <c r="V309" t="inlineStr">
        <is>
          <t>demais</t>
        </is>
      </c>
      <c r="W309" t="inlineStr">
        <is>
          <t>REDES E FRANQUIAS</t>
        </is>
      </c>
    </row>
    <row r="310" ht="15" customHeight="1">
      <c r="A310" t="n">
        <v>0.239984</v>
      </c>
      <c r="B310" t="inlineStr">
        <is>
          <t>VERMELHO</t>
        </is>
      </c>
      <c r="C310" t="n">
        <v>5615.5</v>
      </c>
      <c r="D310" t="n">
        <v>1347.63</v>
      </c>
      <c r="E310" t="n">
        <v>5615.5</v>
      </c>
      <c r="F310" s="6" t="n">
        <v>0.239984</v>
      </c>
      <c r="G310" t="inlineStr">
        <is>
          <t>SEM GRUPO</t>
        </is>
      </c>
      <c r="H310" t="inlineStr">
        <is>
          <t>RS</t>
        </is>
      </c>
      <c r="I310" t="n">
        <v>5199929880</v>
      </c>
      <c r="J310" t="inlineStr">
        <is>
          <t>Plano de Negócio</t>
        </is>
      </c>
      <c r="K310" t="inlineStr">
        <is>
          <t>SEM REDE</t>
        </is>
      </c>
      <c r="L310" t="inlineStr">
        <is>
          <t>RS</t>
        </is>
      </c>
      <c r="M310" t="n">
        <v>5199929880</v>
      </c>
      <c r="N310" t="n">
        <v>1347.63</v>
      </c>
      <c r="O310" t="n">
        <v>467.96</v>
      </c>
      <c r="P310" t="inlineStr">
        <is>
          <t>03 - SUL</t>
        </is>
      </c>
      <c r="Q310" t="inlineStr">
        <is>
          <t>HEMANUELE DITZEL (MANU)</t>
        </is>
      </c>
      <c r="S310" t="inlineStr">
        <is>
          <t>ZR - NAO APLICAVEL</t>
        </is>
      </c>
      <c r="T310" t="inlineStr">
        <is>
          <t>HEMANUELE ROSA DITZEL</t>
        </is>
      </c>
      <c r="V310" t="inlineStr">
        <is>
          <t>demais</t>
        </is>
      </c>
      <c r="W310" t="inlineStr">
        <is>
          <t>REGIÕES/GRUPOS</t>
        </is>
      </c>
    </row>
    <row r="311" ht="15" customHeight="1">
      <c r="A311" t="n">
        <v>0.239346</v>
      </c>
      <c r="B311" t="inlineStr">
        <is>
          <t>VERMELHO</t>
        </is>
      </c>
      <c r="C311" t="n">
        <v>5615.5</v>
      </c>
      <c r="D311" t="n">
        <v>1344.05</v>
      </c>
      <c r="E311" t="n">
        <v>5615.5</v>
      </c>
      <c r="F311" s="6" t="n">
        <v>0.239346</v>
      </c>
      <c r="G311" t="inlineStr">
        <is>
          <t>SEM GRUPO</t>
        </is>
      </c>
      <c r="H311" t="inlineStr">
        <is>
          <t>RS</t>
        </is>
      </c>
      <c r="I311" t="n">
        <v>5121601195</v>
      </c>
      <c r="J311" t="inlineStr">
        <is>
          <t>Plano de Negócio</t>
        </is>
      </c>
      <c r="K311" t="inlineStr">
        <is>
          <t>SEM REDE</t>
        </is>
      </c>
      <c r="L311" t="inlineStr">
        <is>
          <t>RS</t>
        </is>
      </c>
      <c r="M311" t="n">
        <v>5121601195</v>
      </c>
      <c r="N311" t="n">
        <v>1344.05</v>
      </c>
      <c r="O311" t="n">
        <v>467.96</v>
      </c>
      <c r="P311" t="inlineStr">
        <is>
          <t>03 - SUL</t>
        </is>
      </c>
      <c r="Q311" t="inlineStr">
        <is>
          <t>HEMANUELE DITZEL (MANU)</t>
        </is>
      </c>
      <c r="S311" t="inlineStr">
        <is>
          <t>ZR - NAO APLICAVEL</t>
        </is>
      </c>
      <c r="T311" t="inlineStr">
        <is>
          <t>HEMANUELE ROSA DITZEL</t>
        </is>
      </c>
      <c r="V311" t="inlineStr">
        <is>
          <t>demais</t>
        </is>
      </c>
      <c r="W311" t="inlineStr">
        <is>
          <t>REGIÕES/GRUPOS</t>
        </is>
      </c>
    </row>
    <row r="312" ht="15" customHeight="1">
      <c r="A312" t="n">
        <v>0.125193</v>
      </c>
      <c r="B312" t="inlineStr">
        <is>
          <t>VERMELHO</t>
        </is>
      </c>
      <c r="C312" t="n">
        <v>10706.9</v>
      </c>
      <c r="D312" t="n">
        <v>1340.43</v>
      </c>
      <c r="E312" t="n">
        <v>10706.9</v>
      </c>
      <c r="F312" s="6" t="n">
        <v>0.125193</v>
      </c>
      <c r="G312" t="inlineStr">
        <is>
          <t>FITLAND</t>
        </is>
      </c>
      <c r="H312" t="inlineStr">
        <is>
          <t>RS</t>
        </is>
      </c>
      <c r="I312" t="n">
        <v>5381462009</v>
      </c>
      <c r="J312" t="inlineStr">
        <is>
          <t>Plano de Negócio</t>
        </is>
      </c>
      <c r="K312" t="inlineStr">
        <is>
          <t>FITLAND</t>
        </is>
      </c>
      <c r="L312" t="inlineStr">
        <is>
          <t>RS</t>
        </is>
      </c>
      <c r="M312" t="n">
        <v>5381462009</v>
      </c>
      <c r="N312" t="n">
        <v>1340.43</v>
      </c>
      <c r="O312" t="n">
        <v>892.24</v>
      </c>
      <c r="P312" t="inlineStr">
        <is>
          <t>03 - NACIONAL</t>
        </is>
      </c>
      <c r="Q312" t="inlineStr">
        <is>
          <t>JULIO GADRET</t>
        </is>
      </c>
      <c r="S312" t="inlineStr">
        <is>
          <t>LG REPRESENTACOES LTDA - EPP</t>
        </is>
      </c>
      <c r="T312" t="inlineStr">
        <is>
          <t>ZV - NAO APLICAVEL</t>
        </is>
      </c>
      <c r="V312" t="inlineStr">
        <is>
          <t>demais</t>
        </is>
      </c>
      <c r="W312" t="inlineStr">
        <is>
          <t>REDES E FRANQUIAS</t>
        </is>
      </c>
    </row>
    <row r="313" ht="15" customHeight="1">
      <c r="A313" t="n">
        <v>0.237934</v>
      </c>
      <c r="B313" t="inlineStr">
        <is>
          <t>VERMELHO</t>
        </is>
      </c>
      <c r="C313" t="n">
        <v>5615.5</v>
      </c>
      <c r="D313" t="n">
        <v>1336.12</v>
      </c>
      <c r="E313" t="n">
        <v>5615.5</v>
      </c>
      <c r="F313" s="6" t="n">
        <v>0.237934</v>
      </c>
      <c r="G313" t="inlineStr">
        <is>
          <t>SEM GRUPO</t>
        </is>
      </c>
      <c r="H313" t="inlineStr">
        <is>
          <t>SP</t>
        </is>
      </c>
      <c r="I313" t="n">
        <v>1897663455</v>
      </c>
      <c r="J313" t="inlineStr">
        <is>
          <t>Plano de Negócio</t>
        </is>
      </c>
      <c r="K313" t="inlineStr">
        <is>
          <t>SEM REDE</t>
        </is>
      </c>
      <c r="L313" t="inlineStr">
        <is>
          <t>SP</t>
        </is>
      </c>
      <c r="M313" t="n">
        <v>1897663455</v>
      </c>
      <c r="N313" t="n">
        <v>1336.12</v>
      </c>
      <c r="O313" t="n">
        <v>467.96</v>
      </c>
      <c r="P313" t="inlineStr">
        <is>
          <t>03 - SP INTERIOR</t>
        </is>
      </c>
      <c r="Q313" t="inlineStr">
        <is>
          <t>LARISSA PADILHA</t>
        </is>
      </c>
      <c r="S313" t="inlineStr">
        <is>
          <t>42.149.466 LARISSA DA SILVA PADILHA - ME</t>
        </is>
      </c>
      <c r="T313" t="inlineStr">
        <is>
          <t>ZV - NAO APLICAVEL</t>
        </is>
      </c>
      <c r="V313" t="inlineStr">
        <is>
          <t>demais</t>
        </is>
      </c>
      <c r="W313" t="inlineStr">
        <is>
          <t>REGIÕES/GRUPOS</t>
        </is>
      </c>
    </row>
    <row r="314" ht="15" customHeight="1">
      <c r="A314" t="n">
        <v>0.237836</v>
      </c>
      <c r="B314" t="inlineStr">
        <is>
          <t>VERMELHO</t>
        </is>
      </c>
      <c r="C314" t="n">
        <v>5615.5</v>
      </c>
      <c r="D314" t="n">
        <v>1335.57</v>
      </c>
      <c r="E314" t="n">
        <v>5615.5</v>
      </c>
      <c r="F314" s="6" t="n">
        <v>0.237836</v>
      </c>
      <c r="G314" t="inlineStr">
        <is>
          <t>SEM GRUPO</t>
        </is>
      </c>
      <c r="H314" t="inlineStr">
        <is>
          <t>RS</t>
        </is>
      </c>
      <c r="I314" t="n">
        <v>51982920694</v>
      </c>
      <c r="J314" t="inlineStr">
        <is>
          <t>Plano de Negócio</t>
        </is>
      </c>
      <c r="K314" t="inlineStr">
        <is>
          <t>SEM REDE</t>
        </is>
      </c>
      <c r="L314" t="inlineStr">
        <is>
          <t>RS</t>
        </is>
      </c>
      <c r="M314" t="n">
        <v>51982920694</v>
      </c>
      <c r="N314" t="n">
        <v>1335.57</v>
      </c>
      <c r="O314" t="n">
        <v>467.96</v>
      </c>
      <c r="P314" t="inlineStr">
        <is>
          <t>03 - SUL</t>
        </is>
      </c>
      <c r="Q314" t="inlineStr">
        <is>
          <t>HEMANUELE DITZEL (MANU)</t>
        </is>
      </c>
      <c r="S314" t="inlineStr">
        <is>
          <t>ZR - NAO APLICAVEL</t>
        </is>
      </c>
      <c r="T314" t="inlineStr">
        <is>
          <t>HEMANUELE ROSA DITZEL</t>
        </is>
      </c>
      <c r="V314" t="inlineStr">
        <is>
          <t>demais</t>
        </is>
      </c>
      <c r="W314" t="inlineStr">
        <is>
          <t>REGIÕES/GRUPOS</t>
        </is>
      </c>
    </row>
    <row r="315" ht="15" customHeight="1">
      <c r="A315" t="n">
        <v>0.236593</v>
      </c>
      <c r="B315" t="inlineStr">
        <is>
          <t>VERMELHO</t>
        </is>
      </c>
      <c r="C315" t="n">
        <v>5615.5</v>
      </c>
      <c r="D315" t="n">
        <v>1328.59</v>
      </c>
      <c r="E315" t="n">
        <v>5615.5</v>
      </c>
      <c r="F315" s="6" t="n">
        <v>0.236593</v>
      </c>
      <c r="G315" t="inlineStr">
        <is>
          <t>SEM GRUPO</t>
        </is>
      </c>
      <c r="H315" t="inlineStr">
        <is>
          <t>MG</t>
        </is>
      </c>
      <c r="I315" t="n">
        <v>31994766841</v>
      </c>
      <c r="J315" t="inlineStr">
        <is>
          <t>Plano de Negócio</t>
        </is>
      </c>
      <c r="K315" t="inlineStr">
        <is>
          <t>SEM REDE</t>
        </is>
      </c>
      <c r="L315" t="inlineStr">
        <is>
          <t>MG</t>
        </is>
      </c>
      <c r="M315" t="n">
        <v>31994766841</v>
      </c>
      <c r="N315" t="n">
        <v>1328.59</v>
      </c>
      <c r="O315" t="n">
        <v>467.96</v>
      </c>
      <c r="P315" t="inlineStr">
        <is>
          <t>03 - RJ + ES + MG</t>
        </is>
      </c>
      <c r="Q315" t="inlineStr">
        <is>
          <t>LARISSA PADILHA</t>
        </is>
      </c>
      <c r="S315" t="inlineStr">
        <is>
          <t>42.149.466 LARISSA DA SILVA PADILHA - ME</t>
        </is>
      </c>
      <c r="T315" t="inlineStr">
        <is>
          <t>ZV - NAO APLICAVEL</t>
        </is>
      </c>
      <c r="V315" t="inlineStr">
        <is>
          <t>demais</t>
        </is>
      </c>
      <c r="W315" t="inlineStr">
        <is>
          <t>REGIÕES/GRUPOS</t>
        </is>
      </c>
    </row>
    <row r="316" ht="15" customHeight="1">
      <c r="A316" t="n">
        <v>0.195552</v>
      </c>
      <c r="B316" t="inlineStr">
        <is>
          <t>VERMELHO</t>
        </is>
      </c>
      <c r="C316" t="n">
        <v>6566.04</v>
      </c>
      <c r="D316" t="n">
        <v>1284</v>
      </c>
      <c r="E316" t="n">
        <v>6566.04</v>
      </c>
      <c r="F316" s="6" t="n">
        <v>0.195552</v>
      </c>
      <c r="G316" t="inlineStr">
        <is>
          <t>DIVINA TERRA</t>
        </is>
      </c>
      <c r="H316" t="inlineStr">
        <is>
          <t>MT</t>
        </is>
      </c>
      <c r="I316" t="n">
        <v>66999655258</v>
      </c>
      <c r="J316" t="inlineStr">
        <is>
          <t>Plano de Negócio</t>
        </is>
      </c>
      <c r="K316" t="inlineStr">
        <is>
          <t>DIVINA TERRA</t>
        </is>
      </c>
      <c r="L316" t="inlineStr">
        <is>
          <t>MT</t>
        </is>
      </c>
      <c r="M316" t="n">
        <v>66999655258</v>
      </c>
      <c r="N316" t="n">
        <v>1284</v>
      </c>
      <c r="O316" t="n">
        <v>547.17</v>
      </c>
      <c r="P316" t="inlineStr">
        <is>
          <t>03 - NACIONAL</t>
        </is>
      </c>
      <c r="Q316" t="inlineStr">
        <is>
          <t>HEMANUELE DITZEL (MANU)</t>
        </is>
      </c>
      <c r="S316" t="inlineStr">
        <is>
          <t>ZR - NAO APLICAVEL</t>
        </is>
      </c>
      <c r="T316" t="inlineStr">
        <is>
          <t>HEMANUELE ROSA DITZEL</t>
        </is>
      </c>
      <c r="V316" t="inlineStr">
        <is>
          <t>demais</t>
        </is>
      </c>
      <c r="W316" t="inlineStr">
        <is>
          <t>REDES E FRANQUIAS</t>
        </is>
      </c>
    </row>
    <row r="317" ht="15" customHeight="1">
      <c r="A317" t="n">
        <v>0.226672</v>
      </c>
      <c r="B317" t="inlineStr">
        <is>
          <t>VERMELHO</t>
        </is>
      </c>
      <c r="C317" t="n">
        <v>5615.5</v>
      </c>
      <c r="D317" t="n">
        <v>1272.88</v>
      </c>
      <c r="E317" t="n">
        <v>5615.5</v>
      </c>
      <c r="F317" s="6" t="n">
        <v>0.226672</v>
      </c>
      <c r="G317" t="inlineStr">
        <is>
          <t>SEM GRUPO</t>
        </is>
      </c>
      <c r="H317" t="inlineStr">
        <is>
          <t>SC</t>
        </is>
      </c>
      <c r="I317" t="n">
        <v>47988187995</v>
      </c>
      <c r="J317" t="inlineStr">
        <is>
          <t>Plano de Negócio</t>
        </is>
      </c>
      <c r="K317" t="inlineStr">
        <is>
          <t>SEM REDE</t>
        </is>
      </c>
      <c r="L317" t="inlineStr">
        <is>
          <t>SC</t>
        </is>
      </c>
      <c r="M317" t="n">
        <v>47988187995</v>
      </c>
      <c r="N317" t="n">
        <v>1272.88</v>
      </c>
      <c r="O317" t="n">
        <v>467.96</v>
      </c>
      <c r="P317" t="inlineStr">
        <is>
          <t>03 - SUL</t>
        </is>
      </c>
      <c r="Q317" t="inlineStr">
        <is>
          <t>JULIO GADRET</t>
        </is>
      </c>
      <c r="S317" t="inlineStr">
        <is>
          <t>LG REPRESENTACOES LTDA - EPP</t>
        </is>
      </c>
      <c r="T317" t="inlineStr">
        <is>
          <t>ZV - NAO APLICAVEL</t>
        </is>
      </c>
      <c r="V317" t="inlineStr">
        <is>
          <t>demais</t>
        </is>
      </c>
      <c r="W317" t="inlineStr">
        <is>
          <t>REGIÕES/GRUPOS</t>
        </is>
      </c>
    </row>
    <row r="318" ht="15" customHeight="1">
      <c r="A318" t="n">
        <v>0.118719</v>
      </c>
      <c r="B318" t="inlineStr">
        <is>
          <t>VERMELHO</t>
        </is>
      </c>
      <c r="C318" t="n">
        <v>10706.9</v>
      </c>
      <c r="D318" t="n">
        <v>1271.11</v>
      </c>
      <c r="E318" t="n">
        <v>10706.9</v>
      </c>
      <c r="F318" s="6" t="n">
        <v>0.118719</v>
      </c>
      <c r="G318" t="inlineStr">
        <is>
          <t>FITLAND</t>
        </is>
      </c>
      <c r="H318" t="inlineStr">
        <is>
          <t>SC</t>
        </is>
      </c>
      <c r="I318" t="n">
        <v>4896885390</v>
      </c>
      <c r="J318" t="inlineStr">
        <is>
          <t>Plano de Negócio</t>
        </is>
      </c>
      <c r="K318" t="inlineStr">
        <is>
          <t>FITLAND</t>
        </is>
      </c>
      <c r="L318" t="inlineStr">
        <is>
          <t>SC</t>
        </is>
      </c>
      <c r="M318" t="n">
        <v>4896885390</v>
      </c>
      <c r="N318" t="n">
        <v>1271.11</v>
      </c>
      <c r="O318" t="n">
        <v>892.24</v>
      </c>
      <c r="P318" t="inlineStr">
        <is>
          <t>03 - NACIONAL</t>
        </is>
      </c>
      <c r="Q318" t="inlineStr">
        <is>
          <t>JULIO GADRET</t>
        </is>
      </c>
      <c r="S318" t="inlineStr">
        <is>
          <t>LG REPRESENTACOES LTDA - EPP</t>
        </is>
      </c>
      <c r="T318" t="inlineStr">
        <is>
          <t>ZV - NAO APLICAVEL</t>
        </is>
      </c>
      <c r="V318" t="inlineStr">
        <is>
          <t>demais</t>
        </is>
      </c>
      <c r="W318" t="inlineStr">
        <is>
          <t>REDES E FRANQUIAS</t>
        </is>
      </c>
    </row>
    <row r="319" ht="15" customHeight="1">
      <c r="A319" t="n">
        <v>0.225848</v>
      </c>
      <c r="B319" t="inlineStr">
        <is>
          <t>VERMELHO</t>
        </is>
      </c>
      <c r="C319" t="n">
        <v>5615.5</v>
      </c>
      <c r="D319" t="n">
        <v>1268.25</v>
      </c>
      <c r="E319" t="n">
        <v>5615.5</v>
      </c>
      <c r="F319" s="6" t="n">
        <v>0.225848</v>
      </c>
      <c r="G319" t="inlineStr">
        <is>
          <t>SEM GRUPO</t>
        </is>
      </c>
      <c r="H319" t="inlineStr">
        <is>
          <t>MG</t>
        </is>
      </c>
      <c r="I319" t="n">
        <v>37988512269</v>
      </c>
      <c r="J319" t="inlineStr">
        <is>
          <t>Plano de Negócio</t>
        </is>
      </c>
      <c r="K319" t="inlineStr">
        <is>
          <t>SEM REDE</t>
        </is>
      </c>
      <c r="L319" t="inlineStr">
        <is>
          <t>MG</t>
        </is>
      </c>
      <c r="M319" t="n">
        <v>37988512269</v>
      </c>
      <c r="N319" t="n">
        <v>1268.25</v>
      </c>
      <c r="O319" t="n">
        <v>467.96</v>
      </c>
      <c r="P319" t="inlineStr">
        <is>
          <t>03 - RJ + ES + MG</t>
        </is>
      </c>
      <c r="Q319" t="inlineStr">
        <is>
          <t>LARISSA PADILHA</t>
        </is>
      </c>
      <c r="S319" t="inlineStr">
        <is>
          <t>42.149.466 LARISSA DA SILVA PADILHA - ME</t>
        </is>
      </c>
      <c r="T319" t="inlineStr">
        <is>
          <t>ZV - NAO APLICAVEL</t>
        </is>
      </c>
      <c r="V319" t="inlineStr">
        <is>
          <t>demais</t>
        </is>
      </c>
      <c r="W319" t="inlineStr">
        <is>
          <t>REGIÕES/GRUPOS</t>
        </is>
      </c>
    </row>
    <row r="320" ht="15" customHeight="1">
      <c r="A320" t="n">
        <v>0.225234</v>
      </c>
      <c r="B320" t="inlineStr">
        <is>
          <t>VERMELHO</t>
        </is>
      </c>
      <c r="C320" t="n">
        <v>5615.5</v>
      </c>
      <c r="D320" t="n">
        <v>1264.8</v>
      </c>
      <c r="E320" t="n">
        <v>5615.5</v>
      </c>
      <c r="F320" s="6" t="n">
        <v>0.225234</v>
      </c>
      <c r="G320" t="inlineStr">
        <is>
          <t>SEM GRUPO</t>
        </is>
      </c>
      <c r="H320" t="inlineStr">
        <is>
          <t>PR</t>
        </is>
      </c>
      <c r="I320" t="n">
        <v>4136413030</v>
      </c>
      <c r="J320" t="inlineStr">
        <is>
          <t>Plano de Negócio</t>
        </is>
      </c>
      <c r="K320" t="inlineStr">
        <is>
          <t>SEM REDE</t>
        </is>
      </c>
      <c r="L320" t="inlineStr">
        <is>
          <t>PR</t>
        </is>
      </c>
      <c r="M320" t="n">
        <v>4136413030</v>
      </c>
      <c r="N320" t="n">
        <v>1264.8</v>
      </c>
      <c r="O320" t="n">
        <v>467.96</v>
      </c>
      <c r="P320" t="inlineStr">
        <is>
          <t>03 - SUL</t>
        </is>
      </c>
      <c r="Q320" t="inlineStr">
        <is>
          <t>HEMANUELE DITZEL (MANU)</t>
        </is>
      </c>
      <c r="S320" t="inlineStr">
        <is>
          <t>ZR - NAO APLICAVEL</t>
        </is>
      </c>
      <c r="T320" t="inlineStr">
        <is>
          <t>HEMANUELE ROSA DITZEL</t>
        </is>
      </c>
      <c r="V320" t="inlineStr">
        <is>
          <t>demais</t>
        </is>
      </c>
      <c r="W320" t="inlineStr">
        <is>
          <t>REGIÕES/GRUPOS</t>
        </is>
      </c>
    </row>
    <row r="321" ht="15" customHeight="1">
      <c r="A321" t="n">
        <v>0.121994</v>
      </c>
      <c r="B321" t="inlineStr">
        <is>
          <t>VERMELHO</t>
        </is>
      </c>
      <c r="C321" t="n">
        <v>10200</v>
      </c>
      <c r="D321" t="n">
        <v>1244.34</v>
      </c>
      <c r="E321" t="n">
        <v>10200</v>
      </c>
      <c r="F321" s="6" t="n">
        <v>0.121994</v>
      </c>
      <c r="G321" t="inlineStr">
        <is>
          <t>VIDA LEVE</t>
        </is>
      </c>
      <c r="H321" t="inlineStr">
        <is>
          <t>SC</t>
        </is>
      </c>
      <c r="I321" t="n">
        <v>49999128183</v>
      </c>
      <c r="J321" t="inlineStr">
        <is>
          <t>Plano de Negócio</t>
        </is>
      </c>
      <c r="K321" t="inlineStr">
        <is>
          <t>VIDA LEVE</t>
        </is>
      </c>
      <c r="L321" t="inlineStr">
        <is>
          <t>SC</t>
        </is>
      </c>
      <c r="M321" t="n">
        <v>49999128183</v>
      </c>
      <c r="N321" t="n">
        <v>1244.34</v>
      </c>
      <c r="O321" t="n">
        <v>850</v>
      </c>
      <c r="P321" t="inlineStr">
        <is>
          <t>03 - NACIONAL</t>
        </is>
      </c>
      <c r="Q321" t="inlineStr">
        <is>
          <t>HEMANUELE DITZEL (MANU)</t>
        </is>
      </c>
      <c r="S321" t="inlineStr">
        <is>
          <t>ZR - NAO APLICAVEL</t>
        </is>
      </c>
      <c r="T321" t="inlineStr">
        <is>
          <t>HEMANUELE ROSA DITZEL</t>
        </is>
      </c>
      <c r="V321" t="inlineStr">
        <is>
          <t>demais</t>
        </is>
      </c>
      <c r="W321" t="inlineStr">
        <is>
          <t>REDES E FRANQUIAS</t>
        </is>
      </c>
    </row>
    <row r="322" ht="15" customHeight="1">
      <c r="A322" t="n">
        <v>0.218472</v>
      </c>
      <c r="B322" t="inlineStr">
        <is>
          <t>VERMELHO</t>
        </is>
      </c>
      <c r="C322" t="n">
        <v>5615.5</v>
      </c>
      <c r="D322" t="n">
        <v>1226.83</v>
      </c>
      <c r="E322" t="n">
        <v>5615.5</v>
      </c>
      <c r="F322" s="6" t="n">
        <v>0.218472</v>
      </c>
      <c r="G322" t="inlineStr">
        <is>
          <t>SEM GRUPO</t>
        </is>
      </c>
      <c r="H322" t="inlineStr">
        <is>
          <t>MG</t>
        </is>
      </c>
      <c r="I322" t="n">
        <v>3332461105</v>
      </c>
      <c r="J322" t="inlineStr">
        <is>
          <t>Plano de Negócio</t>
        </is>
      </c>
      <c r="K322" t="inlineStr">
        <is>
          <t>SEM REDE</t>
        </is>
      </c>
      <c r="L322" t="inlineStr">
        <is>
          <t>MG</t>
        </is>
      </c>
      <c r="M322" t="n">
        <v>3332461105</v>
      </c>
      <c r="N322" t="n">
        <v>1226.83</v>
      </c>
      <c r="O322" t="n">
        <v>467.96</v>
      </c>
      <c r="P322" t="inlineStr">
        <is>
          <t>03 - RJ + ES + MG</t>
        </is>
      </c>
      <c r="Q322" t="inlineStr">
        <is>
          <t>LARISSA PADILHA</t>
        </is>
      </c>
      <c r="S322" t="inlineStr">
        <is>
          <t>42.149.466 LARISSA DA SILVA PADILHA - ME</t>
        </is>
      </c>
      <c r="T322" t="inlineStr">
        <is>
          <t>ZV - NAO APLICAVEL</t>
        </is>
      </c>
      <c r="V322" t="inlineStr">
        <is>
          <t>demais</t>
        </is>
      </c>
      <c r="W322" t="inlineStr">
        <is>
          <t>REGIÕES/GRUPOS</t>
        </is>
      </c>
    </row>
    <row r="323" ht="15" customHeight="1">
      <c r="A323" t="n">
        <v>0.216663</v>
      </c>
      <c r="B323" t="inlineStr">
        <is>
          <t>VERMELHO</t>
        </is>
      </c>
      <c r="C323" t="n">
        <v>5615.5</v>
      </c>
      <c r="D323" t="n">
        <v>1216.67</v>
      </c>
      <c r="E323" t="n">
        <v>5615.5</v>
      </c>
      <c r="F323" s="6" t="n">
        <v>0.216663</v>
      </c>
      <c r="G323" t="inlineStr">
        <is>
          <t>SEM GRUPO</t>
        </is>
      </c>
      <c r="H323" t="inlineStr">
        <is>
          <t>SC</t>
        </is>
      </c>
      <c r="I323" t="n">
        <v>47984391430</v>
      </c>
      <c r="J323" t="inlineStr">
        <is>
          <t>Plano de Negócio</t>
        </is>
      </c>
      <c r="K323" t="inlineStr">
        <is>
          <t>SEM REDE</t>
        </is>
      </c>
      <c r="L323" t="inlineStr">
        <is>
          <t>SC</t>
        </is>
      </c>
      <c r="M323" t="n">
        <v>47984391430</v>
      </c>
      <c r="N323" t="n">
        <v>1216.67</v>
      </c>
      <c r="O323" t="n">
        <v>467.96</v>
      </c>
      <c r="P323" t="inlineStr">
        <is>
          <t>03 - SUL</t>
        </is>
      </c>
      <c r="Q323" t="inlineStr">
        <is>
          <t>HEMANUELE DITZEL (MANU)</t>
        </is>
      </c>
      <c r="S323" t="inlineStr">
        <is>
          <t>ZR - NAO APLICAVEL</t>
        </is>
      </c>
      <c r="T323" t="inlineStr">
        <is>
          <t>HEMANUELE ROSA DITZEL</t>
        </is>
      </c>
      <c r="V323" t="inlineStr">
        <is>
          <t>demais</t>
        </is>
      </c>
      <c r="W323" t="inlineStr">
        <is>
          <t>REGIÕES/GRUPOS</t>
        </is>
      </c>
    </row>
    <row r="324" ht="15" customHeight="1">
      <c r="A324" t="n">
        <v>0.216346</v>
      </c>
      <c r="B324" t="inlineStr">
        <is>
          <t>VERMELHO</t>
        </is>
      </c>
      <c r="C324" t="n">
        <v>5615.5</v>
      </c>
      <c r="D324" t="n">
        <v>1214.89</v>
      </c>
      <c r="E324" t="n">
        <v>5615.5</v>
      </c>
      <c r="F324" s="6" t="n">
        <v>0.216346</v>
      </c>
      <c r="G324" t="inlineStr">
        <is>
          <t>SEM GRUPO</t>
        </is>
      </c>
      <c r="H324" t="inlineStr">
        <is>
          <t>RJ</t>
        </is>
      </c>
      <c r="I324" t="n">
        <v>24988662213</v>
      </c>
      <c r="J324" t="inlineStr">
        <is>
          <t>Plano de Negócio</t>
        </is>
      </c>
      <c r="K324" t="inlineStr">
        <is>
          <t>SEM REDE</t>
        </is>
      </c>
      <c r="L324" t="inlineStr">
        <is>
          <t>RJ</t>
        </is>
      </c>
      <c r="M324" t="n">
        <v>24988662213</v>
      </c>
      <c r="N324" t="n">
        <v>1214.89</v>
      </c>
      <c r="O324" t="n">
        <v>467.96</v>
      </c>
      <c r="P324" t="inlineStr">
        <is>
          <t>03 - RJ + ES + MG</t>
        </is>
      </c>
      <c r="Q324" t="inlineStr">
        <is>
          <t>LARISSA PADILHA</t>
        </is>
      </c>
      <c r="S324" t="inlineStr">
        <is>
          <t>42.149.466 LARISSA DA SILVA PADILHA - ME</t>
        </is>
      </c>
      <c r="T324" t="inlineStr">
        <is>
          <t>ZV - NAO APLICAVEL</t>
        </is>
      </c>
      <c r="V324" t="inlineStr">
        <is>
          <t>demais</t>
        </is>
      </c>
      <c r="W324" t="inlineStr">
        <is>
          <t>REGIÕES/GRUPOS</t>
        </is>
      </c>
    </row>
    <row r="325" ht="15" customHeight="1">
      <c r="A325" t="n">
        <v>0.112694</v>
      </c>
      <c r="B325" t="inlineStr">
        <is>
          <t>VERMELHO</t>
        </is>
      </c>
      <c r="C325" t="n">
        <v>10706.9</v>
      </c>
      <c r="D325" t="n">
        <v>1206.6</v>
      </c>
      <c r="E325" t="n">
        <v>10706.9</v>
      </c>
      <c r="F325" s="6" t="n">
        <v>0.112694</v>
      </c>
      <c r="G325" t="inlineStr">
        <is>
          <t>FITLAND</t>
        </is>
      </c>
      <c r="H325" t="inlineStr">
        <is>
          <t>SC</t>
        </is>
      </c>
      <c r="I325" t="n">
        <v>4899454161</v>
      </c>
      <c r="J325" t="inlineStr">
        <is>
          <t>Plano de Negócio</t>
        </is>
      </c>
      <c r="K325" t="inlineStr">
        <is>
          <t>FITLAND</t>
        </is>
      </c>
      <c r="L325" t="inlineStr">
        <is>
          <t>SC</t>
        </is>
      </c>
      <c r="M325" t="n">
        <v>4899454161</v>
      </c>
      <c r="N325" t="n">
        <v>1206.6</v>
      </c>
      <c r="O325" t="n">
        <v>892.24</v>
      </c>
      <c r="P325" t="inlineStr">
        <is>
          <t>03 - NACIONAL</t>
        </is>
      </c>
      <c r="Q325" t="inlineStr">
        <is>
          <t>JULIO GADRET</t>
        </is>
      </c>
      <c r="S325" t="inlineStr">
        <is>
          <t>ZR - NAO APLICAVEL</t>
        </is>
      </c>
      <c r="T325" t="inlineStr">
        <is>
          <t>ZV - NAO APLICAVEL</t>
        </is>
      </c>
      <c r="V325" t="inlineStr">
        <is>
          <t>demais</t>
        </is>
      </c>
      <c r="W325" t="inlineStr">
        <is>
          <t>REDES E FRANQUIAS</t>
        </is>
      </c>
    </row>
    <row r="326" ht="15" customHeight="1">
      <c r="A326" t="n">
        <v>0.117941</v>
      </c>
      <c r="B326" t="inlineStr">
        <is>
          <t>VERMELHO</t>
        </is>
      </c>
      <c r="C326" t="n">
        <v>10200</v>
      </c>
      <c r="D326" t="n">
        <v>1203</v>
      </c>
      <c r="E326" t="n">
        <v>10200</v>
      </c>
      <c r="F326" s="6" t="n">
        <v>0.117941</v>
      </c>
      <c r="G326" t="inlineStr">
        <is>
          <t>VIDA LEVE</t>
        </is>
      </c>
      <c r="H326" t="inlineStr">
        <is>
          <t>SC</t>
        </is>
      </c>
      <c r="I326" t="n">
        <v>48996572969</v>
      </c>
      <c r="J326" t="inlineStr">
        <is>
          <t>Plano de Negócio</t>
        </is>
      </c>
      <c r="K326" t="inlineStr">
        <is>
          <t>VIDA LEVE</t>
        </is>
      </c>
      <c r="L326" t="inlineStr">
        <is>
          <t>SC</t>
        </is>
      </c>
      <c r="M326" t="n">
        <v>48996572969</v>
      </c>
      <c r="N326" t="n">
        <v>1203</v>
      </c>
      <c r="O326" t="n">
        <v>850</v>
      </c>
      <c r="P326" t="inlineStr">
        <is>
          <t>03 - NACIONAL</t>
        </is>
      </c>
      <c r="Q326" t="inlineStr">
        <is>
          <t>DAIANE STAVICKI</t>
        </is>
      </c>
      <c r="S326" t="inlineStr">
        <is>
          <t>ZR - NAO APLICAVEL</t>
        </is>
      </c>
      <c r="T326" t="inlineStr">
        <is>
          <t>ZV - NAO APLICAVEL</t>
        </is>
      </c>
      <c r="V326" t="inlineStr">
        <is>
          <t>demais</t>
        </is>
      </c>
      <c r="W326" t="inlineStr">
        <is>
          <t>REDES E FRANQUIAS</t>
        </is>
      </c>
    </row>
    <row r="327" ht="15" customHeight="1">
      <c r="A327" t="n">
        <v>0.117647</v>
      </c>
      <c r="B327" t="inlineStr">
        <is>
          <t>VERMELHO</t>
        </is>
      </c>
      <c r="C327" t="n">
        <v>10200</v>
      </c>
      <c r="D327" t="n">
        <v>1200</v>
      </c>
      <c r="E327" t="n">
        <v>10200</v>
      </c>
      <c r="F327" s="6" t="n">
        <v>0.117647</v>
      </c>
      <c r="G327" t="inlineStr">
        <is>
          <t>VIDA LEVE</t>
        </is>
      </c>
      <c r="H327" t="inlineStr">
        <is>
          <t>SP</t>
        </is>
      </c>
      <c r="I327" t="n">
        <v>15997814718</v>
      </c>
      <c r="J327" t="inlineStr">
        <is>
          <t>Plano de Negócio</t>
        </is>
      </c>
      <c r="K327" t="inlineStr">
        <is>
          <t>VIDA LEVE</t>
        </is>
      </c>
      <c r="L327" t="inlineStr">
        <is>
          <t>SP</t>
        </is>
      </c>
      <c r="M327" t="n">
        <v>15997814718</v>
      </c>
      <c r="N327" t="n">
        <v>1200</v>
      </c>
      <c r="O327" t="n">
        <v>850</v>
      </c>
      <c r="P327" t="inlineStr">
        <is>
          <t>03 - NACIONAL</t>
        </is>
      </c>
      <c r="Q327" t="inlineStr">
        <is>
          <t>DAIANE STAVICKI</t>
        </is>
      </c>
      <c r="S327" t="inlineStr">
        <is>
          <t>ZR - NAO APLICAVEL</t>
        </is>
      </c>
      <c r="T327" t="inlineStr">
        <is>
          <t>ZV - NAO APLICAVEL</t>
        </is>
      </c>
      <c r="V327" t="inlineStr">
        <is>
          <t>demais</t>
        </is>
      </c>
      <c r="W327" t="inlineStr">
        <is>
          <t>REDES E FRANQUIAS</t>
        </is>
      </c>
    </row>
    <row r="328" ht="15" customHeight="1">
      <c r="A328" t="n">
        <v>0.110345</v>
      </c>
      <c r="B328" t="inlineStr">
        <is>
          <t>VERMELHO</t>
        </is>
      </c>
      <c r="C328" t="n">
        <v>10875</v>
      </c>
      <c r="D328" t="n">
        <v>1200</v>
      </c>
      <c r="E328" t="n">
        <v>10875</v>
      </c>
      <c r="F328" s="6" t="n">
        <v>0.110345</v>
      </c>
      <c r="G328" t="inlineStr">
        <is>
          <t>CIA DA SAUDE</t>
        </is>
      </c>
      <c r="H328" t="inlineStr">
        <is>
          <t>RS</t>
        </is>
      </c>
      <c r="I328" t="n">
        <v>48996729514</v>
      </c>
      <c r="J328" t="inlineStr">
        <is>
          <t>Plano de Negócio</t>
        </is>
      </c>
      <c r="K328" t="inlineStr">
        <is>
          <t>CIA DA SAUDE</t>
        </is>
      </c>
      <c r="L328" t="inlineStr">
        <is>
          <t>RS</t>
        </is>
      </c>
      <c r="M328" t="n">
        <v>48996729514</v>
      </c>
      <c r="N328" t="n">
        <v>1200</v>
      </c>
      <c r="O328" t="n">
        <v>906.25</v>
      </c>
      <c r="P328" t="inlineStr">
        <is>
          <t>03 - NACIONAL</t>
        </is>
      </c>
      <c r="Q328" t="inlineStr">
        <is>
          <t>JULIO GADRET</t>
        </is>
      </c>
      <c r="S328" t="inlineStr">
        <is>
          <t>LG REPRESENTACOES LTDA - EPP</t>
        </is>
      </c>
      <c r="T328" t="inlineStr">
        <is>
          <t>ZV - NAO APLICAVEL</t>
        </is>
      </c>
      <c r="V328" t="inlineStr">
        <is>
          <t>demais</t>
        </is>
      </c>
      <c r="W328" t="inlineStr">
        <is>
          <t>REDES E FRANQUIAS</t>
        </is>
      </c>
    </row>
    <row r="329" ht="15" customHeight="1">
      <c r="A329" t="n">
        <v>0.213694</v>
      </c>
      <c r="B329" t="inlineStr">
        <is>
          <t>VERMELHO</t>
        </is>
      </c>
      <c r="C329" t="n">
        <v>5615.5</v>
      </c>
      <c r="D329" t="n">
        <v>1200</v>
      </c>
      <c r="E329" t="n">
        <v>5615.5</v>
      </c>
      <c r="F329" s="6" t="n">
        <v>0.213694</v>
      </c>
      <c r="G329" t="inlineStr">
        <is>
          <t>SEM GRUPO</t>
        </is>
      </c>
      <c r="H329" t="inlineStr">
        <is>
          <t>SC</t>
        </is>
      </c>
      <c r="I329" t="n">
        <v>4884867502</v>
      </c>
      <c r="J329" t="inlineStr">
        <is>
          <t>Plano de Negócio</t>
        </is>
      </c>
      <c r="K329" t="inlineStr">
        <is>
          <t>SEM REDE</t>
        </is>
      </c>
      <c r="L329" t="inlineStr">
        <is>
          <t>SC</t>
        </is>
      </c>
      <c r="M329" t="n">
        <v>4884867502</v>
      </c>
      <c r="N329" t="n">
        <v>1200</v>
      </c>
      <c r="O329" t="n">
        <v>467.96</v>
      </c>
      <c r="P329" t="inlineStr">
        <is>
          <t>03 - SUL</t>
        </is>
      </c>
      <c r="Q329" t="inlineStr">
        <is>
          <t>JULIO GADRET</t>
        </is>
      </c>
      <c r="S329" t="inlineStr">
        <is>
          <t>LG REPRESENTACOES LTDA - EPP</t>
        </is>
      </c>
      <c r="T329" t="inlineStr">
        <is>
          <t>ZV - NAO APLICAVEL</t>
        </is>
      </c>
      <c r="V329" t="inlineStr">
        <is>
          <t>demais</t>
        </is>
      </c>
      <c r="W329" t="inlineStr">
        <is>
          <t>REGIÕES/GRUPOS</t>
        </is>
      </c>
    </row>
    <row r="330" ht="15" customHeight="1">
      <c r="A330" t="n">
        <v>0.102531</v>
      </c>
      <c r="B330" t="inlineStr">
        <is>
          <t>VERMELHO</t>
        </is>
      </c>
      <c r="C330" t="n">
        <v>11700</v>
      </c>
      <c r="D330" t="n">
        <v>1199.61</v>
      </c>
      <c r="E330" t="n">
        <v>11700</v>
      </c>
      <c r="F330" s="6" t="n">
        <v>0.102531</v>
      </c>
      <c r="G330" t="inlineStr">
        <is>
          <t>MUNDO VERDE</t>
        </is>
      </c>
      <c r="H330" t="inlineStr">
        <is>
          <t>RJ</t>
        </is>
      </c>
      <c r="I330" t="n">
        <v>21999780717</v>
      </c>
      <c r="J330" t="inlineStr">
        <is>
          <t>Plano de Negócio</t>
        </is>
      </c>
      <c r="K330" t="inlineStr">
        <is>
          <t>MUNDO VERDE</t>
        </is>
      </c>
      <c r="L330" t="inlineStr">
        <is>
          <t>RJ</t>
        </is>
      </c>
      <c r="M330" t="n">
        <v>21999780717</v>
      </c>
      <c r="N330" t="n">
        <v>1199.61</v>
      </c>
      <c r="O330" t="n">
        <v>975</v>
      </c>
      <c r="P330" t="inlineStr">
        <is>
          <t>03 - NACIONAL</t>
        </is>
      </c>
      <c r="Q330" t="inlineStr">
        <is>
          <t>LARISSA PADILHA</t>
        </is>
      </c>
      <c r="S330" t="inlineStr">
        <is>
          <t>42.149.466 LARISSA DA SILVA PADILHA - ME</t>
        </is>
      </c>
      <c r="T330" t="inlineStr">
        <is>
          <t>ZV - NAO APLICAVEL</t>
        </is>
      </c>
      <c r="V330" t="inlineStr">
        <is>
          <t>demais</t>
        </is>
      </c>
      <c r="W330" t="inlineStr">
        <is>
          <t>REDES E FRANQUIAS</t>
        </is>
      </c>
    </row>
    <row r="331" ht="15" customHeight="1">
      <c r="A331" t="n">
        <v>0.213309</v>
      </c>
      <c r="B331" t="inlineStr">
        <is>
          <t>VERMELHO</t>
        </is>
      </c>
      <c r="C331" t="n">
        <v>5615.5</v>
      </c>
      <c r="D331" t="n">
        <v>1197.84</v>
      </c>
      <c r="E331" t="n">
        <v>5615.5</v>
      </c>
      <c r="F331" s="6" t="n">
        <v>0.213309</v>
      </c>
      <c r="G331" t="inlineStr">
        <is>
          <t>SEM GRUPO</t>
        </is>
      </c>
      <c r="H331" t="inlineStr">
        <is>
          <t>MG</t>
        </is>
      </c>
      <c r="I331" t="n">
        <v>3433176069</v>
      </c>
      <c r="J331" t="inlineStr">
        <is>
          <t>Plano de Negócio</t>
        </is>
      </c>
      <c r="K331" t="inlineStr">
        <is>
          <t>SEM REDE</t>
        </is>
      </c>
      <c r="L331" t="inlineStr">
        <is>
          <t>MG</t>
        </is>
      </c>
      <c r="M331" t="n">
        <v>3433176069</v>
      </c>
      <c r="N331" t="n">
        <v>1197.84</v>
      </c>
      <c r="O331" t="n">
        <v>467.96</v>
      </c>
      <c r="P331" t="inlineStr">
        <is>
          <t>03 - RJ + ES + MG</t>
        </is>
      </c>
      <c r="Q331" t="inlineStr">
        <is>
          <t>LARISSA PADILHA</t>
        </is>
      </c>
      <c r="S331" t="inlineStr">
        <is>
          <t>42.149.466 LARISSA DA SILVA PADILHA - ME</t>
        </is>
      </c>
      <c r="T331" t="inlineStr">
        <is>
          <t>ZV - NAO APLICAVEL</t>
        </is>
      </c>
      <c r="V331" t="inlineStr">
        <is>
          <t>demais</t>
        </is>
      </c>
      <c r="W331" t="inlineStr">
        <is>
          <t>REGIÕES/GRUPOS</t>
        </is>
      </c>
    </row>
    <row r="332" ht="15" customHeight="1">
      <c r="A332" t="n">
        <v>0.111745</v>
      </c>
      <c r="B332" t="inlineStr">
        <is>
          <t>VERMELHO</t>
        </is>
      </c>
      <c r="C332" t="n">
        <v>10706.9</v>
      </c>
      <c r="D332" t="n">
        <v>1196.44</v>
      </c>
      <c r="E332" t="n">
        <v>10706.9</v>
      </c>
      <c r="F332" s="6" t="n">
        <v>0.111745</v>
      </c>
      <c r="G332" t="inlineStr">
        <is>
          <t>FITLAND</t>
        </is>
      </c>
      <c r="H332" t="inlineStr">
        <is>
          <t>SC</t>
        </is>
      </c>
      <c r="I332" t="n">
        <v>47984339656</v>
      </c>
      <c r="J332" t="inlineStr">
        <is>
          <t>Plano de Negócio</t>
        </is>
      </c>
      <c r="K332" t="inlineStr">
        <is>
          <t>FITLAND</t>
        </is>
      </c>
      <c r="L332" t="inlineStr">
        <is>
          <t>SC</t>
        </is>
      </c>
      <c r="M332" t="n">
        <v>47984339656</v>
      </c>
      <c r="N332" t="n">
        <v>1196.44</v>
      </c>
      <c r="O332" t="n">
        <v>892.24</v>
      </c>
      <c r="P332" t="inlineStr">
        <is>
          <t>03 - NACIONAL</t>
        </is>
      </c>
      <c r="Q332" t="inlineStr">
        <is>
          <t>JULIO GADRET</t>
        </is>
      </c>
      <c r="S332" t="inlineStr">
        <is>
          <t>ZR - NAO APLICAVEL</t>
        </is>
      </c>
      <c r="T332" t="inlineStr">
        <is>
          <t>ZV - NAO APLICAVEL</t>
        </is>
      </c>
      <c r="V332" t="inlineStr">
        <is>
          <t>demais</t>
        </is>
      </c>
      <c r="W332" t="inlineStr">
        <is>
          <t>REDES E FRANQUIAS</t>
        </is>
      </c>
    </row>
    <row r="333" ht="15" customHeight="1">
      <c r="A333" t="n">
        <v>0.111745</v>
      </c>
      <c r="B333" t="inlineStr">
        <is>
          <t>VERMELHO</t>
        </is>
      </c>
      <c r="C333" t="n">
        <v>10706.9</v>
      </c>
      <c r="D333" t="n">
        <v>1196.44</v>
      </c>
      <c r="E333" t="n">
        <v>10706.9</v>
      </c>
      <c r="F333" s="6" t="n">
        <v>0.111745</v>
      </c>
      <c r="G333" t="inlineStr">
        <is>
          <t>FITLAND</t>
        </is>
      </c>
      <c r="H333" t="inlineStr">
        <is>
          <t>SC</t>
        </is>
      </c>
      <c r="I333" t="n">
        <v>4899634376</v>
      </c>
      <c r="J333" t="inlineStr">
        <is>
          <t>Plano de Negócio</t>
        </is>
      </c>
      <c r="K333" t="inlineStr">
        <is>
          <t>FITLAND</t>
        </is>
      </c>
      <c r="L333" t="inlineStr">
        <is>
          <t>SC</t>
        </is>
      </c>
      <c r="M333" t="n">
        <v>4899634376</v>
      </c>
      <c r="N333" t="n">
        <v>1196.44</v>
      </c>
      <c r="O333" t="n">
        <v>892.24</v>
      </c>
      <c r="P333" t="inlineStr">
        <is>
          <t>03 - NACIONAL</t>
        </is>
      </c>
      <c r="Q333" t="inlineStr">
        <is>
          <t>JULIO GADRET</t>
        </is>
      </c>
      <c r="S333" t="inlineStr">
        <is>
          <t>ZR - NAO APLICAVEL</t>
        </is>
      </c>
      <c r="T333" t="inlineStr">
        <is>
          <t>ZV - NAO APLICAVEL</t>
        </is>
      </c>
      <c r="V333" t="inlineStr">
        <is>
          <t>demais</t>
        </is>
      </c>
      <c r="W333" t="inlineStr">
        <is>
          <t>REDES E FRANQUIAS</t>
        </is>
      </c>
    </row>
    <row r="334" ht="15" customHeight="1">
      <c r="A334" t="n">
        <v>0.21306</v>
      </c>
      <c r="B334" t="inlineStr">
        <is>
          <t>VERMELHO</t>
        </is>
      </c>
      <c r="C334" t="n">
        <v>5615.5</v>
      </c>
      <c r="D334" t="n">
        <v>1196.44</v>
      </c>
      <c r="E334" t="n">
        <v>5615.5</v>
      </c>
      <c r="F334" s="6" t="n">
        <v>0.21306</v>
      </c>
      <c r="G334" t="inlineStr">
        <is>
          <t>SEM GRUPO</t>
        </is>
      </c>
      <c r="H334" t="inlineStr">
        <is>
          <t>SC</t>
        </is>
      </c>
      <c r="I334" t="n">
        <v>48991061749</v>
      </c>
      <c r="J334" t="inlineStr">
        <is>
          <t>Plano de Negócio</t>
        </is>
      </c>
      <c r="K334" t="inlineStr">
        <is>
          <t>SEM REDE</t>
        </is>
      </c>
      <c r="L334" t="inlineStr">
        <is>
          <t>SC</t>
        </is>
      </c>
      <c r="M334" t="n">
        <v>48991061749</v>
      </c>
      <c r="N334" t="n">
        <v>1196.44</v>
      </c>
      <c r="O334" t="n">
        <v>467.96</v>
      </c>
      <c r="P334" t="inlineStr">
        <is>
          <t>03 - SUL</t>
        </is>
      </c>
      <c r="Q334" t="inlineStr">
        <is>
          <t>HEMANUELE DITZEL (MANU)</t>
        </is>
      </c>
      <c r="S334" t="inlineStr">
        <is>
          <t>ZR - NAO APLICAVEL</t>
        </is>
      </c>
      <c r="T334" t="inlineStr">
        <is>
          <t>ZV - NAO APLICAVEL</t>
        </is>
      </c>
      <c r="V334" t="inlineStr">
        <is>
          <t>demais</t>
        </is>
      </c>
      <c r="W334" t="inlineStr">
        <is>
          <t>REGIÕES/GRUPOS</t>
        </is>
      </c>
    </row>
    <row r="335" ht="15" customHeight="1">
      <c r="A335" t="n">
        <v>0.21306</v>
      </c>
      <c r="B335" t="inlineStr">
        <is>
          <t>VERMELHO</t>
        </is>
      </c>
      <c r="C335" t="n">
        <v>5615.5</v>
      </c>
      <c r="D335" t="n">
        <v>1196.44</v>
      </c>
      <c r="E335" t="n">
        <v>5615.5</v>
      </c>
      <c r="F335" s="6" t="n">
        <v>0.21306</v>
      </c>
      <c r="G335" t="inlineStr">
        <is>
          <t>SEM GRUPO</t>
        </is>
      </c>
      <c r="H335" t="inlineStr">
        <is>
          <t>SC</t>
        </is>
      </c>
      <c r="I335" t="n">
        <v>47988853938</v>
      </c>
      <c r="J335" t="inlineStr">
        <is>
          <t>Plano de Negócio</t>
        </is>
      </c>
      <c r="K335" t="inlineStr">
        <is>
          <t>SEM REDE</t>
        </is>
      </c>
      <c r="L335" t="inlineStr">
        <is>
          <t>SC</t>
        </is>
      </c>
      <c r="M335" t="n">
        <v>47988853938</v>
      </c>
      <c r="N335" t="n">
        <v>1196.44</v>
      </c>
      <c r="O335" t="n">
        <v>467.96</v>
      </c>
      <c r="P335" t="inlineStr">
        <is>
          <t>03 - SUL</t>
        </is>
      </c>
      <c r="Q335" t="inlineStr">
        <is>
          <t>HEMANUELE DITZEL (MANU)</t>
        </is>
      </c>
      <c r="S335" t="inlineStr">
        <is>
          <t>ZR - NAO APLICAVEL</t>
        </is>
      </c>
      <c r="T335" t="inlineStr">
        <is>
          <t>ZV - NAO APLICAVEL</t>
        </is>
      </c>
      <c r="V335" t="inlineStr">
        <is>
          <t>demais</t>
        </is>
      </c>
      <c r="W335" t="inlineStr">
        <is>
          <t>REGIÕES/GRUPOS</t>
        </is>
      </c>
    </row>
    <row r="336" ht="15" customHeight="1">
      <c r="A336" t="n">
        <v>0.111745</v>
      </c>
      <c r="B336" t="inlineStr">
        <is>
          <t>VERMELHO</t>
        </is>
      </c>
      <c r="C336" t="n">
        <v>10706.9</v>
      </c>
      <c r="D336" t="n">
        <v>1196.44</v>
      </c>
      <c r="E336" t="n">
        <v>10706.9</v>
      </c>
      <c r="F336" s="6" t="n">
        <v>0.111745</v>
      </c>
      <c r="G336" t="inlineStr">
        <is>
          <t>FITLAND</t>
        </is>
      </c>
      <c r="H336" t="inlineStr">
        <is>
          <t>SC</t>
        </is>
      </c>
      <c r="I336" t="n">
        <v>47988202632</v>
      </c>
      <c r="J336" t="inlineStr">
        <is>
          <t>Plano de Negócio</t>
        </is>
      </c>
      <c r="K336" t="inlineStr">
        <is>
          <t>FITLAND</t>
        </is>
      </c>
      <c r="L336" t="inlineStr">
        <is>
          <t>SC</t>
        </is>
      </c>
      <c r="M336" t="n">
        <v>47988202632</v>
      </c>
      <c r="N336" t="n">
        <v>1196.44</v>
      </c>
      <c r="O336" t="n">
        <v>892.24</v>
      </c>
      <c r="P336" t="inlineStr">
        <is>
          <t>03 - NACIONAL</t>
        </is>
      </c>
      <c r="Q336" t="inlineStr">
        <is>
          <t>JULIO GADRET</t>
        </is>
      </c>
      <c r="S336" t="inlineStr">
        <is>
          <t>ZR - NAO APLICAVEL</t>
        </is>
      </c>
      <c r="T336" t="inlineStr">
        <is>
          <t>ZV - NAO APLICAVEL</t>
        </is>
      </c>
      <c r="V336" t="inlineStr">
        <is>
          <t>demais</t>
        </is>
      </c>
      <c r="W336" t="inlineStr">
        <is>
          <t>REDES E FRANQUIAS</t>
        </is>
      </c>
    </row>
    <row r="337" ht="15" customHeight="1">
      <c r="A337" t="n">
        <v>0.111745</v>
      </c>
      <c r="B337" t="inlineStr">
        <is>
          <t>VERMELHO</t>
        </is>
      </c>
      <c r="C337" t="n">
        <v>10706.9</v>
      </c>
      <c r="D337" t="n">
        <v>1196.44</v>
      </c>
      <c r="E337" t="n">
        <v>10706.9</v>
      </c>
      <c r="F337" s="6" t="n">
        <v>0.111745</v>
      </c>
      <c r="G337" t="inlineStr">
        <is>
          <t>FITLAND</t>
        </is>
      </c>
      <c r="H337" t="inlineStr">
        <is>
          <t>SC</t>
        </is>
      </c>
      <c r="I337" t="n">
        <v>47991693934</v>
      </c>
      <c r="J337" t="inlineStr">
        <is>
          <t>Plano de Negócio</t>
        </is>
      </c>
      <c r="K337" t="inlineStr">
        <is>
          <t>FITLAND</t>
        </is>
      </c>
      <c r="L337" t="inlineStr">
        <is>
          <t>SC</t>
        </is>
      </c>
      <c r="M337" t="n">
        <v>47991693934</v>
      </c>
      <c r="N337" t="n">
        <v>1196.44</v>
      </c>
      <c r="O337" t="n">
        <v>892.24</v>
      </c>
      <c r="P337" t="inlineStr">
        <is>
          <t>03 - NACIONAL</t>
        </is>
      </c>
      <c r="Q337" t="inlineStr">
        <is>
          <t>JULIO GADRET</t>
        </is>
      </c>
      <c r="S337" t="inlineStr">
        <is>
          <t>LG REPRESENTACOES LTDA - EPP</t>
        </is>
      </c>
      <c r="T337" t="inlineStr">
        <is>
          <t>ZV - NAO APLICAVEL</t>
        </is>
      </c>
      <c r="V337" t="inlineStr">
        <is>
          <t>demais</t>
        </is>
      </c>
      <c r="W337" t="inlineStr">
        <is>
          <t>REDES E FRANQUIAS</t>
        </is>
      </c>
    </row>
    <row r="338" ht="15" customHeight="1">
      <c r="A338" t="n">
        <v>0.212038</v>
      </c>
      <c r="B338" t="inlineStr">
        <is>
          <t>VERMELHO</t>
        </is>
      </c>
      <c r="C338" t="n">
        <v>5615.5</v>
      </c>
      <c r="D338" t="n">
        <v>1190.7</v>
      </c>
      <c r="E338" t="n">
        <v>5615.5</v>
      </c>
      <c r="F338" s="6" t="n">
        <v>0.212038</v>
      </c>
      <c r="G338" t="inlineStr">
        <is>
          <t>SEM GRUPO</t>
        </is>
      </c>
      <c r="H338" t="inlineStr">
        <is>
          <t>RS</t>
        </is>
      </c>
      <c r="I338" t="n">
        <v>55374460775</v>
      </c>
      <c r="J338" t="inlineStr">
        <is>
          <t>Plano de Negócio</t>
        </is>
      </c>
      <c r="K338" t="inlineStr">
        <is>
          <t>SEM REDE</t>
        </is>
      </c>
      <c r="L338" t="inlineStr">
        <is>
          <t>RS</t>
        </is>
      </c>
      <c r="M338" t="n">
        <v>55374460775</v>
      </c>
      <c r="N338" t="n">
        <v>1190.7</v>
      </c>
      <c r="O338" t="n">
        <v>467.96</v>
      </c>
      <c r="P338" t="inlineStr">
        <is>
          <t>03 - SUL</t>
        </is>
      </c>
      <c r="Q338" t="inlineStr">
        <is>
          <t>HEMANUELE DITZEL (MANU)</t>
        </is>
      </c>
      <c r="S338" t="inlineStr">
        <is>
          <t>ZR - NAO APLICAVEL</t>
        </is>
      </c>
      <c r="T338" t="inlineStr">
        <is>
          <t>HEMANUELE ROSA DITZEL</t>
        </is>
      </c>
      <c r="V338" t="inlineStr">
        <is>
          <t>demais</t>
        </is>
      </c>
      <c r="W338" t="inlineStr">
        <is>
          <t>REGIÕES/GRUPOS</t>
        </is>
      </c>
    </row>
    <row r="339" ht="15" customHeight="1">
      <c r="A339" t="n">
        <v>0.211782</v>
      </c>
      <c r="B339" t="inlineStr">
        <is>
          <t>VERMELHO</t>
        </is>
      </c>
      <c r="C339" t="n">
        <v>5615.5</v>
      </c>
      <c r="D339" t="n">
        <v>1189.26</v>
      </c>
      <c r="E339" t="n">
        <v>5615.5</v>
      </c>
      <c r="F339" s="6" t="n">
        <v>0.211782</v>
      </c>
      <c r="G339" t="inlineStr">
        <is>
          <t>SEM GRUPO</t>
        </is>
      </c>
      <c r="H339" t="inlineStr">
        <is>
          <t>MG</t>
        </is>
      </c>
      <c r="I339" t="n">
        <v>31985556502</v>
      </c>
      <c r="J339" t="inlineStr">
        <is>
          <t>Plano de Negócio</t>
        </is>
      </c>
      <c r="K339" t="inlineStr">
        <is>
          <t>SEM REDE</t>
        </is>
      </c>
      <c r="L339" t="inlineStr">
        <is>
          <t>MG</t>
        </is>
      </c>
      <c r="M339" t="n">
        <v>31985556502</v>
      </c>
      <c r="N339" t="n">
        <v>1189.26</v>
      </c>
      <c r="O339" t="n">
        <v>467.96</v>
      </c>
      <c r="P339" t="inlineStr">
        <is>
          <t>03 - RJ + ES + MG</t>
        </is>
      </c>
      <c r="Q339" t="inlineStr">
        <is>
          <t>LARISSA PADILHA</t>
        </is>
      </c>
      <c r="S339" t="inlineStr">
        <is>
          <t>42.149.466 LARISSA DA SILVA PADILHA - ME</t>
        </is>
      </c>
      <c r="T339" t="inlineStr">
        <is>
          <t>ZV - NAO APLICAVEL</t>
        </is>
      </c>
      <c r="V339" t="inlineStr">
        <is>
          <t>demais</t>
        </is>
      </c>
      <c r="W339" t="inlineStr">
        <is>
          <t>REGIÕES/GRUPOS</t>
        </is>
      </c>
    </row>
    <row r="340" ht="15" customHeight="1">
      <c r="A340" t="n">
        <v>0.211217</v>
      </c>
      <c r="B340" t="inlineStr">
        <is>
          <t>VERMELHO</t>
        </is>
      </c>
      <c r="C340" t="n">
        <v>5615.5</v>
      </c>
      <c r="D340" t="n">
        <v>1186.09</v>
      </c>
      <c r="E340" t="n">
        <v>5615.5</v>
      </c>
      <c r="F340" s="6" t="n">
        <v>0.211217</v>
      </c>
      <c r="G340" t="inlineStr">
        <is>
          <t>SEM GRUPO</t>
        </is>
      </c>
      <c r="H340" t="inlineStr">
        <is>
          <t>RJ</t>
        </is>
      </c>
      <c r="I340" t="n">
        <v>21982570331</v>
      </c>
      <c r="J340" t="inlineStr">
        <is>
          <t>Plano de Negócio</t>
        </is>
      </c>
      <c r="K340" t="inlineStr">
        <is>
          <t>SEM REDE</t>
        </is>
      </c>
      <c r="L340" t="inlineStr">
        <is>
          <t>RJ</t>
        </is>
      </c>
      <c r="M340" t="n">
        <v>21982570331</v>
      </c>
      <c r="N340" t="n">
        <v>1186.09</v>
      </c>
      <c r="O340" t="n">
        <v>467.96</v>
      </c>
      <c r="P340" t="inlineStr">
        <is>
          <t>03 - RJ + ES + MG</t>
        </is>
      </c>
      <c r="Q340" t="inlineStr">
        <is>
          <t>LARISSA PADILHA</t>
        </is>
      </c>
      <c r="S340" t="inlineStr">
        <is>
          <t>42.149.466 LARISSA DA SILVA PADILHA - ME</t>
        </is>
      </c>
      <c r="T340" t="inlineStr">
        <is>
          <t>ZV - NAO APLICAVEL</t>
        </is>
      </c>
      <c r="V340" t="inlineStr">
        <is>
          <t>demais</t>
        </is>
      </c>
      <c r="W340" t="inlineStr">
        <is>
          <t>REGIÕES/GRUPOS</t>
        </is>
      </c>
    </row>
    <row r="341" ht="15" customHeight="1">
      <c r="A341" t="n">
        <v>0.180343</v>
      </c>
      <c r="B341" t="inlineStr">
        <is>
          <t>VERMELHO</t>
        </is>
      </c>
      <c r="C341" t="n">
        <v>6566.04</v>
      </c>
      <c r="D341" t="n">
        <v>1184.14</v>
      </c>
      <c r="E341" t="n">
        <v>6566.04</v>
      </c>
      <c r="F341" s="6" t="n">
        <v>0.180343</v>
      </c>
      <c r="G341" t="inlineStr">
        <is>
          <t>DIVINA TERRA</t>
        </is>
      </c>
      <c r="H341" t="inlineStr">
        <is>
          <t>SC</t>
        </is>
      </c>
      <c r="I341" t="n">
        <v>51985386315</v>
      </c>
      <c r="J341" t="inlineStr">
        <is>
          <t>Plano de Negócio</t>
        </is>
      </c>
      <c r="K341" t="inlineStr">
        <is>
          <t>DIVINA TERRA</t>
        </is>
      </c>
      <c r="L341" t="inlineStr">
        <is>
          <t>SC</t>
        </is>
      </c>
      <c r="M341" t="n">
        <v>51985386315</v>
      </c>
      <c r="N341" t="n">
        <v>1184.14</v>
      </c>
      <c r="O341" t="n">
        <v>547.17</v>
      </c>
      <c r="P341" t="inlineStr">
        <is>
          <t>03 - NACIONAL</t>
        </is>
      </c>
      <c r="Q341" t="inlineStr">
        <is>
          <t>DAIANE STAVICKI</t>
        </is>
      </c>
      <c r="S341" t="inlineStr">
        <is>
          <t>ZR - NAO APLICAVEL</t>
        </is>
      </c>
      <c r="T341" t="inlineStr">
        <is>
          <t>ZV - NAO APLICAVEL</t>
        </is>
      </c>
      <c r="V341" t="inlineStr">
        <is>
          <t>demais</t>
        </is>
      </c>
      <c r="W341" t="inlineStr">
        <is>
          <t>REDES E FRANQUIAS</t>
        </is>
      </c>
    </row>
    <row r="342" ht="15" customHeight="1">
      <c r="A342" t="n">
        <v>0.210825</v>
      </c>
      <c r="B342" t="inlineStr">
        <is>
          <t>VERMELHO</t>
        </is>
      </c>
      <c r="C342" t="n">
        <v>5615.5</v>
      </c>
      <c r="D342" t="n">
        <v>1183.89</v>
      </c>
      <c r="E342" t="n">
        <v>5615.5</v>
      </c>
      <c r="F342" s="6" t="n">
        <v>0.210825</v>
      </c>
      <c r="G342" t="inlineStr">
        <is>
          <t>SEM GRUPO</t>
        </is>
      </c>
      <c r="H342" t="inlineStr">
        <is>
          <t>RS</t>
        </is>
      </c>
      <c r="I342" t="n">
        <v>54984141222</v>
      </c>
      <c r="J342" t="inlineStr">
        <is>
          <t>Plano de Negócio</t>
        </is>
      </c>
      <c r="K342" t="inlineStr">
        <is>
          <t>SEM REDE</t>
        </is>
      </c>
      <c r="L342" t="inlineStr">
        <is>
          <t>RS</t>
        </is>
      </c>
      <c r="M342" t="n">
        <v>54984141222</v>
      </c>
      <c r="N342" t="n">
        <v>1183.89</v>
      </c>
      <c r="O342" t="n">
        <v>467.96</v>
      </c>
      <c r="P342" t="inlineStr">
        <is>
          <t>03 - SUL</t>
        </is>
      </c>
      <c r="Q342" t="inlineStr">
        <is>
          <t>HEMANUELE DITZEL (MANU)</t>
        </is>
      </c>
      <c r="S342" t="inlineStr">
        <is>
          <t>ZR - NAO APLICAVEL</t>
        </is>
      </c>
      <c r="T342" t="inlineStr">
        <is>
          <t>HEMANUELE ROSA DITZEL</t>
        </is>
      </c>
      <c r="V342" t="inlineStr">
        <is>
          <t>demais</t>
        </is>
      </c>
      <c r="W342" t="inlineStr">
        <is>
          <t>REGIÕES/GRUPOS</t>
        </is>
      </c>
    </row>
    <row r="343" ht="15" customHeight="1">
      <c r="A343" t="n">
        <v>0.210624</v>
      </c>
      <c r="B343" t="inlineStr">
        <is>
          <t>VERMELHO</t>
        </is>
      </c>
      <c r="C343" t="n">
        <v>5615.5</v>
      </c>
      <c r="D343" t="n">
        <v>1182.76</v>
      </c>
      <c r="E343" t="n">
        <v>5615.5</v>
      </c>
      <c r="F343" s="6" t="n">
        <v>0.210624</v>
      </c>
      <c r="G343" t="inlineStr">
        <is>
          <t>SEM GRUPO</t>
        </is>
      </c>
      <c r="H343" t="inlineStr">
        <is>
          <t>SP</t>
        </is>
      </c>
      <c r="I343" t="n">
        <v>1199513202</v>
      </c>
      <c r="J343" t="inlineStr">
        <is>
          <t>Plano de Negócio</t>
        </is>
      </c>
      <c r="K343" t="inlineStr">
        <is>
          <t>SEM REDE</t>
        </is>
      </c>
      <c r="L343" t="inlineStr">
        <is>
          <t>SP</t>
        </is>
      </c>
      <c r="M343" t="n">
        <v>1199513202</v>
      </c>
      <c r="N343" t="n">
        <v>1182.76</v>
      </c>
      <c r="O343" t="n">
        <v>467.96</v>
      </c>
      <c r="P343" t="inlineStr">
        <is>
          <t>03 - SP CAPITAL</t>
        </is>
      </c>
      <c r="Q343" t="inlineStr">
        <is>
          <t>LARISSA PADILHA</t>
        </is>
      </c>
      <c r="S343" t="inlineStr">
        <is>
          <t>ZR - NAO APLICAVEL</t>
        </is>
      </c>
      <c r="T343" t="inlineStr">
        <is>
          <t>ZV - NAO APLICAVEL</t>
        </is>
      </c>
      <c r="V343" t="inlineStr">
        <is>
          <t>demais</t>
        </is>
      </c>
      <c r="W343" t="inlineStr">
        <is>
          <t>REGIÕES/GRUPOS</t>
        </is>
      </c>
    </row>
    <row r="344" ht="15" customHeight="1">
      <c r="A344" t="n">
        <v>0.209848</v>
      </c>
      <c r="B344" t="inlineStr">
        <is>
          <t>VERMELHO</t>
        </is>
      </c>
      <c r="C344" t="n">
        <v>5615.5</v>
      </c>
      <c r="D344" t="n">
        <v>1178.4</v>
      </c>
      <c r="E344" t="n">
        <v>5615.5</v>
      </c>
      <c r="F344" s="6" t="n">
        <v>0.209848</v>
      </c>
      <c r="G344" t="inlineStr">
        <is>
          <t>SEM GRUPO</t>
        </is>
      </c>
      <c r="H344" t="inlineStr">
        <is>
          <t>SP</t>
        </is>
      </c>
      <c r="I344" t="n">
        <v>15981727787</v>
      </c>
      <c r="J344" t="inlineStr">
        <is>
          <t>Plano de Negócio</t>
        </is>
      </c>
      <c r="K344" t="inlineStr">
        <is>
          <t>SEM REDE</t>
        </is>
      </c>
      <c r="L344" t="inlineStr">
        <is>
          <t>SP</t>
        </is>
      </c>
      <c r="M344" t="n">
        <v>15981727787</v>
      </c>
      <c r="N344" t="n">
        <v>1178.4</v>
      </c>
      <c r="O344" t="n">
        <v>467.96</v>
      </c>
      <c r="P344" t="inlineStr">
        <is>
          <t>03 - SP INTERIOR</t>
        </is>
      </c>
      <c r="Q344" t="inlineStr">
        <is>
          <t>LARISSA PADILHA</t>
        </is>
      </c>
      <c r="S344" t="inlineStr">
        <is>
          <t>42.149.466 LARISSA DA SILVA PADILHA - ME</t>
        </is>
      </c>
      <c r="T344" t="inlineStr">
        <is>
          <t>ZV - NAO APLICAVEL</t>
        </is>
      </c>
      <c r="V344" t="inlineStr">
        <is>
          <t>demais</t>
        </is>
      </c>
      <c r="W344" t="inlineStr">
        <is>
          <t>REGIÕES/GRUPOS</t>
        </is>
      </c>
    </row>
    <row r="345" ht="15" customHeight="1">
      <c r="A345" t="n">
        <v>0.179231</v>
      </c>
      <c r="B345" t="inlineStr">
        <is>
          <t>VERMELHO</t>
        </is>
      </c>
      <c r="C345" t="n">
        <v>6566.04</v>
      </c>
      <c r="D345" t="n">
        <v>1176.84</v>
      </c>
      <c r="E345" t="n">
        <v>6566.04</v>
      </c>
      <c r="F345" s="6" t="n">
        <v>0.179231</v>
      </c>
      <c r="G345" t="inlineStr">
        <is>
          <t>DIVINA TERRA</t>
        </is>
      </c>
      <c r="H345" t="inlineStr">
        <is>
          <t>PR</t>
        </is>
      </c>
      <c r="I345" t="n">
        <v>4399325611</v>
      </c>
      <c r="J345" t="inlineStr">
        <is>
          <t>Plano de Negócio</t>
        </is>
      </c>
      <c r="K345" t="inlineStr">
        <is>
          <t>DIVINA TERRA</t>
        </is>
      </c>
      <c r="L345" t="inlineStr">
        <is>
          <t>PR</t>
        </is>
      </c>
      <c r="M345" t="n">
        <v>4399325611</v>
      </c>
      <c r="N345" t="n">
        <v>1176.84</v>
      </c>
      <c r="O345" t="n">
        <v>547.17</v>
      </c>
      <c r="P345" t="inlineStr">
        <is>
          <t>03 - NACIONAL</t>
        </is>
      </c>
      <c r="Q345" t="inlineStr">
        <is>
          <t>DAIANE STAVICKI</t>
        </is>
      </c>
      <c r="S345" t="inlineStr">
        <is>
          <t>ZR - NAO APLICAVEL</t>
        </is>
      </c>
      <c r="T345" t="inlineStr">
        <is>
          <t>ZV - NAO APLICAVEL</t>
        </is>
      </c>
      <c r="V345" t="inlineStr">
        <is>
          <t>demais</t>
        </is>
      </c>
      <c r="W345" t="inlineStr">
        <is>
          <t>REDES E FRANQUIAS</t>
        </is>
      </c>
    </row>
    <row r="346" ht="15" customHeight="1">
      <c r="A346" t="n">
        <v>0.209369</v>
      </c>
      <c r="B346" t="inlineStr">
        <is>
          <t>VERMELHO</t>
        </is>
      </c>
      <c r="C346" t="n">
        <v>5615.5</v>
      </c>
      <c r="D346" t="n">
        <v>1175.71</v>
      </c>
      <c r="E346" t="n">
        <v>5615.5</v>
      </c>
      <c r="F346" s="6" t="n">
        <v>0.209369</v>
      </c>
      <c r="G346" t="inlineStr">
        <is>
          <t>SEM GRUPO</t>
        </is>
      </c>
      <c r="H346" t="inlineStr">
        <is>
          <t>PE</t>
        </is>
      </c>
      <c r="I346" t="n">
        <v>8192761730</v>
      </c>
      <c r="J346" t="inlineStr">
        <is>
          <t>Plano de Negócio</t>
        </is>
      </c>
      <c r="K346" t="inlineStr">
        <is>
          <t>SEM REDE</t>
        </is>
      </c>
      <c r="L346" t="inlineStr">
        <is>
          <t>PE</t>
        </is>
      </c>
      <c r="M346" t="n">
        <v>8192761730</v>
      </c>
      <c r="N346" t="n">
        <v>1175.71</v>
      </c>
      <c r="O346" t="n">
        <v>467.96</v>
      </c>
      <c r="P346" t="inlineStr">
        <is>
          <t>03 - NORDESTE (SEM MA)</t>
        </is>
      </c>
      <c r="Q346" t="inlineStr">
        <is>
          <t>LARISSA PADILHA</t>
        </is>
      </c>
      <c r="S346" t="inlineStr">
        <is>
          <t>42.149.466 LARISSA DA SILVA PADILHA - ME</t>
        </is>
      </c>
      <c r="T346" t="inlineStr">
        <is>
          <t>ZV - NAO APLICAVEL</t>
        </is>
      </c>
      <c r="V346" t="inlineStr">
        <is>
          <t>demais</t>
        </is>
      </c>
      <c r="W346" t="inlineStr">
        <is>
          <t>REGIÕES/GRUPOS</t>
        </is>
      </c>
    </row>
    <row r="347" ht="15" customHeight="1">
      <c r="A347" t="n">
        <v>0.209171</v>
      </c>
      <c r="B347" t="inlineStr">
        <is>
          <t>VERMELHO</t>
        </is>
      </c>
      <c r="C347" t="n">
        <v>5615.5</v>
      </c>
      <c r="D347" t="n">
        <v>1174.6</v>
      </c>
      <c r="E347" t="n">
        <v>5615.5</v>
      </c>
      <c r="F347" s="6" t="n">
        <v>0.209171</v>
      </c>
      <c r="G347" t="inlineStr">
        <is>
          <t>SEM GRUPO</t>
        </is>
      </c>
      <c r="H347" t="inlineStr">
        <is>
          <t>PI</t>
        </is>
      </c>
      <c r="I347" t="n">
        <v>8688936533</v>
      </c>
      <c r="J347" t="inlineStr">
        <is>
          <t>Plano de Negócio</t>
        </is>
      </c>
      <c r="K347" t="inlineStr">
        <is>
          <t>SEM REDE</t>
        </is>
      </c>
      <c r="L347" t="inlineStr">
        <is>
          <t>PI</t>
        </is>
      </c>
      <c r="M347" t="n">
        <v>8688936533</v>
      </c>
      <c r="N347" t="n">
        <v>1174.6</v>
      </c>
      <c r="O347" t="n">
        <v>467.96</v>
      </c>
      <c r="P347" t="inlineStr">
        <is>
          <t>03 - NORDESTE (SEM MA)</t>
        </is>
      </c>
      <c r="Q347" t="inlineStr">
        <is>
          <t>HEMANUELE DITZEL (MANU)</t>
        </is>
      </c>
      <c r="S347" t="inlineStr">
        <is>
          <t>ZR - NAO APLICAVEL</t>
        </is>
      </c>
      <c r="T347" t="inlineStr">
        <is>
          <t>HEMANUELE ROSA DITZEL</t>
        </is>
      </c>
      <c r="V347" t="inlineStr">
        <is>
          <t>demais</t>
        </is>
      </c>
      <c r="W347" t="inlineStr">
        <is>
          <t>REGIÕES/GRUPOS</t>
        </is>
      </c>
    </row>
    <row r="348" ht="15" customHeight="1">
      <c r="A348" t="n">
        <v>0.114622</v>
      </c>
      <c r="B348" t="inlineStr">
        <is>
          <t>VERMELHO</t>
        </is>
      </c>
      <c r="C348" t="n">
        <v>10200</v>
      </c>
      <c r="D348" t="n">
        <v>1169.14</v>
      </c>
      <c r="E348" t="n">
        <v>10200</v>
      </c>
      <c r="F348" s="6" t="n">
        <v>0.114622</v>
      </c>
      <c r="G348" t="inlineStr">
        <is>
          <t>VIDA LEVE</t>
        </is>
      </c>
      <c r="H348" t="inlineStr">
        <is>
          <t>MT</t>
        </is>
      </c>
      <c r="I348" t="n">
        <v>6696180366</v>
      </c>
      <c r="J348" t="inlineStr">
        <is>
          <t>Plano de Negócio</t>
        </is>
      </c>
      <c r="K348" t="inlineStr">
        <is>
          <t>VIDA LEVE</t>
        </is>
      </c>
      <c r="L348" t="inlineStr">
        <is>
          <t>MT</t>
        </is>
      </c>
      <c r="M348" t="n">
        <v>6696180366</v>
      </c>
      <c r="N348" t="n">
        <v>1169.14</v>
      </c>
      <c r="O348" t="n">
        <v>850</v>
      </c>
      <c r="P348" t="inlineStr">
        <is>
          <t>03 - NACIONAL</t>
        </is>
      </c>
      <c r="Q348" t="inlineStr">
        <is>
          <t>DAIANE STAVICKI</t>
        </is>
      </c>
      <c r="S348" t="inlineStr">
        <is>
          <t>ZR - NAO APLICAVEL</t>
        </is>
      </c>
      <c r="T348" t="inlineStr">
        <is>
          <t>ZV - NAO APLICAVEL</t>
        </is>
      </c>
      <c r="V348" t="inlineStr">
        <is>
          <t>demais</t>
        </is>
      </c>
      <c r="W348" t="inlineStr">
        <is>
          <t>REDES E FRANQUIAS</t>
        </is>
      </c>
    </row>
    <row r="349" ht="15" customHeight="1">
      <c r="A349" t="n">
        <v>0.207871</v>
      </c>
      <c r="B349" t="inlineStr">
        <is>
          <t>VERMELHO</t>
        </is>
      </c>
      <c r="C349" t="n">
        <v>5615.5</v>
      </c>
      <c r="D349" t="n">
        <v>1167.3</v>
      </c>
      <c r="E349" t="n">
        <v>5615.5</v>
      </c>
      <c r="F349" s="6" t="n">
        <v>0.207871</v>
      </c>
      <c r="G349" t="inlineStr">
        <is>
          <t>SEM GRUPO</t>
        </is>
      </c>
      <c r="H349" t="inlineStr">
        <is>
          <t>DF</t>
        </is>
      </c>
      <c r="I349" t="n">
        <v>6182406973</v>
      </c>
      <c r="J349" t="inlineStr">
        <is>
          <t>Plano de Negócio</t>
        </is>
      </c>
      <c r="K349" t="inlineStr">
        <is>
          <t>SEM REDE</t>
        </is>
      </c>
      <c r="L349" t="inlineStr">
        <is>
          <t>DF</t>
        </is>
      </c>
      <c r="M349" t="n">
        <v>6182406973</v>
      </c>
      <c r="N349" t="n">
        <v>1167.3</v>
      </c>
      <c r="O349" t="n">
        <v>467.96</v>
      </c>
      <c r="P349" t="inlineStr">
        <is>
          <t>03 - CENTRO OESTE</t>
        </is>
      </c>
      <c r="Q349" t="inlineStr">
        <is>
          <t>LARISSA PADILHA</t>
        </is>
      </c>
      <c r="S349" t="inlineStr">
        <is>
          <t>42.149.466 LARISSA DA SILVA PADILHA - ME</t>
        </is>
      </c>
      <c r="T349" t="inlineStr">
        <is>
          <t>ZV - NAO APLICAVEL</t>
        </is>
      </c>
      <c r="V349" t="inlineStr">
        <is>
          <t>demais</t>
        </is>
      </c>
      <c r="W349" t="inlineStr">
        <is>
          <t>REGIÕES/GRUPOS</t>
        </is>
      </c>
    </row>
    <row r="350" ht="15" customHeight="1">
      <c r="A350" t="n">
        <v>0.206904</v>
      </c>
      <c r="B350" t="inlineStr">
        <is>
          <t>VERMELHO</t>
        </is>
      </c>
      <c r="C350" t="n">
        <v>5615.5</v>
      </c>
      <c r="D350" t="n">
        <v>1161.87</v>
      </c>
      <c r="E350" t="n">
        <v>5615.5</v>
      </c>
      <c r="F350" s="6" t="n">
        <v>0.206904</v>
      </c>
      <c r="G350" t="inlineStr">
        <is>
          <t>SEM GRUPO</t>
        </is>
      </c>
      <c r="H350" t="inlineStr">
        <is>
          <t>PE</t>
        </is>
      </c>
      <c r="I350" t="n">
        <v>81987341303</v>
      </c>
      <c r="J350" t="inlineStr">
        <is>
          <t>Plano de Negócio</t>
        </is>
      </c>
      <c r="K350" t="inlineStr">
        <is>
          <t>SEM REDE</t>
        </is>
      </c>
      <c r="L350" t="inlineStr">
        <is>
          <t>PE</t>
        </is>
      </c>
      <c r="M350" t="n">
        <v>81987341303</v>
      </c>
      <c r="N350" t="n">
        <v>1161.87</v>
      </c>
      <c r="O350" t="n">
        <v>467.96</v>
      </c>
      <c r="P350" t="inlineStr">
        <is>
          <t>03 - NORDESTE (SEM MA)</t>
        </is>
      </c>
      <c r="Q350" t="inlineStr">
        <is>
          <t>LARISSA PADILHA</t>
        </is>
      </c>
      <c r="S350" t="inlineStr">
        <is>
          <t>42.149.466 LARISSA DA SILVA PADILHA - ME</t>
        </is>
      </c>
      <c r="T350" t="inlineStr">
        <is>
          <t>ZV - NAO APLICAVEL</t>
        </is>
      </c>
      <c r="V350" t="inlineStr">
        <is>
          <t>demais</t>
        </is>
      </c>
      <c r="W350" t="inlineStr">
        <is>
          <t>REGIÕES/GRUPOS</t>
        </is>
      </c>
    </row>
    <row r="351" ht="15" customHeight="1">
      <c r="A351" t="n">
        <v>0.205946</v>
      </c>
      <c r="B351" t="inlineStr">
        <is>
          <t>VERMELHO</t>
        </is>
      </c>
      <c r="C351" t="n">
        <v>5615.5</v>
      </c>
      <c r="D351" t="n">
        <v>1156.49</v>
      </c>
      <c r="E351" t="n">
        <v>5615.5</v>
      </c>
      <c r="F351" s="6" t="n">
        <v>0.205946</v>
      </c>
      <c r="G351" t="inlineStr">
        <is>
          <t>SEM GRUPO</t>
        </is>
      </c>
      <c r="H351" t="inlineStr">
        <is>
          <t>RS</t>
        </is>
      </c>
      <c r="I351" t="n">
        <v>54999740606</v>
      </c>
      <c r="J351" t="inlineStr">
        <is>
          <t>Plano de Negócio</t>
        </is>
      </c>
      <c r="K351" t="inlineStr">
        <is>
          <t>SEM REDE</t>
        </is>
      </c>
      <c r="L351" t="inlineStr">
        <is>
          <t>RS</t>
        </is>
      </c>
      <c r="M351" t="n">
        <v>54999740606</v>
      </c>
      <c r="N351" t="n">
        <v>1156.49</v>
      </c>
      <c r="O351" t="n">
        <v>467.96</v>
      </c>
      <c r="P351" t="inlineStr">
        <is>
          <t>03 - SUL</t>
        </is>
      </c>
      <c r="Q351" t="inlineStr">
        <is>
          <t>HEMANUELE DITZEL (MANU)</t>
        </is>
      </c>
      <c r="S351" t="inlineStr">
        <is>
          <t>ZR - NAO APLICAVEL</t>
        </is>
      </c>
      <c r="T351" t="inlineStr">
        <is>
          <t>HEMANUELE ROSA DITZEL</t>
        </is>
      </c>
      <c r="V351" t="inlineStr">
        <is>
          <t>demais</t>
        </is>
      </c>
      <c r="W351" t="inlineStr">
        <is>
          <t>REGIÕES/GRUPOS</t>
        </is>
      </c>
    </row>
    <row r="352" ht="15" customHeight="1">
      <c r="A352" t="n">
        <v>0.203097</v>
      </c>
      <c r="B352" t="inlineStr">
        <is>
          <t>VERMELHO</t>
        </is>
      </c>
      <c r="C352" t="n">
        <v>5615.5</v>
      </c>
      <c r="D352" t="n">
        <v>1140.49</v>
      </c>
      <c r="E352" t="n">
        <v>5615.5</v>
      </c>
      <c r="F352" s="6" t="n">
        <v>0.203097</v>
      </c>
      <c r="G352" t="inlineStr">
        <is>
          <t>SEM GRUPO</t>
        </is>
      </c>
      <c r="H352" t="inlineStr">
        <is>
          <t>PR</t>
        </is>
      </c>
      <c r="I352" t="n">
        <v>4191464469</v>
      </c>
      <c r="J352" t="inlineStr">
        <is>
          <t>Plano de Negócio</t>
        </is>
      </c>
      <c r="K352" t="inlineStr">
        <is>
          <t>SEM REDE</t>
        </is>
      </c>
      <c r="L352" t="inlineStr">
        <is>
          <t>PR</t>
        </is>
      </c>
      <c r="M352" t="n">
        <v>4191464469</v>
      </c>
      <c r="N352" t="n">
        <v>1140.49</v>
      </c>
      <c r="O352" t="n">
        <v>467.96</v>
      </c>
      <c r="P352" t="inlineStr">
        <is>
          <t>03 - SUL</t>
        </is>
      </c>
      <c r="Q352" t="inlineStr">
        <is>
          <t>HEMANUELE DITZEL (MANU)</t>
        </is>
      </c>
      <c r="S352" t="inlineStr">
        <is>
          <t>ZR - NAO APLICAVEL</t>
        </is>
      </c>
      <c r="T352" t="inlineStr">
        <is>
          <t>ZV - NAO APLICAVEL</t>
        </is>
      </c>
      <c r="V352" t="inlineStr">
        <is>
          <t>demais</t>
        </is>
      </c>
      <c r="W352" t="inlineStr">
        <is>
          <t>REGIÕES/GRUPOS</t>
        </is>
      </c>
    </row>
    <row r="353" ht="15" customHeight="1">
      <c r="A353" t="n">
        <v>0.104114</v>
      </c>
      <c r="B353" t="inlineStr">
        <is>
          <t>VERMELHO</t>
        </is>
      </c>
      <c r="C353" t="n">
        <v>10875</v>
      </c>
      <c r="D353" t="n">
        <v>1132.24</v>
      </c>
      <c r="E353" t="n">
        <v>10875</v>
      </c>
      <c r="F353" s="6" t="n">
        <v>0.104114</v>
      </c>
      <c r="G353" t="inlineStr">
        <is>
          <t>CIA DA SAUDE</t>
        </is>
      </c>
      <c r="H353" t="inlineStr">
        <is>
          <t>SC</t>
        </is>
      </c>
      <c r="I353" t="n">
        <v>4899981463</v>
      </c>
      <c r="J353" t="inlineStr">
        <is>
          <t>Plano de Negócio</t>
        </is>
      </c>
      <c r="K353" t="inlineStr">
        <is>
          <t>CIA DA SAUDE</t>
        </is>
      </c>
      <c r="L353" t="inlineStr">
        <is>
          <t>SC</t>
        </is>
      </c>
      <c r="M353" t="n">
        <v>4899981463</v>
      </c>
      <c r="N353" t="n">
        <v>1132.24</v>
      </c>
      <c r="O353" t="n">
        <v>906.25</v>
      </c>
      <c r="P353" t="inlineStr">
        <is>
          <t>03 - NACIONAL</t>
        </is>
      </c>
      <c r="Q353" t="inlineStr">
        <is>
          <t>JULIO GADRET</t>
        </is>
      </c>
      <c r="S353" t="inlineStr">
        <is>
          <t>LG REPRESENTACOES LTDA - EPP</t>
        </is>
      </c>
      <c r="T353" t="inlineStr">
        <is>
          <t>ZV - NAO APLICAVEL</t>
        </is>
      </c>
      <c r="V353" t="inlineStr">
        <is>
          <t>demais</t>
        </is>
      </c>
      <c r="W353" t="inlineStr">
        <is>
          <t>REDES E FRANQUIAS</t>
        </is>
      </c>
    </row>
    <row r="354" ht="15" customHeight="1">
      <c r="A354" t="n">
        <v>0.200292</v>
      </c>
      <c r="B354" t="inlineStr">
        <is>
          <t>VERMELHO</t>
        </is>
      </c>
      <c r="C354" t="n">
        <v>5615.5</v>
      </c>
      <c r="D354" t="n">
        <v>1124.74</v>
      </c>
      <c r="E354" t="n">
        <v>5615.5</v>
      </c>
      <c r="F354" s="6" t="n">
        <v>0.200292</v>
      </c>
      <c r="G354" t="inlineStr">
        <is>
          <t>SEM GRUPO</t>
        </is>
      </c>
      <c r="H354" t="inlineStr">
        <is>
          <t>MG</t>
        </is>
      </c>
      <c r="I354" t="n">
        <v>32999917795</v>
      </c>
      <c r="J354" t="inlineStr">
        <is>
          <t>Plano de Negócio</t>
        </is>
      </c>
      <c r="K354" t="inlineStr">
        <is>
          <t>SEM REDE</t>
        </is>
      </c>
      <c r="L354" t="inlineStr">
        <is>
          <t>MG</t>
        </is>
      </c>
      <c r="M354" t="n">
        <v>32999917795</v>
      </c>
      <c r="N354" t="n">
        <v>1124.74</v>
      </c>
      <c r="O354" t="n">
        <v>467.96</v>
      </c>
      <c r="P354" t="inlineStr">
        <is>
          <t>03 - RJ + ES + MG</t>
        </is>
      </c>
      <c r="Q354" t="inlineStr">
        <is>
          <t>LARISSA PADILHA</t>
        </is>
      </c>
      <c r="S354" t="inlineStr">
        <is>
          <t>ZR - NAO APLICAVEL</t>
        </is>
      </c>
      <c r="T354" t="inlineStr">
        <is>
          <t>ZV - NAO APLICAVEL</t>
        </is>
      </c>
      <c r="V354" t="inlineStr">
        <is>
          <t>demais</t>
        </is>
      </c>
      <c r="W354" t="inlineStr">
        <is>
          <t>REGIÕES/GRUPOS</t>
        </is>
      </c>
    </row>
    <row r="355" ht="15" customHeight="1">
      <c r="A355" t="n">
        <v>0.197168</v>
      </c>
      <c r="B355" t="inlineStr">
        <is>
          <t>VERMELHO</t>
        </is>
      </c>
      <c r="C355" t="n">
        <v>5615.5</v>
      </c>
      <c r="D355" t="n">
        <v>1107.2</v>
      </c>
      <c r="E355" t="n">
        <v>5615.5</v>
      </c>
      <c r="F355" s="6" t="n">
        <v>0.197168</v>
      </c>
      <c r="G355" t="inlineStr">
        <is>
          <t>SEM GRUPO</t>
        </is>
      </c>
      <c r="H355" t="inlineStr">
        <is>
          <t>SC</t>
        </is>
      </c>
      <c r="I355" t="n">
        <v>48998189444</v>
      </c>
      <c r="J355" t="inlineStr">
        <is>
          <t>Plano de Negócio</t>
        </is>
      </c>
      <c r="K355" t="inlineStr">
        <is>
          <t>SEM REDE</t>
        </is>
      </c>
      <c r="L355" t="inlineStr">
        <is>
          <t>SC</t>
        </is>
      </c>
      <c r="M355" t="n">
        <v>48998189444</v>
      </c>
      <c r="N355" t="n">
        <v>1107.2</v>
      </c>
      <c r="O355" t="n">
        <v>467.96</v>
      </c>
      <c r="P355" t="inlineStr">
        <is>
          <t>03 - SUL</t>
        </is>
      </c>
      <c r="Q355" t="inlineStr">
        <is>
          <t>HEMANUELE DITZEL (MANU)</t>
        </is>
      </c>
      <c r="S355" t="inlineStr">
        <is>
          <t>ZR - NAO APLICAVEL</t>
        </is>
      </c>
      <c r="T355" t="inlineStr">
        <is>
          <t>HEMANUELE ROSA DITZEL</t>
        </is>
      </c>
      <c r="V355" t="inlineStr">
        <is>
          <t>demais</t>
        </is>
      </c>
      <c r="W355" t="inlineStr">
        <is>
          <t>REGIÕES/GRUPOS</t>
        </is>
      </c>
    </row>
    <row r="356" ht="15" customHeight="1">
      <c r="A356" t="n">
        <v>0.196064</v>
      </c>
      <c r="B356" t="inlineStr">
        <is>
          <t>VERMELHO</t>
        </is>
      </c>
      <c r="C356" t="n">
        <v>5615.5</v>
      </c>
      <c r="D356" t="n">
        <v>1101</v>
      </c>
      <c r="E356" t="n">
        <v>5615.5</v>
      </c>
      <c r="F356" s="6" t="n">
        <v>0.196064</v>
      </c>
      <c r="G356" t="inlineStr">
        <is>
          <t>SEM GRUPO</t>
        </is>
      </c>
      <c r="H356" t="inlineStr">
        <is>
          <t>SP</t>
        </is>
      </c>
      <c r="I356" t="n">
        <v>31975430905</v>
      </c>
      <c r="J356" t="inlineStr">
        <is>
          <t>Plano de Negócio</t>
        </is>
      </c>
      <c r="K356" t="inlineStr">
        <is>
          <t>SEM REDE</t>
        </is>
      </c>
      <c r="L356" t="inlineStr">
        <is>
          <t>SP</t>
        </is>
      </c>
      <c r="M356" t="n">
        <v>31975430905</v>
      </c>
      <c r="N356" t="n">
        <v>1101</v>
      </c>
      <c r="O356" t="n">
        <v>467.96</v>
      </c>
      <c r="P356" t="inlineStr">
        <is>
          <t>03 - SP CAPITAL</t>
        </is>
      </c>
      <c r="Q356" t="inlineStr">
        <is>
          <t>LARISSA PADILHA</t>
        </is>
      </c>
      <c r="S356" t="inlineStr">
        <is>
          <t>42.149.466 LARISSA DA SILVA PADILHA - ME</t>
        </is>
      </c>
      <c r="T356" t="inlineStr">
        <is>
          <t>ZV - NAO APLICAVEL</t>
        </is>
      </c>
      <c r="V356" t="inlineStr">
        <is>
          <t>demais</t>
        </is>
      </c>
      <c r="W356" t="inlineStr">
        <is>
          <t>REGIÕES/GRUPOS</t>
        </is>
      </c>
    </row>
    <row r="357" ht="15" customHeight="1">
      <c r="A357" t="n">
        <v>0.194802</v>
      </c>
      <c r="B357" t="inlineStr">
        <is>
          <t>VERMELHO</t>
        </is>
      </c>
      <c r="C357" t="n">
        <v>5615.5</v>
      </c>
      <c r="D357" t="n">
        <v>1093.91</v>
      </c>
      <c r="E357" t="n">
        <v>5615.5</v>
      </c>
      <c r="F357" s="6" t="n">
        <v>0.194802</v>
      </c>
      <c r="G357" t="inlineStr">
        <is>
          <t>SEM GRUPO</t>
        </is>
      </c>
      <c r="H357" t="inlineStr">
        <is>
          <t>PR</t>
        </is>
      </c>
      <c r="I357" t="n">
        <v>4134020880</v>
      </c>
      <c r="J357" t="inlineStr">
        <is>
          <t>Plano de Negócio</t>
        </is>
      </c>
      <c r="K357" t="inlineStr">
        <is>
          <t>SEM REDE</t>
        </is>
      </c>
      <c r="L357" t="inlineStr">
        <is>
          <t>PR</t>
        </is>
      </c>
      <c r="M357" t="n">
        <v>4134020880</v>
      </c>
      <c r="N357" t="n">
        <v>1093.91</v>
      </c>
      <c r="O357" t="n">
        <v>467.96</v>
      </c>
      <c r="P357" t="inlineStr">
        <is>
          <t>03 - SUL</t>
        </is>
      </c>
      <c r="Q357" t="inlineStr">
        <is>
          <t>HEMANUELE DITZEL (MANU)</t>
        </is>
      </c>
      <c r="S357" t="inlineStr">
        <is>
          <t>ZR - NAO APLICAVEL</t>
        </is>
      </c>
      <c r="T357" t="inlineStr">
        <is>
          <t>HEMANUELE ROSA DITZEL</t>
        </is>
      </c>
      <c r="V357" t="inlineStr">
        <is>
          <t>demais</t>
        </is>
      </c>
      <c r="W357" t="inlineStr">
        <is>
          <t>REGIÕES/GRUPOS</t>
        </is>
      </c>
    </row>
    <row r="358" ht="15" customHeight="1">
      <c r="A358" t="n">
        <v>0.194725</v>
      </c>
      <c r="B358" t="inlineStr">
        <is>
          <t>VERMELHO</t>
        </is>
      </c>
      <c r="C358" t="n">
        <v>5615.5</v>
      </c>
      <c r="D358" t="n">
        <v>1093.48</v>
      </c>
      <c r="E358" t="n">
        <v>5615.5</v>
      </c>
      <c r="F358" s="6" t="n">
        <v>0.194725</v>
      </c>
      <c r="G358" t="inlineStr">
        <is>
          <t>SEM GRUPO</t>
        </is>
      </c>
      <c r="H358" t="inlineStr">
        <is>
          <t>SC</t>
        </is>
      </c>
      <c r="I358" t="n">
        <v>4891468756</v>
      </c>
      <c r="J358" t="inlineStr">
        <is>
          <t>Plano de Negócio</t>
        </is>
      </c>
      <c r="K358" t="inlineStr">
        <is>
          <t>SEM REDE</t>
        </is>
      </c>
      <c r="L358" t="inlineStr">
        <is>
          <t>SC</t>
        </is>
      </c>
      <c r="M358" t="n">
        <v>4891468756</v>
      </c>
      <c r="N358" t="n">
        <v>1093.48</v>
      </c>
      <c r="O358" t="n">
        <v>467.96</v>
      </c>
      <c r="P358" t="inlineStr">
        <is>
          <t>03 - SUL</t>
        </is>
      </c>
      <c r="Q358" t="inlineStr">
        <is>
          <t>JULIO GADRET</t>
        </is>
      </c>
      <c r="S358" t="inlineStr">
        <is>
          <t>LG REPRESENTACOES LTDA - EPP</t>
        </is>
      </c>
      <c r="T358" t="inlineStr">
        <is>
          <t>ZV - NAO APLICAVEL</t>
        </is>
      </c>
      <c r="V358" t="inlineStr">
        <is>
          <t>demais</t>
        </is>
      </c>
      <c r="W358" t="inlineStr">
        <is>
          <t>REGIÕES/GRUPOS</t>
        </is>
      </c>
    </row>
    <row r="359" ht="15" customHeight="1">
      <c r="A359" t="n">
        <v>0.192859</v>
      </c>
      <c r="B359" t="inlineStr">
        <is>
          <t>VERMELHO</t>
        </is>
      </c>
      <c r="C359" t="n">
        <v>5615.5</v>
      </c>
      <c r="D359" t="n">
        <v>1083</v>
      </c>
      <c r="E359" t="n">
        <v>5615.5</v>
      </c>
      <c r="F359" s="6" t="n">
        <v>0.192859</v>
      </c>
      <c r="G359" t="inlineStr">
        <is>
          <t>SEM GRUPO</t>
        </is>
      </c>
      <c r="H359" t="inlineStr">
        <is>
          <t>PA</t>
        </is>
      </c>
      <c r="I359" t="n">
        <v>9191637070</v>
      </c>
      <c r="J359" t="inlineStr">
        <is>
          <t>Plano de Negócio</t>
        </is>
      </c>
      <c r="K359" t="inlineStr">
        <is>
          <t>SEM REDE</t>
        </is>
      </c>
      <c r="L359" t="inlineStr">
        <is>
          <t>PA</t>
        </is>
      </c>
      <c r="M359" t="n">
        <v>9191637070</v>
      </c>
      <c r="N359" t="n">
        <v>1083</v>
      </c>
      <c r="O359" t="n">
        <v>467.96</v>
      </c>
      <c r="P359" t="inlineStr">
        <is>
          <t>03 - NORTE + MA</t>
        </is>
      </c>
      <c r="Q359" t="inlineStr">
        <is>
          <t>HEMANUELE DITZEL (MANU)</t>
        </is>
      </c>
      <c r="S359" t="inlineStr">
        <is>
          <t>ZR - NAO APLICAVEL</t>
        </is>
      </c>
      <c r="T359" t="inlineStr">
        <is>
          <t>HEMANUELE ROSA DITZEL</t>
        </is>
      </c>
      <c r="V359" t="inlineStr">
        <is>
          <t>demais</t>
        </is>
      </c>
      <c r="W359" t="inlineStr">
        <is>
          <t>REGIÕES/GRUPOS</t>
        </is>
      </c>
    </row>
    <row r="360" ht="15" customHeight="1">
      <c r="A360" t="n">
        <v>0.100945</v>
      </c>
      <c r="B360" t="inlineStr">
        <is>
          <t>VERMELHO</t>
        </is>
      </c>
      <c r="C360" t="n">
        <v>10706.9</v>
      </c>
      <c r="D360" t="n">
        <v>1080.81</v>
      </c>
      <c r="E360" t="n">
        <v>10706.9</v>
      </c>
      <c r="F360" s="6" t="n">
        <v>0.100945</v>
      </c>
      <c r="G360" t="inlineStr">
        <is>
          <t>FITLAND</t>
        </is>
      </c>
      <c r="H360" t="inlineStr">
        <is>
          <t>SP</t>
        </is>
      </c>
      <c r="I360" t="n">
        <v>18996607425</v>
      </c>
      <c r="J360" t="inlineStr">
        <is>
          <t>Plano de Negócio</t>
        </is>
      </c>
      <c r="K360" t="inlineStr">
        <is>
          <t>FITLAND</t>
        </is>
      </c>
      <c r="L360" t="inlineStr">
        <is>
          <t>SP</t>
        </is>
      </c>
      <c r="M360" t="n">
        <v>18996607425</v>
      </c>
      <c r="N360" t="n">
        <v>1080.81</v>
      </c>
      <c r="O360" t="n">
        <v>892.24</v>
      </c>
      <c r="P360" t="inlineStr">
        <is>
          <t>03 - NACIONAL</t>
        </is>
      </c>
      <c r="Q360" t="inlineStr">
        <is>
          <t>JULIO GADRET</t>
        </is>
      </c>
      <c r="S360" t="inlineStr">
        <is>
          <t>LG REPRESENTACOES LTDA - EPP</t>
        </is>
      </c>
      <c r="T360" t="inlineStr">
        <is>
          <t>ZV - NAO APLICAVEL</t>
        </is>
      </c>
      <c r="V360" t="inlineStr">
        <is>
          <t>demais</t>
        </is>
      </c>
      <c r="W360" t="inlineStr">
        <is>
          <t>REDES E FRANQUIAS</t>
        </is>
      </c>
    </row>
    <row r="361" ht="15" customHeight="1">
      <c r="A361" t="n">
        <v>0.100824</v>
      </c>
      <c r="B361" t="inlineStr">
        <is>
          <t>VERMELHO</t>
        </is>
      </c>
      <c r="C361" t="n">
        <v>10706.9</v>
      </c>
      <c r="D361" t="n">
        <v>1079.51</v>
      </c>
      <c r="E361" t="n">
        <v>10706.9</v>
      </c>
      <c r="F361" s="6" t="n">
        <v>0.100824</v>
      </c>
      <c r="G361" t="inlineStr">
        <is>
          <t>FITLAND</t>
        </is>
      </c>
      <c r="H361" t="inlineStr">
        <is>
          <t>SC</t>
        </is>
      </c>
      <c r="I361" t="n">
        <v>4830147151</v>
      </c>
      <c r="J361" t="inlineStr">
        <is>
          <t>Plano de Negócio</t>
        </is>
      </c>
      <c r="K361" t="inlineStr">
        <is>
          <t>FITLAND</t>
        </is>
      </c>
      <c r="L361" t="inlineStr">
        <is>
          <t>SC</t>
        </is>
      </c>
      <c r="M361" t="n">
        <v>4830147151</v>
      </c>
      <c r="N361" t="n">
        <v>1079.51</v>
      </c>
      <c r="O361" t="n">
        <v>892.24</v>
      </c>
      <c r="P361" t="inlineStr">
        <is>
          <t>03 - NACIONAL</t>
        </is>
      </c>
      <c r="Q361" t="inlineStr">
        <is>
          <t>JULIO GADRET</t>
        </is>
      </c>
      <c r="S361" t="inlineStr">
        <is>
          <t>LG REPRESENTACOES LTDA - EPP</t>
        </is>
      </c>
      <c r="T361" t="inlineStr">
        <is>
          <t>ZV - NAO APLICAVEL</t>
        </is>
      </c>
      <c r="V361" t="inlineStr">
        <is>
          <t>demais</t>
        </is>
      </c>
      <c r="W361" t="inlineStr">
        <is>
          <t>REDES E FRANQUIAS</t>
        </is>
      </c>
    </row>
    <row r="362" ht="15" customHeight="1">
      <c r="A362" t="n">
        <v>0.192182</v>
      </c>
      <c r="B362" t="inlineStr">
        <is>
          <t>VERMELHO</t>
        </is>
      </c>
      <c r="C362" t="n">
        <v>5615.5</v>
      </c>
      <c r="D362" t="n">
        <v>1079.2</v>
      </c>
      <c r="E362" t="n">
        <v>5615.5</v>
      </c>
      <c r="F362" s="6" t="n">
        <v>0.192182</v>
      </c>
      <c r="G362" t="inlineStr">
        <is>
          <t>SEM GRUPO</t>
        </is>
      </c>
      <c r="H362" t="inlineStr">
        <is>
          <t>PR</t>
        </is>
      </c>
      <c r="I362" t="n">
        <v>41999389977</v>
      </c>
      <c r="J362" t="inlineStr">
        <is>
          <t>Plano de Negócio</t>
        </is>
      </c>
      <c r="K362" t="inlineStr">
        <is>
          <t>SEM REDE</t>
        </is>
      </c>
      <c r="L362" t="inlineStr">
        <is>
          <t>PR</t>
        </is>
      </c>
      <c r="M362" t="n">
        <v>41999389977</v>
      </c>
      <c r="N362" t="n">
        <v>1079.2</v>
      </c>
      <c r="O362" t="n">
        <v>467.96</v>
      </c>
      <c r="P362" t="inlineStr">
        <is>
          <t>03 - SUL</t>
        </is>
      </c>
      <c r="Q362" t="inlineStr">
        <is>
          <t>HEMANUELE DITZEL (MANU)</t>
        </is>
      </c>
      <c r="S362" t="inlineStr">
        <is>
          <t>ZR - NAO APLICAVEL</t>
        </is>
      </c>
      <c r="T362" t="inlineStr">
        <is>
          <t>HEMANUELE ROSA DITZEL</t>
        </is>
      </c>
      <c r="V362" t="inlineStr">
        <is>
          <t>demais</t>
        </is>
      </c>
      <c r="W362" t="inlineStr">
        <is>
          <t>REGIÕES/GRUPOS</t>
        </is>
      </c>
    </row>
    <row r="363" ht="15" customHeight="1">
      <c r="A363" t="n">
        <v>0.190188</v>
      </c>
      <c r="B363" t="inlineStr">
        <is>
          <t>VERMELHO</t>
        </is>
      </c>
      <c r="C363" t="n">
        <v>5615.5</v>
      </c>
      <c r="D363" t="n">
        <v>1068</v>
      </c>
      <c r="E363" t="n">
        <v>5615.5</v>
      </c>
      <c r="F363" s="6" t="n">
        <v>0.190188</v>
      </c>
      <c r="G363" t="inlineStr">
        <is>
          <t>SEM GRUPO</t>
        </is>
      </c>
      <c r="H363" t="inlineStr">
        <is>
          <t>SC</t>
        </is>
      </c>
      <c r="I363" t="n">
        <v>4896330100</v>
      </c>
      <c r="J363" t="inlineStr">
        <is>
          <t>Plano de Negócio</t>
        </is>
      </c>
      <c r="K363" t="inlineStr">
        <is>
          <t>SEM REDE</t>
        </is>
      </c>
      <c r="L363" t="inlineStr">
        <is>
          <t>SC</t>
        </is>
      </c>
      <c r="M363" t="n">
        <v>4896330100</v>
      </c>
      <c r="N363" t="n">
        <v>1068</v>
      </c>
      <c r="O363" t="n">
        <v>467.96</v>
      </c>
      <c r="P363" t="inlineStr">
        <is>
          <t>03 - SUL</t>
        </is>
      </c>
      <c r="Q363" t="inlineStr">
        <is>
          <t>HEMANUELE DITZEL (MANU)</t>
        </is>
      </c>
      <c r="S363" t="inlineStr">
        <is>
          <t>ZR - NAO APLICAVEL</t>
        </is>
      </c>
      <c r="T363" t="inlineStr">
        <is>
          <t>HEMANUELE ROSA DITZEL</t>
        </is>
      </c>
      <c r="V363" t="inlineStr">
        <is>
          <t>demais</t>
        </is>
      </c>
      <c r="W363" t="inlineStr">
        <is>
          <t>REGIÕES/GRUPOS</t>
        </is>
      </c>
    </row>
    <row r="364" ht="15" customHeight="1">
      <c r="A364" t="n">
        <v>0.189516</v>
      </c>
      <c r="B364" t="inlineStr">
        <is>
          <t>VERMELHO</t>
        </is>
      </c>
      <c r="C364" t="n">
        <v>5615.5</v>
      </c>
      <c r="D364" t="n">
        <v>1064.23</v>
      </c>
      <c r="E364" t="n">
        <v>5615.5</v>
      </c>
      <c r="F364" s="6" t="n">
        <v>0.189516</v>
      </c>
      <c r="G364" t="inlineStr">
        <is>
          <t>SEM GRUPO</t>
        </is>
      </c>
      <c r="H364" t="inlineStr">
        <is>
          <t>PR</t>
        </is>
      </c>
      <c r="I364" t="n">
        <v>4498062010</v>
      </c>
      <c r="J364" t="inlineStr">
        <is>
          <t>Plano de Negócio</t>
        </is>
      </c>
      <c r="K364" t="inlineStr">
        <is>
          <t>SEM REDE</t>
        </is>
      </c>
      <c r="L364" t="inlineStr">
        <is>
          <t>PR</t>
        </is>
      </c>
      <c r="M364" t="n">
        <v>4498062010</v>
      </c>
      <c r="N364" t="n">
        <v>1064.23</v>
      </c>
      <c r="O364" t="n">
        <v>467.96</v>
      </c>
      <c r="P364" t="inlineStr">
        <is>
          <t>03 - SUL</t>
        </is>
      </c>
      <c r="Q364" t="inlineStr">
        <is>
          <t>HEMANUELE DITZEL (MANU)</t>
        </is>
      </c>
      <c r="S364" t="inlineStr">
        <is>
          <t>ZR - NAO APLICAVEL</t>
        </is>
      </c>
      <c r="T364" t="inlineStr">
        <is>
          <t>ZV - NAO APLICAVEL</t>
        </is>
      </c>
      <c r="V364" t="inlineStr">
        <is>
          <t>demais</t>
        </is>
      </c>
      <c r="W364" t="inlineStr">
        <is>
          <t>REGIÕES/GRUPOS</t>
        </is>
      </c>
    </row>
    <row r="365" ht="15" customHeight="1">
      <c r="A365" t="n">
        <v>0.188181</v>
      </c>
      <c r="B365" t="inlineStr">
        <is>
          <t>VERMELHO</t>
        </is>
      </c>
      <c r="C365" t="n">
        <v>5615.5</v>
      </c>
      <c r="D365" t="n">
        <v>1056.73</v>
      </c>
      <c r="E365" t="n">
        <v>5615.5</v>
      </c>
      <c r="F365" s="6" t="n">
        <v>0.188181</v>
      </c>
      <c r="G365" t="inlineStr">
        <is>
          <t>SEM GRUPO</t>
        </is>
      </c>
      <c r="H365" t="inlineStr">
        <is>
          <t>PR</t>
        </is>
      </c>
      <c r="I365" t="n">
        <v>4497324973</v>
      </c>
      <c r="J365" t="inlineStr">
        <is>
          <t>Plano de Negócio</t>
        </is>
      </c>
      <c r="K365" t="inlineStr">
        <is>
          <t>SEM REDE</t>
        </is>
      </c>
      <c r="L365" t="inlineStr">
        <is>
          <t>PR</t>
        </is>
      </c>
      <c r="M365" t="n">
        <v>4497324973</v>
      </c>
      <c r="N365" t="n">
        <v>1056.73</v>
      </c>
      <c r="O365" t="n">
        <v>467.96</v>
      </c>
      <c r="P365" t="inlineStr">
        <is>
          <t>03 - SUL</t>
        </is>
      </c>
      <c r="Q365" t="inlineStr">
        <is>
          <t>HEMANUELE DITZEL (MANU)</t>
        </is>
      </c>
      <c r="S365" t="inlineStr">
        <is>
          <t>ZR - NAO APLICAVEL</t>
        </is>
      </c>
      <c r="T365" t="inlineStr">
        <is>
          <t>HEMANUELE ROSA DITZEL</t>
        </is>
      </c>
      <c r="V365" t="inlineStr">
        <is>
          <t>demais</t>
        </is>
      </c>
      <c r="W365" t="inlineStr">
        <is>
          <t>REGIÕES/GRUPOS</t>
        </is>
      </c>
    </row>
    <row r="366" ht="15" customHeight="1">
      <c r="A366" t="n">
        <v>0.096679</v>
      </c>
      <c r="B366" t="inlineStr">
        <is>
          <t>VERMELHO</t>
        </is>
      </c>
      <c r="C366" t="n">
        <v>10875</v>
      </c>
      <c r="D366" t="n">
        <v>1051.38</v>
      </c>
      <c r="E366" t="n">
        <v>10875</v>
      </c>
      <c r="F366" s="6" t="n">
        <v>0.096679</v>
      </c>
      <c r="G366" t="inlineStr">
        <is>
          <t>CIA DA SAUDE</t>
        </is>
      </c>
      <c r="H366" t="inlineStr">
        <is>
          <t>SC</t>
        </is>
      </c>
      <c r="I366" t="n">
        <v>48840020754</v>
      </c>
      <c r="J366" t="inlineStr">
        <is>
          <t>Prospecção</t>
        </is>
      </c>
      <c r="K366" t="inlineStr">
        <is>
          <t>CIA DA SAUDE</t>
        </is>
      </c>
      <c r="L366" t="inlineStr">
        <is>
          <t>SC</t>
        </is>
      </c>
      <c r="M366" t="n">
        <v>48840020754</v>
      </c>
      <c r="N366" t="n">
        <v>1051.38</v>
      </c>
      <c r="O366" t="n">
        <v>906.25</v>
      </c>
      <c r="P366" t="inlineStr">
        <is>
          <t>03 - NACIONAL</t>
        </is>
      </c>
      <c r="Q366" t="inlineStr">
        <is>
          <t>JULIO GADRET</t>
        </is>
      </c>
      <c r="S366" t="inlineStr">
        <is>
          <t>LG REPRESENTACOES LTDA - EPP</t>
        </is>
      </c>
      <c r="T366" t="inlineStr">
        <is>
          <t>ZV - NAO APLICAVEL</t>
        </is>
      </c>
      <c r="V366" t="inlineStr">
        <is>
          <t>demais</t>
        </is>
      </c>
      <c r="W366" t="inlineStr">
        <is>
          <t>REDES E FRANQUIAS</t>
        </is>
      </c>
    </row>
    <row r="367" ht="15" customHeight="1">
      <c r="A367" t="n">
        <v>0.187178</v>
      </c>
      <c r="B367" t="inlineStr">
        <is>
          <t>VERMELHO</t>
        </is>
      </c>
      <c r="C367" t="n">
        <v>5615.5</v>
      </c>
      <c r="D367" t="n">
        <v>1051.1</v>
      </c>
      <c r="E367" t="n">
        <v>5615.5</v>
      </c>
      <c r="F367" s="6" t="n">
        <v>0.187178</v>
      </c>
      <c r="G367" t="inlineStr">
        <is>
          <t>SEM GRUPO</t>
        </is>
      </c>
      <c r="H367" t="inlineStr">
        <is>
          <t>SP</t>
        </is>
      </c>
      <c r="I367" t="n">
        <v>19998124261</v>
      </c>
      <c r="J367" t="inlineStr">
        <is>
          <t>Plano de Negócio</t>
        </is>
      </c>
      <c r="K367" t="inlineStr">
        <is>
          <t>SEM REDE</t>
        </is>
      </c>
      <c r="L367" t="inlineStr">
        <is>
          <t>SP</t>
        </is>
      </c>
      <c r="M367" t="n">
        <v>19998124261</v>
      </c>
      <c r="N367" t="n">
        <v>1051.1</v>
      </c>
      <c r="O367" t="n">
        <v>467.96</v>
      </c>
      <c r="P367" t="inlineStr">
        <is>
          <t>03 - SP INTERIOR</t>
        </is>
      </c>
      <c r="Q367" t="inlineStr">
        <is>
          <t>LARISSA PADILHA</t>
        </is>
      </c>
      <c r="S367" t="inlineStr">
        <is>
          <t>42.149.466 LARISSA DA SILVA PADILHA - ME</t>
        </is>
      </c>
      <c r="T367" t="inlineStr">
        <is>
          <t>ZV - NAO APLICAVEL</t>
        </is>
      </c>
      <c r="V367" t="inlineStr">
        <is>
          <t>demais</t>
        </is>
      </c>
      <c r="W367" t="inlineStr">
        <is>
          <t>REGIÕES/GRUPOS</t>
        </is>
      </c>
    </row>
    <row r="368" ht="15" customHeight="1">
      <c r="A368" t="n">
        <v>0.186316</v>
      </c>
      <c r="B368" t="inlineStr">
        <is>
          <t>VERMELHO</t>
        </is>
      </c>
      <c r="C368" t="n">
        <v>5615.5</v>
      </c>
      <c r="D368" t="n">
        <v>1046.26</v>
      </c>
      <c r="E368" t="n">
        <v>5615.5</v>
      </c>
      <c r="F368" s="6" t="n">
        <v>0.186316</v>
      </c>
      <c r="G368" t="inlineStr">
        <is>
          <t>SEM GRUPO</t>
        </is>
      </c>
      <c r="H368" t="inlineStr">
        <is>
          <t>SP</t>
        </is>
      </c>
      <c r="I368" t="n">
        <v>11980565198</v>
      </c>
      <c r="J368" t="inlineStr">
        <is>
          <t>Plano de Negócio</t>
        </is>
      </c>
      <c r="K368" t="inlineStr">
        <is>
          <t>SEM REDE</t>
        </is>
      </c>
      <c r="L368" t="inlineStr">
        <is>
          <t>SP</t>
        </is>
      </c>
      <c r="M368" t="n">
        <v>11980565198</v>
      </c>
      <c r="N368" t="n">
        <v>1046.26</v>
      </c>
      <c r="O368" t="n">
        <v>467.96</v>
      </c>
      <c r="P368" t="inlineStr">
        <is>
          <t>03 - SP CAPITAL</t>
        </is>
      </c>
      <c r="Q368" t="inlineStr">
        <is>
          <t>LARISSA PADILHA</t>
        </is>
      </c>
      <c r="S368" t="inlineStr">
        <is>
          <t>ZR - NAO APLICAVEL</t>
        </is>
      </c>
      <c r="T368" t="inlineStr">
        <is>
          <t>ZV - NAO APLICAVEL</t>
        </is>
      </c>
      <c r="V368" t="inlineStr">
        <is>
          <t>demais</t>
        </is>
      </c>
      <c r="W368" t="inlineStr">
        <is>
          <t>REGIÕES/GRUPOS</t>
        </is>
      </c>
    </row>
    <row r="369" ht="15" customHeight="1">
      <c r="A369" t="n">
        <v>0.18538</v>
      </c>
      <c r="B369" t="inlineStr">
        <is>
          <t>VERMELHO</t>
        </is>
      </c>
      <c r="C369" t="n">
        <v>5615.5</v>
      </c>
      <c r="D369" t="n">
        <v>1041</v>
      </c>
      <c r="E369" t="n">
        <v>5615.5</v>
      </c>
      <c r="F369" s="6" t="n">
        <v>0.18538</v>
      </c>
      <c r="G369" t="inlineStr">
        <is>
          <t>SEM GRUPO</t>
        </is>
      </c>
      <c r="H369" t="inlineStr">
        <is>
          <t>SP</t>
        </is>
      </c>
      <c r="I369" t="n">
        <v>17988136187</v>
      </c>
      <c r="J369" t="inlineStr">
        <is>
          <t>Plano de Negócio</t>
        </is>
      </c>
      <c r="K369" t="inlineStr">
        <is>
          <t>SEM REDE</t>
        </is>
      </c>
      <c r="L369" t="inlineStr">
        <is>
          <t>SP</t>
        </is>
      </c>
      <c r="M369" t="n">
        <v>17988136187</v>
      </c>
      <c r="N369" t="n">
        <v>1041</v>
      </c>
      <c r="O369" t="n">
        <v>467.96</v>
      </c>
      <c r="P369" t="inlineStr">
        <is>
          <t>03 - SP INTERIOR</t>
        </is>
      </c>
      <c r="Q369" t="inlineStr">
        <is>
          <t>LARISSA PADILHA</t>
        </is>
      </c>
      <c r="S369" t="inlineStr">
        <is>
          <t>ZR - NAO APLICAVEL</t>
        </is>
      </c>
      <c r="T369" t="inlineStr">
        <is>
          <t>ZV - NAO APLICAVEL</t>
        </is>
      </c>
      <c r="V369" t="inlineStr">
        <is>
          <t>demais</t>
        </is>
      </c>
      <c r="W369" t="inlineStr">
        <is>
          <t>REGIÕES/GRUPOS</t>
        </is>
      </c>
    </row>
    <row r="370" ht="15" customHeight="1">
      <c r="A370" t="n">
        <v>0.095057</v>
      </c>
      <c r="B370" t="inlineStr">
        <is>
          <t>VERMELHO</t>
        </is>
      </c>
      <c r="C370" t="n">
        <v>10875</v>
      </c>
      <c r="D370" t="n">
        <v>1033.74</v>
      </c>
      <c r="E370" t="n">
        <v>10875</v>
      </c>
      <c r="F370" s="6" t="n">
        <v>0.095057</v>
      </c>
      <c r="G370" t="inlineStr">
        <is>
          <t>CIA DA SAUDE</t>
        </is>
      </c>
      <c r="H370" t="inlineStr">
        <is>
          <t>SC</t>
        </is>
      </c>
      <c r="I370" t="n">
        <v>48999981463</v>
      </c>
      <c r="J370" t="inlineStr">
        <is>
          <t>Prospecção</t>
        </is>
      </c>
      <c r="K370" t="inlineStr">
        <is>
          <t>CIA DA SAUDE</t>
        </is>
      </c>
      <c r="L370" t="inlineStr">
        <is>
          <t>SC</t>
        </is>
      </c>
      <c r="M370" t="n">
        <v>48999981463</v>
      </c>
      <c r="N370" t="n">
        <v>1033.74</v>
      </c>
      <c r="O370" t="n">
        <v>906.25</v>
      </c>
      <c r="P370" t="inlineStr">
        <is>
          <t>03 - NACIONAL</t>
        </is>
      </c>
      <c r="Q370" t="inlineStr">
        <is>
          <t>JULIO GADRET</t>
        </is>
      </c>
      <c r="S370" t="inlineStr">
        <is>
          <t>LG REPRESENTACOES LTDA - EPP</t>
        </is>
      </c>
      <c r="T370" t="inlineStr">
        <is>
          <t>ZV - NAO APLICAVEL</t>
        </is>
      </c>
      <c r="V370" t="inlineStr">
        <is>
          <t>demais</t>
        </is>
      </c>
      <c r="W370" t="inlineStr">
        <is>
          <t>REDES E FRANQUIAS</t>
        </is>
      </c>
    </row>
    <row r="371" ht="15" customHeight="1">
      <c r="A371" t="n">
        <v>0.182375</v>
      </c>
      <c r="B371" t="inlineStr">
        <is>
          <t>VERMELHO</t>
        </is>
      </c>
      <c r="C371" t="n">
        <v>5615.5</v>
      </c>
      <c r="D371" t="n">
        <v>1024.13</v>
      </c>
      <c r="E371" t="n">
        <v>5615.5</v>
      </c>
      <c r="F371" s="6" t="n">
        <v>0.182375</v>
      </c>
      <c r="G371" t="inlineStr">
        <is>
          <t>SEM GRUPO</t>
        </is>
      </c>
      <c r="H371" t="inlineStr">
        <is>
          <t>SC</t>
        </is>
      </c>
      <c r="I371" t="n">
        <v>48991659616</v>
      </c>
      <c r="J371" t="inlineStr">
        <is>
          <t>Plano de Negócio</t>
        </is>
      </c>
      <c r="K371" t="inlineStr">
        <is>
          <t>SEM REDE</t>
        </is>
      </c>
      <c r="L371" t="inlineStr">
        <is>
          <t>SC</t>
        </is>
      </c>
      <c r="M371" t="n">
        <v>48991659616</v>
      </c>
      <c r="N371" t="n">
        <v>1024.13</v>
      </c>
      <c r="O371" t="n">
        <v>467.96</v>
      </c>
      <c r="P371" t="inlineStr">
        <is>
          <t>03 - SUL</t>
        </is>
      </c>
      <c r="Q371" t="inlineStr">
        <is>
          <t>HEMANUELE DITZEL (MANU)</t>
        </is>
      </c>
      <c r="S371" t="inlineStr">
        <is>
          <t>ZR - NAO APLICAVEL</t>
        </is>
      </c>
      <c r="T371" t="inlineStr">
        <is>
          <t>ZV - NAO APLICAVEL</t>
        </is>
      </c>
      <c r="V371" t="inlineStr">
        <is>
          <t>demais</t>
        </is>
      </c>
      <c r="W371" t="inlineStr">
        <is>
          <t>REGIÕES/GRUPOS</t>
        </is>
      </c>
    </row>
    <row r="372" ht="15" customHeight="1">
      <c r="A372" t="n">
        <v>0.099575</v>
      </c>
      <c r="B372" t="inlineStr">
        <is>
          <t>VERMELHO</t>
        </is>
      </c>
      <c r="C372" t="n">
        <v>10200</v>
      </c>
      <c r="D372" t="n">
        <v>1015.66</v>
      </c>
      <c r="E372" t="n">
        <v>10200</v>
      </c>
      <c r="F372" s="6" t="n">
        <v>0.099575</v>
      </c>
      <c r="G372" t="inlineStr">
        <is>
          <t>VIDA LEVE</t>
        </is>
      </c>
      <c r="H372" t="inlineStr">
        <is>
          <t>MT</t>
        </is>
      </c>
      <c r="I372" t="n">
        <v>66999867183</v>
      </c>
      <c r="J372" t="inlineStr">
        <is>
          <t>Prospecção</t>
        </is>
      </c>
      <c r="K372" t="inlineStr">
        <is>
          <t>VIDA LEVE</t>
        </is>
      </c>
      <c r="L372" t="inlineStr">
        <is>
          <t>MT</t>
        </is>
      </c>
      <c r="M372" t="n">
        <v>66999867183</v>
      </c>
      <c r="N372" t="n">
        <v>1015.66</v>
      </c>
      <c r="O372" t="n">
        <v>850</v>
      </c>
      <c r="P372" t="inlineStr">
        <is>
          <t>03 - NACIONAL</t>
        </is>
      </c>
      <c r="Q372" t="inlineStr">
        <is>
          <t>DAIANE STAVICKI</t>
        </is>
      </c>
      <c r="S372" t="inlineStr">
        <is>
          <t>ZR - NAO APLICAVEL</t>
        </is>
      </c>
      <c r="T372" t="inlineStr">
        <is>
          <t>ZV - NAO APLICAVEL</t>
        </is>
      </c>
      <c r="V372" t="inlineStr">
        <is>
          <t>demais</t>
        </is>
      </c>
      <c r="W372" t="inlineStr">
        <is>
          <t>REDES E FRANQUIAS</t>
        </is>
      </c>
    </row>
    <row r="373" ht="15" customHeight="1">
      <c r="A373" t="n">
        <v>0.094856</v>
      </c>
      <c r="B373" t="inlineStr">
        <is>
          <t>VERMELHO</t>
        </is>
      </c>
      <c r="C373" t="n">
        <v>10706.9</v>
      </c>
      <c r="D373" t="n">
        <v>1015.61</v>
      </c>
      <c r="E373" t="n">
        <v>10706.9</v>
      </c>
      <c r="F373" s="6" t="n">
        <v>0.094856</v>
      </c>
      <c r="G373" t="inlineStr">
        <is>
          <t>FITLAND</t>
        </is>
      </c>
      <c r="H373" t="inlineStr">
        <is>
          <t>BA</t>
        </is>
      </c>
      <c r="I373" t="n">
        <v>73999071310</v>
      </c>
      <c r="J373" t="inlineStr">
        <is>
          <t>Prospecção</t>
        </is>
      </c>
      <c r="K373" t="inlineStr">
        <is>
          <t>FITLAND</t>
        </is>
      </c>
      <c r="L373" t="inlineStr">
        <is>
          <t>BA</t>
        </is>
      </c>
      <c r="M373" t="n">
        <v>73999071310</v>
      </c>
      <c r="N373" t="n">
        <v>1015.61</v>
      </c>
      <c r="O373" t="n">
        <v>892.24</v>
      </c>
      <c r="P373" t="inlineStr">
        <is>
          <t>03 - NACIONAL</t>
        </is>
      </c>
      <c r="Q373" t="inlineStr">
        <is>
          <t>JULIO GADRET</t>
        </is>
      </c>
      <c r="S373" t="inlineStr">
        <is>
          <t>ZR - NAO APLICAVEL</t>
        </is>
      </c>
      <c r="T373" t="inlineStr">
        <is>
          <t>ZV - NAO APLICAVEL</t>
        </is>
      </c>
      <c r="V373" t="inlineStr">
        <is>
          <t>demais</t>
        </is>
      </c>
      <c r="W373" t="inlineStr">
        <is>
          <t>REDES E FRANQUIAS</t>
        </is>
      </c>
    </row>
    <row r="374" ht="15" customHeight="1">
      <c r="A374" t="n">
        <v>0.093315</v>
      </c>
      <c r="B374" t="inlineStr">
        <is>
          <t>VERMELHO</t>
        </is>
      </c>
      <c r="C374" t="n">
        <v>10875</v>
      </c>
      <c r="D374" t="n">
        <v>1014.8</v>
      </c>
      <c r="E374" t="n">
        <v>10875</v>
      </c>
      <c r="F374" s="6" t="n">
        <v>0.093315</v>
      </c>
      <c r="G374" t="inlineStr">
        <is>
          <t>CIA DA SAUDE</t>
        </is>
      </c>
      <c r="H374" t="inlineStr">
        <is>
          <t>SC</t>
        </is>
      </c>
      <c r="I374" t="n">
        <v>4896982817</v>
      </c>
      <c r="J374" t="inlineStr">
        <is>
          <t>Prospecção</t>
        </is>
      </c>
      <c r="K374" t="inlineStr">
        <is>
          <t>CIA DA SAUDE</t>
        </is>
      </c>
      <c r="L374" t="inlineStr">
        <is>
          <t>SC</t>
        </is>
      </c>
      <c r="M374" t="n">
        <v>4896982817</v>
      </c>
      <c r="N374" t="n">
        <v>1014.8</v>
      </c>
      <c r="O374" t="n">
        <v>906.25</v>
      </c>
      <c r="P374" t="inlineStr">
        <is>
          <t>03 - NACIONAL</t>
        </is>
      </c>
      <c r="Q374" t="inlineStr">
        <is>
          <t>JULIO GADRET</t>
        </is>
      </c>
      <c r="S374" t="inlineStr">
        <is>
          <t>LG REPRESENTACOES LTDA - EPP</t>
        </is>
      </c>
      <c r="T374" t="inlineStr">
        <is>
          <t>ZV - NAO APLICAVEL</t>
        </is>
      </c>
      <c r="V374" t="inlineStr">
        <is>
          <t>demais</t>
        </is>
      </c>
      <c r="W374" t="inlineStr">
        <is>
          <t>REDES E FRANQUIAS</t>
        </is>
      </c>
    </row>
    <row r="375" ht="15" customHeight="1">
      <c r="A375" t="n">
        <v>0.153395</v>
      </c>
      <c r="B375" t="inlineStr">
        <is>
          <t>VERMELHO</t>
        </is>
      </c>
      <c r="C375" t="n">
        <v>6566.04</v>
      </c>
      <c r="D375" t="n">
        <v>1007.2</v>
      </c>
      <c r="E375" t="n">
        <v>6566.04</v>
      </c>
      <c r="F375" s="6" t="n">
        <v>0.153395</v>
      </c>
      <c r="G375" t="inlineStr">
        <is>
          <t>DIVINA TERRA</t>
        </is>
      </c>
      <c r="H375" t="inlineStr">
        <is>
          <t>PR</t>
        </is>
      </c>
      <c r="I375" t="n">
        <v>45991034143</v>
      </c>
      <c r="J375" t="inlineStr">
        <is>
          <t>Plano de Negócio</t>
        </is>
      </c>
      <c r="K375" t="inlineStr">
        <is>
          <t>DIVINA TERRA</t>
        </is>
      </c>
      <c r="L375" t="inlineStr">
        <is>
          <t>PR</t>
        </is>
      </c>
      <c r="M375" t="n">
        <v>45991034143</v>
      </c>
      <c r="N375" t="n">
        <v>1007.2</v>
      </c>
      <c r="O375" t="n">
        <v>547.17</v>
      </c>
      <c r="P375" t="inlineStr">
        <is>
          <t>03 - NACIONAL</t>
        </is>
      </c>
      <c r="Q375" t="inlineStr">
        <is>
          <t>DAIANE STAVICKI</t>
        </is>
      </c>
      <c r="S375" t="inlineStr">
        <is>
          <t>ZR - NAO APLICAVEL</t>
        </is>
      </c>
      <c r="T375" t="inlineStr">
        <is>
          <t>ZV - NAO APLICAVEL</t>
        </is>
      </c>
      <c r="V375" t="inlineStr">
        <is>
          <t>demais</t>
        </is>
      </c>
      <c r="W375" t="inlineStr">
        <is>
          <t>REDES E FRANQUIAS</t>
        </is>
      </c>
    </row>
    <row r="376" ht="15" customHeight="1">
      <c r="A376" t="n">
        <v>0.179182</v>
      </c>
      <c r="B376" t="inlineStr">
        <is>
          <t>VERMELHO</t>
        </is>
      </c>
      <c r="C376" t="n">
        <v>5615.5</v>
      </c>
      <c r="D376" t="n">
        <v>1006.2</v>
      </c>
      <c r="E376" t="n">
        <v>5615.5</v>
      </c>
      <c r="F376" s="6" t="n">
        <v>0.179182</v>
      </c>
      <c r="G376" t="inlineStr">
        <is>
          <t>SEM GRUPO</t>
        </is>
      </c>
      <c r="H376" t="inlineStr">
        <is>
          <t>GO</t>
        </is>
      </c>
      <c r="I376" t="n">
        <v>6496418800</v>
      </c>
      <c r="J376" t="inlineStr">
        <is>
          <t>Plano de Negócio</t>
        </is>
      </c>
      <c r="K376" t="inlineStr">
        <is>
          <t>SEM REDE</t>
        </is>
      </c>
      <c r="L376" t="inlineStr">
        <is>
          <t>GO</t>
        </is>
      </c>
      <c r="M376" t="n">
        <v>6496418800</v>
      </c>
      <c r="N376" t="n">
        <v>1006.2</v>
      </c>
      <c r="O376" t="n">
        <v>467.96</v>
      </c>
      <c r="P376" t="inlineStr">
        <is>
          <t>03 - CENTRO OESTE</t>
        </is>
      </c>
      <c r="Q376" t="inlineStr">
        <is>
          <t>LARISSA PADILHA</t>
        </is>
      </c>
      <c r="S376" t="inlineStr">
        <is>
          <t>42.149.466 LARISSA DA SILVA PADILHA - ME</t>
        </is>
      </c>
      <c r="T376" t="inlineStr">
        <is>
          <t>ZV - NAO APLICAVEL</t>
        </is>
      </c>
      <c r="V376" t="inlineStr">
        <is>
          <t>demais</t>
        </is>
      </c>
      <c r="W376" t="inlineStr">
        <is>
          <t>REGIÕES/GRUPOS</t>
        </is>
      </c>
    </row>
    <row r="377" ht="15" customHeight="1">
      <c r="A377" t="n">
        <v>0.178963</v>
      </c>
      <c r="B377" t="inlineStr">
        <is>
          <t>VERMELHO</t>
        </is>
      </c>
      <c r="C377" t="n">
        <v>5615.5</v>
      </c>
      <c r="D377" t="n">
        <v>1004.97</v>
      </c>
      <c r="E377" t="n">
        <v>5615.5</v>
      </c>
      <c r="F377" s="6" t="n">
        <v>0.178963</v>
      </c>
      <c r="G377" t="inlineStr">
        <is>
          <t>SEM GRUPO</t>
        </is>
      </c>
      <c r="H377" t="inlineStr">
        <is>
          <t>SC</t>
        </is>
      </c>
      <c r="I377" t="n">
        <v>48991287322</v>
      </c>
      <c r="J377" t="inlineStr">
        <is>
          <t>Plano de Negócio</t>
        </is>
      </c>
      <c r="K377" t="inlineStr">
        <is>
          <t>SEM REDE</t>
        </is>
      </c>
      <c r="L377" t="inlineStr">
        <is>
          <t>SC</t>
        </is>
      </c>
      <c r="M377" t="n">
        <v>48991287322</v>
      </c>
      <c r="N377" t="n">
        <v>1004.97</v>
      </c>
      <c r="O377" t="n">
        <v>467.96</v>
      </c>
      <c r="P377" t="inlineStr">
        <is>
          <t>03 - SUL</t>
        </is>
      </c>
      <c r="Q377" t="inlineStr">
        <is>
          <t>JULIO GADRET</t>
        </is>
      </c>
      <c r="S377" t="inlineStr">
        <is>
          <t>LG REPRESENTACOES LTDA - EPP</t>
        </is>
      </c>
      <c r="T377" t="inlineStr">
        <is>
          <t>ZV - NAO APLICAVEL</t>
        </is>
      </c>
      <c r="V377" t="inlineStr">
        <is>
          <t>demais</t>
        </is>
      </c>
      <c r="W377" t="inlineStr">
        <is>
          <t>REGIÕES/GRUPOS</t>
        </is>
      </c>
    </row>
    <row r="378" ht="15" customHeight="1">
      <c r="A378" t="n">
        <v>0.091488</v>
      </c>
      <c r="B378" t="inlineStr">
        <is>
          <t>VERMELHO</t>
        </is>
      </c>
      <c r="C378" t="n">
        <v>10875</v>
      </c>
      <c r="D378" t="n">
        <v>994.9299999999999</v>
      </c>
      <c r="E378" t="n">
        <v>10875</v>
      </c>
      <c r="F378" s="6" t="n">
        <v>0.091488</v>
      </c>
      <c r="G378" t="inlineStr">
        <is>
          <t>CIA DA SAUDE</t>
        </is>
      </c>
      <c r="H378" t="inlineStr">
        <is>
          <t>SC</t>
        </is>
      </c>
      <c r="I378" t="n">
        <v>4899981463</v>
      </c>
      <c r="J378" t="inlineStr">
        <is>
          <t>Prospecção</t>
        </is>
      </c>
      <c r="K378" t="inlineStr">
        <is>
          <t>CIA DA SAUDE</t>
        </is>
      </c>
      <c r="L378" t="inlineStr">
        <is>
          <t>SC</t>
        </is>
      </c>
      <c r="M378" t="n">
        <v>4899981463</v>
      </c>
      <c r="N378" t="n">
        <v>994.9299999999999</v>
      </c>
      <c r="O378" t="n">
        <v>906.25</v>
      </c>
      <c r="P378" t="inlineStr">
        <is>
          <t>03 - NACIONAL</t>
        </is>
      </c>
      <c r="Q378" t="inlineStr">
        <is>
          <t>JULIO GADRET</t>
        </is>
      </c>
      <c r="S378" t="inlineStr">
        <is>
          <t>LG REPRESENTACOES LTDA - EPP</t>
        </is>
      </c>
      <c r="T378" t="inlineStr">
        <is>
          <t>ZV - NAO APLICAVEL</t>
        </is>
      </c>
      <c r="V378" t="inlineStr">
        <is>
          <t>demais</t>
        </is>
      </c>
      <c r="W378" t="inlineStr">
        <is>
          <t>REDES E FRANQUIAS</t>
        </is>
      </c>
    </row>
    <row r="379" ht="15" customHeight="1">
      <c r="A379" t="n">
        <v>0.09142699999999999</v>
      </c>
      <c r="B379" t="inlineStr">
        <is>
          <t>VERMELHO</t>
        </is>
      </c>
      <c r="C379" t="n">
        <v>10875</v>
      </c>
      <c r="D379" t="n">
        <v>994.27</v>
      </c>
      <c r="E379" t="n">
        <v>10875</v>
      </c>
      <c r="F379" s="6" t="n">
        <v>0.09142699999999999</v>
      </c>
      <c r="G379" t="inlineStr">
        <is>
          <t>CIA DA SAUDE</t>
        </is>
      </c>
      <c r="H379" t="inlineStr">
        <is>
          <t>SC</t>
        </is>
      </c>
      <c r="I379" t="n">
        <v>4899981463</v>
      </c>
      <c r="J379" t="inlineStr">
        <is>
          <t>Prospecção</t>
        </is>
      </c>
      <c r="K379" t="inlineStr">
        <is>
          <t>CIA DA SAUDE</t>
        </is>
      </c>
      <c r="L379" t="inlineStr">
        <is>
          <t>SC</t>
        </is>
      </c>
      <c r="M379" t="n">
        <v>4899981463</v>
      </c>
      <c r="N379" t="n">
        <v>994.27</v>
      </c>
      <c r="O379" t="n">
        <v>906.25</v>
      </c>
      <c r="P379" t="inlineStr">
        <is>
          <t>03 - NACIONAL</t>
        </is>
      </c>
      <c r="Q379" t="inlineStr">
        <is>
          <t>JULIO GADRET</t>
        </is>
      </c>
      <c r="S379" t="inlineStr">
        <is>
          <t>LG REPRESENTACOES LTDA - EPP</t>
        </is>
      </c>
      <c r="T379" t="inlineStr">
        <is>
          <t>ZV - NAO APLICAVEL</t>
        </is>
      </c>
      <c r="V379" t="inlineStr">
        <is>
          <t>demais</t>
        </is>
      </c>
      <c r="W379" t="inlineStr">
        <is>
          <t>REDES E FRANQUIAS</t>
        </is>
      </c>
    </row>
    <row r="380" ht="15" customHeight="1">
      <c r="A380" t="n">
        <v>0.176873</v>
      </c>
      <c r="B380" t="inlineStr">
        <is>
          <t>VERMELHO</t>
        </is>
      </c>
      <c r="C380" t="n">
        <v>5615.5</v>
      </c>
      <c r="D380" t="n">
        <v>993.23</v>
      </c>
      <c r="E380" t="n">
        <v>5615.5</v>
      </c>
      <c r="F380" s="6" t="n">
        <v>0.176873</v>
      </c>
      <c r="G380" t="inlineStr">
        <is>
          <t>SEM GRUPO</t>
        </is>
      </c>
      <c r="H380" t="inlineStr">
        <is>
          <t>GO</t>
        </is>
      </c>
      <c r="I380" t="n">
        <v>6291320767</v>
      </c>
      <c r="J380" t="inlineStr">
        <is>
          <t>Plano de Negócio</t>
        </is>
      </c>
      <c r="K380" t="inlineStr">
        <is>
          <t>SEM REDE</t>
        </is>
      </c>
      <c r="L380" t="inlineStr">
        <is>
          <t>GO</t>
        </is>
      </c>
      <c r="M380" t="n">
        <v>6291320767</v>
      </c>
      <c r="N380" t="n">
        <v>993.23</v>
      </c>
      <c r="O380" t="n">
        <v>467.96</v>
      </c>
      <c r="P380" t="inlineStr">
        <is>
          <t>03 - CENTRO OESTE</t>
        </is>
      </c>
      <c r="Q380" t="inlineStr">
        <is>
          <t>LARISSA PADILHA</t>
        </is>
      </c>
      <c r="S380" t="inlineStr">
        <is>
          <t>42.149.466 LARISSA DA SILVA PADILHA - ME</t>
        </is>
      </c>
      <c r="T380" t="inlineStr">
        <is>
          <t>ZV - NAO APLICAVEL</t>
        </is>
      </c>
      <c r="V380" t="inlineStr">
        <is>
          <t>demais</t>
        </is>
      </c>
      <c r="W380" t="inlineStr">
        <is>
          <t>REGIÕES/GRUPOS</t>
        </is>
      </c>
    </row>
    <row r="381" ht="15" customHeight="1">
      <c r="A381" t="n">
        <v>0.176392</v>
      </c>
      <c r="B381" t="inlineStr">
        <is>
          <t>VERMELHO</t>
        </is>
      </c>
      <c r="C381" t="n">
        <v>5615.5</v>
      </c>
      <c r="D381" t="n">
        <v>990.53</v>
      </c>
      <c r="E381" t="n">
        <v>5615.5</v>
      </c>
      <c r="F381" s="6" t="n">
        <v>0.176392</v>
      </c>
      <c r="G381" t="inlineStr">
        <is>
          <t>SEM GRUPO</t>
        </is>
      </c>
      <c r="H381" t="inlineStr">
        <is>
          <t>SP</t>
        </is>
      </c>
      <c r="I381" t="n">
        <v>11947777309</v>
      </c>
      <c r="J381" t="inlineStr">
        <is>
          <t>Plano de Negócio</t>
        </is>
      </c>
      <c r="K381" t="inlineStr">
        <is>
          <t>SEM REDE</t>
        </is>
      </c>
      <c r="L381" t="inlineStr">
        <is>
          <t>SP</t>
        </is>
      </c>
      <c r="M381" t="n">
        <v>11947777309</v>
      </c>
      <c r="N381" t="n">
        <v>990.53</v>
      </c>
      <c r="O381" t="n">
        <v>467.96</v>
      </c>
      <c r="P381" t="inlineStr">
        <is>
          <t>03 - SP CAPITAL</t>
        </is>
      </c>
      <c r="Q381" t="inlineStr">
        <is>
          <t>LARISSA PADILHA</t>
        </is>
      </c>
      <c r="S381" t="inlineStr">
        <is>
          <t>42.149.466 LARISSA DA SILVA PADILHA - ME</t>
        </is>
      </c>
      <c r="T381" t="inlineStr">
        <is>
          <t>ZV - NAO APLICAVEL</t>
        </is>
      </c>
      <c r="V381" t="inlineStr">
        <is>
          <t>demais</t>
        </is>
      </c>
      <c r="W381" t="inlineStr">
        <is>
          <t>REGIÕES/GRUPOS</t>
        </is>
      </c>
    </row>
    <row r="382" ht="15" customHeight="1">
      <c r="A382" t="n">
        <v>0.090711</v>
      </c>
      <c r="B382" t="inlineStr">
        <is>
          <t>VERMELHO</t>
        </is>
      </c>
      <c r="C382" t="n">
        <v>10875</v>
      </c>
      <c r="D382" t="n">
        <v>986.48</v>
      </c>
      <c r="E382" t="n">
        <v>10875</v>
      </c>
      <c r="F382" s="6" t="n">
        <v>0.090711</v>
      </c>
      <c r="G382" t="inlineStr">
        <is>
          <t>CIA DA SAUDE</t>
        </is>
      </c>
      <c r="H382" t="inlineStr">
        <is>
          <t>SC</t>
        </is>
      </c>
      <c r="I382" t="n">
        <v>4830454219</v>
      </c>
      <c r="J382" t="inlineStr">
        <is>
          <t>Prospecção</t>
        </is>
      </c>
      <c r="K382" t="inlineStr">
        <is>
          <t>CIA DA SAUDE</t>
        </is>
      </c>
      <c r="L382" t="inlineStr">
        <is>
          <t>SC</t>
        </is>
      </c>
      <c r="M382" t="n">
        <v>4830454219</v>
      </c>
      <c r="N382" t="n">
        <v>986.48</v>
      </c>
      <c r="O382" t="n">
        <v>906.25</v>
      </c>
      <c r="P382" t="inlineStr">
        <is>
          <t>03 - NACIONAL</t>
        </is>
      </c>
      <c r="Q382" t="inlineStr">
        <is>
          <t>JULIO GADRET</t>
        </is>
      </c>
      <c r="S382" t="inlineStr">
        <is>
          <t>LG REPRESENTACOES LTDA - EPP</t>
        </is>
      </c>
      <c r="T382" t="inlineStr">
        <is>
          <t>ZV - NAO APLICAVEL</t>
        </is>
      </c>
      <c r="V382" t="inlineStr">
        <is>
          <t>demais</t>
        </is>
      </c>
      <c r="W382" t="inlineStr">
        <is>
          <t>REDES E FRANQUIAS</t>
        </is>
      </c>
    </row>
    <row r="383" ht="15" customHeight="1">
      <c r="A383" t="n">
        <v>0.173128</v>
      </c>
      <c r="B383" t="inlineStr">
        <is>
          <t>VERMELHO</t>
        </is>
      </c>
      <c r="C383" t="n">
        <v>5615.5</v>
      </c>
      <c r="D383" t="n">
        <v>972.2</v>
      </c>
      <c r="E383" t="n">
        <v>5615.5</v>
      </c>
      <c r="F383" s="6" t="n">
        <v>0.173128</v>
      </c>
      <c r="G383" t="inlineStr">
        <is>
          <t>SEM GRUPO</t>
        </is>
      </c>
      <c r="H383" t="inlineStr">
        <is>
          <t>SP</t>
        </is>
      </c>
      <c r="I383" t="n">
        <v>11992136343</v>
      </c>
      <c r="J383" t="inlineStr">
        <is>
          <t>Plano de Negócio</t>
        </is>
      </c>
      <c r="K383" t="inlineStr">
        <is>
          <t>SEM REDE</t>
        </is>
      </c>
      <c r="L383" t="inlineStr">
        <is>
          <t>SP</t>
        </is>
      </c>
      <c r="M383" t="n">
        <v>11992136343</v>
      </c>
      <c r="N383" t="n">
        <v>972.2</v>
      </c>
      <c r="O383" t="n">
        <v>467.96</v>
      </c>
      <c r="P383" t="inlineStr">
        <is>
          <t>03 - SP CAPITAL</t>
        </is>
      </c>
      <c r="Q383" t="inlineStr">
        <is>
          <t>LARISSA PADILHA</t>
        </is>
      </c>
      <c r="S383" t="inlineStr">
        <is>
          <t>ZR - NAO APLICAVEL</t>
        </is>
      </c>
      <c r="T383" t="inlineStr">
        <is>
          <t>ZV - NAO APLICAVEL</t>
        </is>
      </c>
      <c r="V383" t="inlineStr">
        <is>
          <t>demais</t>
        </is>
      </c>
      <c r="W383" t="inlineStr">
        <is>
          <t>REGIÕES/GRUPOS</t>
        </is>
      </c>
    </row>
    <row r="384" ht="15" customHeight="1">
      <c r="A384" t="n">
        <v>0.171475</v>
      </c>
      <c r="B384" t="inlineStr">
        <is>
          <t>VERMELHO</t>
        </is>
      </c>
      <c r="C384" t="n">
        <v>5615.5</v>
      </c>
      <c r="D384" t="n">
        <v>962.92</v>
      </c>
      <c r="E384" t="n">
        <v>5615.5</v>
      </c>
      <c r="F384" s="6" t="n">
        <v>0.171475</v>
      </c>
      <c r="G384" t="inlineStr">
        <is>
          <t>SEM GRUPO</t>
        </is>
      </c>
      <c r="H384" t="inlineStr">
        <is>
          <t>SP</t>
        </is>
      </c>
      <c r="I384" t="n">
        <v>11962387340</v>
      </c>
      <c r="J384" t="inlineStr">
        <is>
          <t>Plano de Negócio</t>
        </is>
      </c>
      <c r="K384" t="inlineStr">
        <is>
          <t>SEM REDE</t>
        </is>
      </c>
      <c r="L384" t="inlineStr">
        <is>
          <t>SP</t>
        </is>
      </c>
      <c r="M384" t="n">
        <v>11962387340</v>
      </c>
      <c r="N384" t="n">
        <v>962.92</v>
      </c>
      <c r="O384" t="n">
        <v>467.96</v>
      </c>
      <c r="P384" t="inlineStr">
        <is>
          <t>03 - SP INTERIOR</t>
        </is>
      </c>
      <c r="Q384" t="inlineStr">
        <is>
          <t>LARISSA PADILHA</t>
        </is>
      </c>
      <c r="S384" t="inlineStr">
        <is>
          <t>ZR - NAO APLICAVEL</t>
        </is>
      </c>
      <c r="T384" t="inlineStr">
        <is>
          <t>ZV - NAO APLICAVEL</t>
        </is>
      </c>
      <c r="V384" t="inlineStr">
        <is>
          <t>demais</t>
        </is>
      </c>
      <c r="W384" t="inlineStr">
        <is>
          <t>REGIÕES/GRUPOS</t>
        </is>
      </c>
    </row>
    <row r="385" ht="15" customHeight="1">
      <c r="A385" t="n">
        <v>0.146303</v>
      </c>
      <c r="B385" t="inlineStr">
        <is>
          <t>VERMELHO</t>
        </is>
      </c>
      <c r="C385" t="n">
        <v>6566.04</v>
      </c>
      <c r="D385" t="n">
        <v>960.63</v>
      </c>
      <c r="E385" t="n">
        <v>6566.04</v>
      </c>
      <c r="F385" s="6" t="n">
        <v>0.146303</v>
      </c>
      <c r="G385" t="inlineStr">
        <is>
          <t>DIVINA TERRA</t>
        </is>
      </c>
      <c r="H385" t="inlineStr">
        <is>
          <t>RS</t>
        </is>
      </c>
      <c r="I385" t="n">
        <v>5198059537</v>
      </c>
      <c r="J385" t="inlineStr">
        <is>
          <t>Plano de Negócio</t>
        </is>
      </c>
      <c r="K385" t="inlineStr">
        <is>
          <t>DIVINA TERRA</t>
        </is>
      </c>
      <c r="L385" t="inlineStr">
        <is>
          <t>RS</t>
        </is>
      </c>
      <c r="M385" t="n">
        <v>5198059537</v>
      </c>
      <c r="N385" t="n">
        <v>960.63</v>
      </c>
      <c r="O385" t="n">
        <v>547.17</v>
      </c>
      <c r="P385" t="inlineStr">
        <is>
          <t>03 - NACIONAL</t>
        </is>
      </c>
      <c r="Q385" t="inlineStr">
        <is>
          <t>DAIANE STAVICKI</t>
        </is>
      </c>
      <c r="S385" t="inlineStr">
        <is>
          <t>ZR - NAO APLICAVEL</t>
        </is>
      </c>
      <c r="T385" t="inlineStr">
        <is>
          <t>ZV - NAO APLICAVEL</t>
        </is>
      </c>
      <c r="V385" t="inlineStr">
        <is>
          <t>demais</t>
        </is>
      </c>
      <c r="W385" t="inlineStr">
        <is>
          <t>REDES E FRANQUIAS</t>
        </is>
      </c>
    </row>
    <row r="386" ht="15" customHeight="1">
      <c r="A386" t="n">
        <v>0.170834</v>
      </c>
      <c r="B386" t="inlineStr">
        <is>
          <t>VERMELHO</t>
        </is>
      </c>
      <c r="C386" t="n">
        <v>5615.5</v>
      </c>
      <c r="D386" t="n">
        <v>959.3200000000001</v>
      </c>
      <c r="E386" t="n">
        <v>5615.5</v>
      </c>
      <c r="F386" s="6" t="n">
        <v>0.170834</v>
      </c>
      <c r="G386" t="inlineStr">
        <is>
          <t>SEM GRUPO</t>
        </is>
      </c>
      <c r="H386" t="inlineStr">
        <is>
          <t>PR</t>
        </is>
      </c>
      <c r="I386" t="n">
        <v>44303935354</v>
      </c>
      <c r="J386" t="inlineStr">
        <is>
          <t>Plano de Negócio</t>
        </is>
      </c>
      <c r="K386" t="inlineStr">
        <is>
          <t>SEM REDE</t>
        </is>
      </c>
      <c r="L386" t="inlineStr">
        <is>
          <t>PR</t>
        </is>
      </c>
      <c r="M386" t="n">
        <v>44303935354</v>
      </c>
      <c r="N386" t="n">
        <v>959.3200000000001</v>
      </c>
      <c r="O386" t="n">
        <v>467.96</v>
      </c>
      <c r="P386" t="inlineStr">
        <is>
          <t>03 - SUL</t>
        </is>
      </c>
      <c r="Q386" t="inlineStr">
        <is>
          <t>HEMANUELE DITZEL (MANU)</t>
        </is>
      </c>
      <c r="S386" t="inlineStr">
        <is>
          <t>ZR - NAO APLICAVEL</t>
        </is>
      </c>
      <c r="T386" t="inlineStr">
        <is>
          <t>HEMANUELE ROSA DITZEL</t>
        </is>
      </c>
      <c r="V386" t="inlineStr">
        <is>
          <t>demais</t>
        </is>
      </c>
      <c r="W386" t="inlineStr">
        <is>
          <t>REGIÕES/GRUPOS</t>
        </is>
      </c>
    </row>
    <row r="387" ht="15" customHeight="1">
      <c r="A387" t="n">
        <v>0.132479</v>
      </c>
      <c r="B387" t="inlineStr">
        <is>
          <t>VERMELHO</t>
        </is>
      </c>
      <c r="C387" t="n">
        <v>7200</v>
      </c>
      <c r="D387" t="n">
        <v>953.85</v>
      </c>
      <c r="E387" t="n">
        <v>7200</v>
      </c>
      <c r="F387" s="6" t="n">
        <v>0.132479</v>
      </c>
      <c r="G387" t="inlineStr">
        <is>
          <t>PROSAUDE</t>
        </is>
      </c>
      <c r="H387" t="inlineStr">
        <is>
          <t>PA</t>
        </is>
      </c>
      <c r="I387" t="n">
        <v>9381170535</v>
      </c>
      <c r="J387" t="inlineStr">
        <is>
          <t>Plano de Negócio</t>
        </is>
      </c>
      <c r="K387" t="inlineStr">
        <is>
          <t>SEM REDE</t>
        </is>
      </c>
      <c r="L387" t="inlineStr">
        <is>
          <t>PA</t>
        </is>
      </c>
      <c r="M387" t="n">
        <v>9381170535</v>
      </c>
      <c r="N387" t="n">
        <v>953.85</v>
      </c>
      <c r="O387" t="n">
        <v>600</v>
      </c>
      <c r="P387" t="inlineStr">
        <is>
          <t>03 - NORTE + MA</t>
        </is>
      </c>
      <c r="Q387" t="inlineStr">
        <is>
          <t>LARISSA PADILHA</t>
        </is>
      </c>
      <c r="S387" t="inlineStr">
        <is>
          <t>ZR - NAO APLICAVEL</t>
        </is>
      </c>
      <c r="T387" t="inlineStr">
        <is>
          <t>ZV - NAO APLICAVEL</t>
        </is>
      </c>
      <c r="V387" t="inlineStr">
        <is>
          <t>demais</t>
        </is>
      </c>
      <c r="W387" t="inlineStr">
        <is>
          <t>REGIÕES/GRUPOS</t>
        </is>
      </c>
    </row>
    <row r="388" ht="15" customHeight="1">
      <c r="A388" t="n">
        <v>0.092392</v>
      </c>
      <c r="B388" t="inlineStr">
        <is>
          <t>VERMELHO</t>
        </is>
      </c>
      <c r="C388" t="n">
        <v>10200</v>
      </c>
      <c r="D388" t="n">
        <v>942.4</v>
      </c>
      <c r="E388" t="n">
        <v>10200</v>
      </c>
      <c r="F388" s="6" t="n">
        <v>0.092392</v>
      </c>
      <c r="G388" t="inlineStr">
        <is>
          <t>VIDA LEVE</t>
        </is>
      </c>
      <c r="H388" t="inlineStr">
        <is>
          <t>PR</t>
        </is>
      </c>
      <c r="I388" t="n">
        <v>14996616661</v>
      </c>
      <c r="J388" t="inlineStr">
        <is>
          <t>Prospecção</t>
        </is>
      </c>
      <c r="K388" t="inlineStr">
        <is>
          <t>VIDA LEVE</t>
        </is>
      </c>
      <c r="L388" t="inlineStr">
        <is>
          <t>PR</t>
        </is>
      </c>
      <c r="M388" t="n">
        <v>14996616661</v>
      </c>
      <c r="N388" t="n">
        <v>942.4</v>
      </c>
      <c r="O388" t="n">
        <v>850</v>
      </c>
      <c r="P388" t="inlineStr">
        <is>
          <t>03 - NACIONAL</t>
        </is>
      </c>
      <c r="Q388" t="inlineStr">
        <is>
          <t>DAIANE STAVICKI</t>
        </is>
      </c>
      <c r="S388" t="inlineStr">
        <is>
          <t>ZR - NAO APLICAVEL</t>
        </is>
      </c>
      <c r="T388" t="inlineStr">
        <is>
          <t>ZV - NAO APLICAVEL</t>
        </is>
      </c>
      <c r="V388" t="inlineStr">
        <is>
          <t>demais</t>
        </is>
      </c>
      <c r="W388" t="inlineStr">
        <is>
          <t>REDES E FRANQUIAS</t>
        </is>
      </c>
    </row>
    <row r="389" ht="15" customHeight="1">
      <c r="A389" t="n">
        <v>0.087911</v>
      </c>
      <c r="B389" t="inlineStr">
        <is>
          <t>VERMELHO</t>
        </is>
      </c>
      <c r="C389" t="n">
        <v>10706.9</v>
      </c>
      <c r="D389" t="n">
        <v>941.25</v>
      </c>
      <c r="E389" t="n">
        <v>10706.9</v>
      </c>
      <c r="F389" s="6" t="n">
        <v>0.087911</v>
      </c>
      <c r="G389" t="inlineStr">
        <is>
          <t>FITLAND</t>
        </is>
      </c>
      <c r="H389" t="inlineStr">
        <is>
          <t>SC</t>
        </is>
      </c>
      <c r="I389" t="n">
        <v>4888553393</v>
      </c>
      <c r="J389" t="inlineStr">
        <is>
          <t>Prospecção</t>
        </is>
      </c>
      <c r="K389" t="inlineStr">
        <is>
          <t>FITLAND</t>
        </is>
      </c>
      <c r="L389" t="inlineStr">
        <is>
          <t>SC</t>
        </is>
      </c>
      <c r="M389" t="n">
        <v>4888553393</v>
      </c>
      <c r="N389" t="n">
        <v>941.25</v>
      </c>
      <c r="O389" t="n">
        <v>892.24</v>
      </c>
      <c r="P389" t="inlineStr">
        <is>
          <t>03 - NACIONAL</t>
        </is>
      </c>
      <c r="Q389" t="inlineStr">
        <is>
          <t>JULIO GADRET</t>
        </is>
      </c>
      <c r="S389" t="inlineStr">
        <is>
          <t>LG REPRESENTACOES LTDA - EPP</t>
        </is>
      </c>
      <c r="T389" t="inlineStr">
        <is>
          <t>ZV - NAO APLICAVEL</t>
        </is>
      </c>
      <c r="V389" t="inlineStr">
        <is>
          <t>demais</t>
        </is>
      </c>
      <c r="W389" t="inlineStr">
        <is>
          <t>REDES E FRANQUIAS</t>
        </is>
      </c>
    </row>
    <row r="390" ht="15" customHeight="1">
      <c r="A390" t="n">
        <v>0.167452</v>
      </c>
      <c r="B390" t="inlineStr">
        <is>
          <t>VERMELHO</t>
        </is>
      </c>
      <c r="C390" t="n">
        <v>5615.5</v>
      </c>
      <c r="D390" t="n">
        <v>940.33</v>
      </c>
      <c r="E390" t="n">
        <v>5615.5</v>
      </c>
      <c r="F390" s="6" t="n">
        <v>0.167452</v>
      </c>
      <c r="G390" t="inlineStr">
        <is>
          <t>SEM GRUPO</t>
        </is>
      </c>
      <c r="H390" t="inlineStr">
        <is>
          <t>SP</t>
        </is>
      </c>
      <c r="I390" t="n">
        <v>17992119555</v>
      </c>
      <c r="J390" t="inlineStr">
        <is>
          <t>Plano de Negócio</t>
        </is>
      </c>
      <c r="K390" t="inlineStr">
        <is>
          <t>SEM REDE</t>
        </is>
      </c>
      <c r="L390" t="inlineStr">
        <is>
          <t>SP</t>
        </is>
      </c>
      <c r="M390" t="n">
        <v>17992119555</v>
      </c>
      <c r="N390" t="n">
        <v>940.33</v>
      </c>
      <c r="O390" t="n">
        <v>467.96</v>
      </c>
      <c r="P390" t="inlineStr">
        <is>
          <t>03 - SP INTERIOR</t>
        </is>
      </c>
      <c r="Q390" t="inlineStr">
        <is>
          <t>LARISSA PADILHA</t>
        </is>
      </c>
      <c r="S390" t="inlineStr">
        <is>
          <t>42.149.466 LARISSA DA SILVA PADILHA - ME</t>
        </is>
      </c>
      <c r="T390" t="inlineStr">
        <is>
          <t>ZV - NAO APLICAVEL</t>
        </is>
      </c>
      <c r="V390" t="inlineStr">
        <is>
          <t>demais</t>
        </is>
      </c>
      <c r="W390" t="inlineStr">
        <is>
          <t>REGIÕES/GRUPOS</t>
        </is>
      </c>
    </row>
    <row r="391" ht="15" customHeight="1">
      <c r="A391" t="n">
        <v>0.166835</v>
      </c>
      <c r="B391" t="inlineStr">
        <is>
          <t>VERMELHO</t>
        </is>
      </c>
      <c r="C391" t="n">
        <v>5615.5</v>
      </c>
      <c r="D391" t="n">
        <v>936.86</v>
      </c>
      <c r="E391" t="n">
        <v>5615.5</v>
      </c>
      <c r="F391" s="6" t="n">
        <v>0.166835</v>
      </c>
      <c r="G391" t="inlineStr">
        <is>
          <t>SEM GRUPO</t>
        </is>
      </c>
      <c r="H391" t="inlineStr">
        <is>
          <t>SC</t>
        </is>
      </c>
      <c r="I391" t="n">
        <v>4791193771</v>
      </c>
      <c r="J391" t="inlineStr">
        <is>
          <t>Plano de Negócio</t>
        </is>
      </c>
      <c r="K391" t="inlineStr">
        <is>
          <t>SEM REDE</t>
        </is>
      </c>
      <c r="L391" t="inlineStr">
        <is>
          <t>SC</t>
        </is>
      </c>
      <c r="M391" t="n">
        <v>4791193771</v>
      </c>
      <c r="N391" t="n">
        <v>936.86</v>
      </c>
      <c r="O391" t="n">
        <v>467.96</v>
      </c>
      <c r="P391" t="inlineStr">
        <is>
          <t>03 - SUL</t>
        </is>
      </c>
      <c r="Q391" t="inlineStr">
        <is>
          <t>HEMANUELE DITZEL (MANU)</t>
        </is>
      </c>
      <c r="S391" t="inlineStr">
        <is>
          <t>ZR - NAO APLICAVEL</t>
        </is>
      </c>
      <c r="T391" t="inlineStr">
        <is>
          <t>ZV - NAO APLICAVEL</t>
        </is>
      </c>
      <c r="V391" t="inlineStr">
        <is>
          <t>demais</t>
        </is>
      </c>
      <c r="W391" t="inlineStr">
        <is>
          <t>REGIÕES/GRUPOS</t>
        </is>
      </c>
    </row>
    <row r="392" ht="15" customHeight="1">
      <c r="A392" t="n">
        <v>0.09107899999999999</v>
      </c>
      <c r="B392" t="inlineStr">
        <is>
          <t>VERMELHO</t>
        </is>
      </c>
      <c r="C392" t="n">
        <v>10200</v>
      </c>
      <c r="D392" t="n">
        <v>929.01</v>
      </c>
      <c r="E392" t="n">
        <v>10200</v>
      </c>
      <c r="F392" s="6" t="n">
        <v>0.09107899999999999</v>
      </c>
      <c r="G392" t="inlineStr">
        <is>
          <t>VIDA LEVE</t>
        </is>
      </c>
      <c r="H392" t="inlineStr">
        <is>
          <t>BA</t>
        </is>
      </c>
      <c r="I392" t="n">
        <v>7399407732</v>
      </c>
      <c r="J392" t="inlineStr">
        <is>
          <t>Prospecção</t>
        </is>
      </c>
      <c r="K392" t="inlineStr">
        <is>
          <t>VIDA LEVE</t>
        </is>
      </c>
      <c r="L392" t="inlineStr">
        <is>
          <t>BA</t>
        </is>
      </c>
      <c r="M392" t="n">
        <v>7399407732</v>
      </c>
      <c r="N392" t="n">
        <v>929.01</v>
      </c>
      <c r="O392" t="n">
        <v>850</v>
      </c>
      <c r="P392" t="inlineStr">
        <is>
          <t>03 - NACIONAL</t>
        </is>
      </c>
      <c r="Q392" t="inlineStr">
        <is>
          <t>DAIANE STAVICKI</t>
        </is>
      </c>
      <c r="S392" t="inlineStr">
        <is>
          <t>ZR - NAO APLICAVEL</t>
        </is>
      </c>
      <c r="T392" t="inlineStr">
        <is>
          <t>ZV - NAO APLICAVEL</t>
        </is>
      </c>
      <c r="V392" t="inlineStr">
        <is>
          <t>demais</t>
        </is>
      </c>
      <c r="W392" t="inlineStr">
        <is>
          <t>REDES E FRANQUIAS</t>
        </is>
      </c>
    </row>
    <row r="393" ht="15" customHeight="1">
      <c r="A393" t="n">
        <v>0.164512</v>
      </c>
      <c r="B393" t="inlineStr">
        <is>
          <t>VERMELHO</t>
        </is>
      </c>
      <c r="C393" t="n">
        <v>5615.5</v>
      </c>
      <c r="D393" t="n">
        <v>923.8200000000001</v>
      </c>
      <c r="E393" t="n">
        <v>5615.5</v>
      </c>
      <c r="F393" s="6" t="n">
        <v>0.164512</v>
      </c>
      <c r="G393" t="inlineStr">
        <is>
          <t>SEM GRUPO</t>
        </is>
      </c>
      <c r="H393" t="inlineStr">
        <is>
          <t>SP</t>
        </is>
      </c>
      <c r="I393" t="n">
        <v>16993154374</v>
      </c>
      <c r="J393" t="inlineStr">
        <is>
          <t>Plano de Negócio</t>
        </is>
      </c>
      <c r="K393" t="inlineStr">
        <is>
          <t>SEM REDE</t>
        </is>
      </c>
      <c r="L393" t="inlineStr">
        <is>
          <t>SP</t>
        </is>
      </c>
      <c r="M393" t="n">
        <v>16993154374</v>
      </c>
      <c r="N393" t="n">
        <v>923.8200000000001</v>
      </c>
      <c r="O393" t="n">
        <v>467.96</v>
      </c>
      <c r="P393" t="inlineStr">
        <is>
          <t>03 - SP INTERIOR</t>
        </is>
      </c>
      <c r="Q393" t="inlineStr">
        <is>
          <t>LARISSA PADILHA</t>
        </is>
      </c>
      <c r="S393" t="inlineStr">
        <is>
          <t>42.149.466 LARISSA DA SILVA PADILHA - ME</t>
        </is>
      </c>
      <c r="T393" t="inlineStr">
        <is>
          <t>ZV - NAO APLICAVEL</t>
        </is>
      </c>
      <c r="V393" t="inlineStr">
        <is>
          <t>demais</t>
        </is>
      </c>
      <c r="W393" t="inlineStr">
        <is>
          <t>REGIÕES/GRUPOS</t>
        </is>
      </c>
    </row>
    <row r="394" ht="15" customHeight="1">
      <c r="A394" t="n">
        <v>0.155142</v>
      </c>
      <c r="B394" t="inlineStr">
        <is>
          <t>VERMELHO</t>
        </is>
      </c>
      <c r="C394" t="n">
        <v>5615.5</v>
      </c>
      <c r="D394" t="n">
        <v>871.2</v>
      </c>
      <c r="E394" t="n">
        <v>5615.5</v>
      </c>
      <c r="F394" s="6" t="n">
        <v>0.155142</v>
      </c>
      <c r="G394" t="inlineStr">
        <is>
          <t>SEM GRUPO</t>
        </is>
      </c>
      <c r="H394" t="inlineStr">
        <is>
          <t>GO</t>
        </is>
      </c>
      <c r="I394" t="n">
        <v>62995679045</v>
      </c>
      <c r="J394" t="inlineStr">
        <is>
          <t>Plano de Negócio</t>
        </is>
      </c>
      <c r="K394" t="inlineStr">
        <is>
          <t>SEM REDE</t>
        </is>
      </c>
      <c r="L394" t="inlineStr">
        <is>
          <t>GO</t>
        </is>
      </c>
      <c r="M394" t="n">
        <v>62995679045</v>
      </c>
      <c r="N394" t="n">
        <v>871.2</v>
      </c>
      <c r="O394" t="n">
        <v>467.96</v>
      </c>
      <c r="P394" t="inlineStr">
        <is>
          <t>03 - CENTRO OESTE</t>
        </is>
      </c>
      <c r="Q394" t="inlineStr">
        <is>
          <t>LARISSA PADILHA</t>
        </is>
      </c>
      <c r="S394" t="inlineStr">
        <is>
          <t>ZR - NAO APLICAVEL</t>
        </is>
      </c>
      <c r="T394" t="inlineStr">
        <is>
          <t>ZV - NAO APLICAVEL</t>
        </is>
      </c>
      <c r="V394" t="inlineStr">
        <is>
          <t>demais</t>
        </is>
      </c>
      <c r="W394" t="inlineStr">
        <is>
          <t>REGIÕES/GRUPOS</t>
        </is>
      </c>
    </row>
    <row r="395" ht="15" customHeight="1">
      <c r="A395" t="n">
        <v>0.154918</v>
      </c>
      <c r="B395" t="inlineStr">
        <is>
          <t>VERMELHO</t>
        </is>
      </c>
      <c r="C395" t="n">
        <v>5615.5</v>
      </c>
      <c r="D395" t="n">
        <v>869.9400000000001</v>
      </c>
      <c r="E395" t="n">
        <v>5615.5</v>
      </c>
      <c r="F395" s="6" t="n">
        <v>0.154918</v>
      </c>
      <c r="G395" t="inlineStr">
        <is>
          <t>SEM GRUPO</t>
        </is>
      </c>
      <c r="H395" t="inlineStr">
        <is>
          <t>SC</t>
        </is>
      </c>
      <c r="I395" t="n">
        <v>49991094461</v>
      </c>
      <c r="J395" t="inlineStr">
        <is>
          <t>Plano de Negócio</t>
        </is>
      </c>
      <c r="K395" t="inlineStr">
        <is>
          <t>SEM REDE</t>
        </is>
      </c>
      <c r="L395" t="inlineStr">
        <is>
          <t>SC</t>
        </is>
      </c>
      <c r="M395" t="n">
        <v>49991094461</v>
      </c>
      <c r="N395" t="n">
        <v>869.9400000000001</v>
      </c>
      <c r="O395" t="n">
        <v>467.96</v>
      </c>
      <c r="P395" t="inlineStr">
        <is>
          <t>03 - SUL</t>
        </is>
      </c>
      <c r="Q395" t="inlineStr">
        <is>
          <t>HEMANUELE DITZEL (MANU)</t>
        </is>
      </c>
      <c r="S395" t="inlineStr">
        <is>
          <t>ZR - NAO APLICAVEL</t>
        </is>
      </c>
      <c r="T395" t="inlineStr">
        <is>
          <t>HEMANUELE ROSA DITZEL</t>
        </is>
      </c>
      <c r="V395" t="inlineStr">
        <is>
          <t>demais</t>
        </is>
      </c>
      <c r="W395" t="inlineStr">
        <is>
          <t>REGIÕES/GRUPOS</t>
        </is>
      </c>
    </row>
    <row r="396" ht="15" customHeight="1">
      <c r="A396" t="n">
        <v>0.097291</v>
      </c>
      <c r="B396" t="inlineStr">
        <is>
          <t>VERMELHO</t>
        </is>
      </c>
      <c r="C396" t="n">
        <v>8833.33</v>
      </c>
      <c r="D396" t="n">
        <v>859.4</v>
      </c>
      <c r="E396" t="n">
        <v>8833.33</v>
      </c>
      <c r="F396" s="6" t="n">
        <v>0.097291</v>
      </c>
      <c r="G396" t="inlineStr">
        <is>
          <t>TUDO EM GRAOS / VGA</t>
        </is>
      </c>
      <c r="H396" t="inlineStr">
        <is>
          <t>RS</t>
        </is>
      </c>
      <c r="I396" t="n">
        <v>5430289041</v>
      </c>
      <c r="J396" t="inlineStr">
        <is>
          <t>Prospecção</t>
        </is>
      </c>
      <c r="K396" t="inlineStr">
        <is>
          <t>TUDO EM GRAOS</t>
        </is>
      </c>
      <c r="L396" t="inlineStr">
        <is>
          <t>RS</t>
        </is>
      </c>
      <c r="M396" t="n">
        <v>5430289041</v>
      </c>
      <c r="N396" t="n">
        <v>859.4</v>
      </c>
      <c r="O396" t="n">
        <v>736.11</v>
      </c>
      <c r="P396" t="inlineStr">
        <is>
          <t>03 - NACIONAL</t>
        </is>
      </c>
      <c r="Q396" t="inlineStr">
        <is>
          <t>DAIANE STAVICKI</t>
        </is>
      </c>
      <c r="S396" t="inlineStr">
        <is>
          <t>ZR - NAO APLICAVEL</t>
        </is>
      </c>
      <c r="T396" t="inlineStr">
        <is>
          <t>ZV - NAO APLICAVEL</t>
        </is>
      </c>
      <c r="V396" t="inlineStr">
        <is>
          <t>demais</t>
        </is>
      </c>
      <c r="W396" t="inlineStr">
        <is>
          <t>REDES E FRANQUIAS</t>
        </is>
      </c>
    </row>
    <row r="397" ht="15" customHeight="1">
      <c r="A397" t="n">
        <v>0.152859</v>
      </c>
      <c r="B397" t="inlineStr">
        <is>
          <t>VERMELHO</t>
        </is>
      </c>
      <c r="C397" t="n">
        <v>5615.5</v>
      </c>
      <c r="D397" t="n">
        <v>858.38</v>
      </c>
      <c r="E397" t="n">
        <v>5615.5</v>
      </c>
      <c r="F397" s="6" t="n">
        <v>0.152859</v>
      </c>
      <c r="G397" t="inlineStr">
        <is>
          <t>SEM GRUPO</t>
        </is>
      </c>
      <c r="H397" t="inlineStr">
        <is>
          <t>PR</t>
        </is>
      </c>
      <c r="I397" t="n">
        <v>43991478823</v>
      </c>
      <c r="J397" t="inlineStr">
        <is>
          <t>Plano de Negócio</t>
        </is>
      </c>
      <c r="K397" t="inlineStr">
        <is>
          <t>SEM REDE</t>
        </is>
      </c>
      <c r="L397" t="inlineStr">
        <is>
          <t>PR</t>
        </is>
      </c>
      <c r="M397" t="n">
        <v>43991478823</v>
      </c>
      <c r="N397" t="n">
        <v>858.38</v>
      </c>
      <c r="O397" t="n">
        <v>467.96</v>
      </c>
      <c r="P397" t="inlineStr">
        <is>
          <t>03 - SUL</t>
        </is>
      </c>
      <c r="Q397" t="inlineStr">
        <is>
          <t>HEMANUELE DITZEL (MANU)</t>
        </is>
      </c>
      <c r="S397" t="inlineStr">
        <is>
          <t>ZR - NAO APLICAVEL</t>
        </is>
      </c>
      <c r="T397" t="inlineStr">
        <is>
          <t>HEMANUELE ROSA DITZEL</t>
        </is>
      </c>
      <c r="V397" t="inlineStr">
        <is>
          <t>demais</t>
        </is>
      </c>
      <c r="W397" t="inlineStr">
        <is>
          <t>REGIÕES/GRUPOS</t>
        </is>
      </c>
    </row>
    <row r="398" ht="15" customHeight="1">
      <c r="A398" t="n">
        <v>0.128894</v>
      </c>
      <c r="B398" t="inlineStr">
        <is>
          <t>VERMELHO</t>
        </is>
      </c>
      <c r="C398" t="n">
        <v>6566.04</v>
      </c>
      <c r="D398" t="n">
        <v>846.3200000000001</v>
      </c>
      <c r="E398" t="n">
        <v>6566.04</v>
      </c>
      <c r="F398" s="6" t="n">
        <v>0.128894</v>
      </c>
      <c r="G398" t="inlineStr">
        <is>
          <t>DIVINA TERRA</t>
        </is>
      </c>
      <c r="H398" t="inlineStr">
        <is>
          <t>RS</t>
        </is>
      </c>
      <c r="I398" t="n">
        <v>5198059537</v>
      </c>
      <c r="J398" t="inlineStr">
        <is>
          <t>Plano de Negócio</t>
        </is>
      </c>
      <c r="K398" t="inlineStr">
        <is>
          <t>DIVINA TERRA</t>
        </is>
      </c>
      <c r="L398" t="inlineStr">
        <is>
          <t>RS</t>
        </is>
      </c>
      <c r="M398" t="n">
        <v>5198059537</v>
      </c>
      <c r="N398" t="n">
        <v>846.3200000000001</v>
      </c>
      <c r="O398" t="n">
        <v>547.17</v>
      </c>
      <c r="P398" t="inlineStr">
        <is>
          <t>03 - NACIONAL</t>
        </is>
      </c>
      <c r="Q398" t="inlineStr">
        <is>
          <t>DAIANE STAVICKI</t>
        </is>
      </c>
      <c r="S398" t="inlineStr">
        <is>
          <t>ZR - NAO APLICAVEL</t>
        </is>
      </c>
      <c r="T398" t="inlineStr">
        <is>
          <t>ZV - NAO APLICAVEL</t>
        </is>
      </c>
      <c r="V398" t="inlineStr">
        <is>
          <t>demais</t>
        </is>
      </c>
      <c r="W398" t="inlineStr">
        <is>
          <t>REDES E FRANQUIAS</t>
        </is>
      </c>
    </row>
    <row r="399" ht="15" customHeight="1">
      <c r="A399" t="n">
        <v>0.150654</v>
      </c>
      <c r="B399" t="inlineStr">
        <is>
          <t>VERMELHO</t>
        </is>
      </c>
      <c r="C399" t="n">
        <v>5615.5</v>
      </c>
      <c r="D399" t="n">
        <v>846</v>
      </c>
      <c r="E399" t="n">
        <v>5615.5</v>
      </c>
      <c r="F399" s="6" t="n">
        <v>0.150654</v>
      </c>
      <c r="G399" t="inlineStr">
        <is>
          <t>SEM GRUPO</t>
        </is>
      </c>
      <c r="H399" t="inlineStr">
        <is>
          <t>SP</t>
        </is>
      </c>
      <c r="I399" t="n">
        <v>1138191933</v>
      </c>
      <c r="J399" t="inlineStr">
        <is>
          <t>Plano de Negócio</t>
        </is>
      </c>
      <c r="K399" t="inlineStr">
        <is>
          <t>SEM REDE</t>
        </is>
      </c>
      <c r="L399" t="inlineStr">
        <is>
          <t>SP</t>
        </is>
      </c>
      <c r="M399" t="n">
        <v>1138191933</v>
      </c>
      <c r="N399" t="n">
        <v>846</v>
      </c>
      <c r="O399" t="n">
        <v>467.96</v>
      </c>
      <c r="P399" t="inlineStr">
        <is>
          <t>03 - SP CAPITAL</t>
        </is>
      </c>
      <c r="Q399" t="inlineStr">
        <is>
          <t>LARISSA PADILHA</t>
        </is>
      </c>
      <c r="S399" t="inlineStr">
        <is>
          <t>42.149.466 LARISSA DA SILVA PADILHA - ME</t>
        </is>
      </c>
      <c r="T399" t="inlineStr">
        <is>
          <t>ZV - NAO APLICAVEL</t>
        </is>
      </c>
      <c r="V399" t="inlineStr">
        <is>
          <t>demais</t>
        </is>
      </c>
      <c r="W399" t="inlineStr">
        <is>
          <t>REGIÕES/GRUPOS</t>
        </is>
      </c>
    </row>
    <row r="400" ht="15" customHeight="1">
      <c r="A400" t="n">
        <v>0.148818</v>
      </c>
      <c r="B400" t="inlineStr">
        <is>
          <t>VERMELHO</t>
        </is>
      </c>
      <c r="C400" t="n">
        <v>5615.5</v>
      </c>
      <c r="D400" t="n">
        <v>835.6900000000001</v>
      </c>
      <c r="E400" t="n">
        <v>5615.5</v>
      </c>
      <c r="F400" s="6" t="n">
        <v>0.148818</v>
      </c>
      <c r="G400" t="inlineStr">
        <is>
          <t>SEM GRUPO</t>
        </is>
      </c>
      <c r="H400" t="inlineStr">
        <is>
          <t>SP</t>
        </is>
      </c>
      <c r="I400" t="n">
        <v>11964067326</v>
      </c>
      <c r="J400" t="inlineStr">
        <is>
          <t>Plano de Negócio</t>
        </is>
      </c>
      <c r="K400" t="inlineStr">
        <is>
          <t>SEM REDE</t>
        </is>
      </c>
      <c r="L400" t="inlineStr">
        <is>
          <t>SP</t>
        </is>
      </c>
      <c r="M400" t="n">
        <v>11964067326</v>
      </c>
      <c r="N400" t="n">
        <v>835.6900000000001</v>
      </c>
      <c r="O400" t="n">
        <v>467.96</v>
      </c>
      <c r="P400" t="inlineStr">
        <is>
          <t>03 - SP CAPITAL</t>
        </is>
      </c>
      <c r="Q400" t="inlineStr">
        <is>
          <t>HEMANUELE DITZEL (MANU)</t>
        </is>
      </c>
      <c r="S400" t="inlineStr">
        <is>
          <t>ZR - NAO APLICAVEL</t>
        </is>
      </c>
      <c r="T400" t="inlineStr">
        <is>
          <t>HEMANUELE ROSA DITZEL</t>
        </is>
      </c>
      <c r="V400" t="inlineStr">
        <is>
          <t>demais</t>
        </is>
      </c>
      <c r="W400" t="inlineStr">
        <is>
          <t>REGIÕES/GRUPOS</t>
        </is>
      </c>
    </row>
    <row r="401" ht="15" customHeight="1">
      <c r="A401" t="n">
        <v>0.147944</v>
      </c>
      <c r="B401" t="inlineStr">
        <is>
          <t>VERMELHO</t>
        </is>
      </c>
      <c r="C401" t="n">
        <v>5615.5</v>
      </c>
      <c r="D401" t="n">
        <v>830.78</v>
      </c>
      <c r="E401" t="n">
        <v>5615.5</v>
      </c>
      <c r="F401" s="6" t="n">
        <v>0.147944</v>
      </c>
      <c r="G401" t="inlineStr">
        <is>
          <t>SEM GRUPO</t>
        </is>
      </c>
      <c r="H401" t="inlineStr">
        <is>
          <t>PB</t>
        </is>
      </c>
      <c r="I401" t="n">
        <v>8399404210</v>
      </c>
      <c r="J401" t="inlineStr">
        <is>
          <t>Plano de Negócio</t>
        </is>
      </c>
      <c r="K401" t="inlineStr">
        <is>
          <t>SEM REDE</t>
        </is>
      </c>
      <c r="L401" t="inlineStr">
        <is>
          <t>PB</t>
        </is>
      </c>
      <c r="M401" t="n">
        <v>8399404210</v>
      </c>
      <c r="N401" t="n">
        <v>830.78</v>
      </c>
      <c r="O401" t="n">
        <v>467.96</v>
      </c>
      <c r="P401" t="inlineStr">
        <is>
          <t>03 - NORDESTE (SEM MA)</t>
        </is>
      </c>
      <c r="Q401" t="inlineStr">
        <is>
          <t>LARISSA PADILHA</t>
        </is>
      </c>
      <c r="S401" t="inlineStr">
        <is>
          <t>42.149.466 LARISSA DA SILVA PADILHA - ME</t>
        </is>
      </c>
      <c r="T401" t="inlineStr">
        <is>
          <t>ZV - NAO APLICAVEL</t>
        </is>
      </c>
      <c r="V401" t="inlineStr">
        <is>
          <t>demais</t>
        </is>
      </c>
      <c r="W401" t="inlineStr">
        <is>
          <t>REGIÕES/GRUPOS</t>
        </is>
      </c>
    </row>
    <row r="402" ht="15" customHeight="1">
      <c r="A402" t="n">
        <v>0.147531</v>
      </c>
      <c r="B402" t="inlineStr">
        <is>
          <t>VERMELHO</t>
        </is>
      </c>
      <c r="C402" t="n">
        <v>5615.5</v>
      </c>
      <c r="D402" t="n">
        <v>828.46</v>
      </c>
      <c r="E402" t="n">
        <v>5615.5</v>
      </c>
      <c r="F402" s="6" t="n">
        <v>0.147531</v>
      </c>
      <c r="G402" t="inlineStr">
        <is>
          <t>SEM GRUPO</t>
        </is>
      </c>
      <c r="H402" t="inlineStr">
        <is>
          <t>PE</t>
        </is>
      </c>
      <c r="I402" t="n">
        <v>81984682343</v>
      </c>
      <c r="J402" t="inlineStr">
        <is>
          <t>Plano de Negócio</t>
        </is>
      </c>
      <c r="K402" t="inlineStr">
        <is>
          <t>SEM REDE</t>
        </is>
      </c>
      <c r="L402" t="inlineStr">
        <is>
          <t>PE</t>
        </is>
      </c>
      <c r="M402" t="n">
        <v>81984682343</v>
      </c>
      <c r="N402" t="n">
        <v>828.46</v>
      </c>
      <c r="O402" t="n">
        <v>467.96</v>
      </c>
      <c r="P402" t="inlineStr">
        <is>
          <t>03 - NORDESTE (SEM MA)</t>
        </is>
      </c>
      <c r="Q402" t="inlineStr">
        <is>
          <t>LARISSA PADILHA</t>
        </is>
      </c>
      <c r="S402" t="inlineStr">
        <is>
          <t>42.149.466 LARISSA DA SILVA PADILHA - ME</t>
        </is>
      </c>
      <c r="T402" t="inlineStr">
        <is>
          <t>ZV - NAO APLICAVEL</t>
        </is>
      </c>
      <c r="V402" t="inlineStr">
        <is>
          <t>demais</t>
        </is>
      </c>
      <c r="W402" t="inlineStr">
        <is>
          <t>REGIÕES/GRUPOS</t>
        </is>
      </c>
    </row>
    <row r="403" ht="15" customHeight="1">
      <c r="A403" t="n">
        <v>0.146968</v>
      </c>
      <c r="B403" t="inlineStr">
        <is>
          <t>VERMELHO</t>
        </is>
      </c>
      <c r="C403" t="n">
        <v>5615.5</v>
      </c>
      <c r="D403" t="n">
        <v>825.3</v>
      </c>
      <c r="E403" t="n">
        <v>5615.5</v>
      </c>
      <c r="F403" s="6" t="n">
        <v>0.146968</v>
      </c>
      <c r="G403" t="inlineStr">
        <is>
          <t>SEM GRUPO</t>
        </is>
      </c>
      <c r="H403" t="inlineStr">
        <is>
          <t>SC</t>
        </is>
      </c>
      <c r="I403" t="n">
        <v>48326680374</v>
      </c>
      <c r="J403" t="inlineStr">
        <is>
          <t>Plano de Negócio</t>
        </is>
      </c>
      <c r="K403" t="inlineStr">
        <is>
          <t>SEM REDE</t>
        </is>
      </c>
      <c r="L403" t="inlineStr">
        <is>
          <t>SC</t>
        </is>
      </c>
      <c r="M403" t="n">
        <v>48326680374</v>
      </c>
      <c r="N403" t="n">
        <v>825.3</v>
      </c>
      <c r="O403" t="n">
        <v>467.96</v>
      </c>
      <c r="P403" t="inlineStr">
        <is>
          <t>03 - SUL</t>
        </is>
      </c>
      <c r="Q403" t="inlineStr">
        <is>
          <t>HEMANUELE DITZEL (MANU)</t>
        </is>
      </c>
      <c r="S403" t="inlineStr">
        <is>
          <t>ZR - NAO APLICAVEL</t>
        </is>
      </c>
      <c r="T403" t="inlineStr">
        <is>
          <t>HEMANUELE ROSA DITZEL</t>
        </is>
      </c>
      <c r="V403" t="inlineStr">
        <is>
          <t>demais</t>
        </is>
      </c>
      <c r="W403" t="inlineStr">
        <is>
          <t>REGIÕES/GRUPOS</t>
        </is>
      </c>
    </row>
    <row r="404" ht="15" customHeight="1">
      <c r="A404" t="n">
        <v>0.146859</v>
      </c>
      <c r="B404" t="inlineStr">
        <is>
          <t>VERMELHO</t>
        </is>
      </c>
      <c r="C404" t="n">
        <v>5615.5</v>
      </c>
      <c r="D404" t="n">
        <v>824.6900000000001</v>
      </c>
      <c r="E404" t="n">
        <v>5615.5</v>
      </c>
      <c r="F404" s="6" t="n">
        <v>0.146859</v>
      </c>
      <c r="G404" t="inlineStr">
        <is>
          <t>SEM GRUPO</t>
        </is>
      </c>
      <c r="H404" t="inlineStr">
        <is>
          <t>SC</t>
        </is>
      </c>
      <c r="I404" t="n">
        <v>47984977786</v>
      </c>
      <c r="J404" t="inlineStr">
        <is>
          <t>Plano de Negócio</t>
        </is>
      </c>
      <c r="K404" t="inlineStr">
        <is>
          <t>SEM REDE</t>
        </is>
      </c>
      <c r="L404" t="inlineStr">
        <is>
          <t>SC</t>
        </is>
      </c>
      <c r="M404" t="n">
        <v>47984977786</v>
      </c>
      <c r="N404" t="n">
        <v>824.6900000000001</v>
      </c>
      <c r="O404" t="n">
        <v>467.96</v>
      </c>
      <c r="P404" t="inlineStr">
        <is>
          <t>03 - SUL</t>
        </is>
      </c>
      <c r="Q404" t="inlineStr">
        <is>
          <t>HEMANUELE DITZEL (MANU)</t>
        </is>
      </c>
      <c r="S404" t="inlineStr">
        <is>
          <t>ZR - NAO APLICAVEL</t>
        </is>
      </c>
      <c r="T404" t="inlineStr">
        <is>
          <t>HEMANUELE ROSA DITZEL</t>
        </is>
      </c>
      <c r="V404" t="inlineStr">
        <is>
          <t>demais</t>
        </is>
      </c>
      <c r="W404" t="inlineStr">
        <is>
          <t>REGIÕES/GRUPOS</t>
        </is>
      </c>
    </row>
    <row r="405" ht="15" customHeight="1">
      <c r="A405" t="n">
        <v>0.14175</v>
      </c>
      <c r="B405" t="inlineStr">
        <is>
          <t>VERMELHO</t>
        </is>
      </c>
      <c r="C405" t="n">
        <v>5615.5</v>
      </c>
      <c r="D405" t="n">
        <v>796</v>
      </c>
      <c r="E405" t="n">
        <v>5615.5</v>
      </c>
      <c r="F405" s="6" t="n">
        <v>0.14175</v>
      </c>
      <c r="G405" t="inlineStr">
        <is>
          <t>SEM GRUPO</t>
        </is>
      </c>
      <c r="H405" t="inlineStr">
        <is>
          <t>RJ</t>
        </is>
      </c>
      <c r="I405" t="n">
        <v>21982480681</v>
      </c>
      <c r="J405" t="inlineStr">
        <is>
          <t>Plano de Negócio</t>
        </is>
      </c>
      <c r="K405" t="inlineStr">
        <is>
          <t>SEM REDE</t>
        </is>
      </c>
      <c r="L405" t="inlineStr">
        <is>
          <t>RJ</t>
        </is>
      </c>
      <c r="M405" t="n">
        <v>21982480681</v>
      </c>
      <c r="N405" t="n">
        <v>796</v>
      </c>
      <c r="O405" t="n">
        <v>467.96</v>
      </c>
      <c r="P405" t="inlineStr">
        <is>
          <t>03 - RJ + ES + MG</t>
        </is>
      </c>
      <c r="Q405" t="inlineStr">
        <is>
          <t>LARISSA PADILHA</t>
        </is>
      </c>
      <c r="S405" t="inlineStr">
        <is>
          <t>42.149.466 LARISSA DA SILVA PADILHA - ME</t>
        </is>
      </c>
      <c r="T405" t="inlineStr">
        <is>
          <t>ZV - NAO APLICAVEL</t>
        </is>
      </c>
      <c r="V405" t="inlineStr">
        <is>
          <t>demais</t>
        </is>
      </c>
      <c r="W405" t="inlineStr">
        <is>
          <t>REGIÕES/GRUPOS</t>
        </is>
      </c>
    </row>
    <row r="406" ht="15" customHeight="1">
      <c r="A406" t="n">
        <v>0.073891</v>
      </c>
      <c r="B406" t="inlineStr">
        <is>
          <t>VERMELHO</t>
        </is>
      </c>
      <c r="C406" t="n">
        <v>10706.9</v>
      </c>
      <c r="D406" t="n">
        <v>791.14</v>
      </c>
      <c r="E406" t="n">
        <v>10706.9</v>
      </c>
      <c r="F406" s="6" t="n">
        <v>0.073891</v>
      </c>
      <c r="G406" t="inlineStr">
        <is>
          <t>FITLAND</t>
        </is>
      </c>
      <c r="H406" t="inlineStr">
        <is>
          <t>SP</t>
        </is>
      </c>
      <c r="I406" t="n">
        <v>1183977705</v>
      </c>
      <c r="J406" t="inlineStr">
        <is>
          <t>Prospecção</t>
        </is>
      </c>
      <c r="K406" t="inlineStr">
        <is>
          <t>FITLAND</t>
        </is>
      </c>
      <c r="L406" t="inlineStr">
        <is>
          <t>SP</t>
        </is>
      </c>
      <c r="M406" t="n">
        <v>1183977705</v>
      </c>
      <c r="N406" t="n">
        <v>791.14</v>
      </c>
      <c r="O406" t="n">
        <v>892.24</v>
      </c>
      <c r="P406" t="inlineStr">
        <is>
          <t>03 - NACIONAL</t>
        </is>
      </c>
      <c r="Q406" t="inlineStr">
        <is>
          <t>JULIO GADRET</t>
        </is>
      </c>
      <c r="S406" t="inlineStr">
        <is>
          <t>ZR - NAO APLICAVEL</t>
        </is>
      </c>
      <c r="T406" t="inlineStr">
        <is>
          <t>ZV - NAO APLICAVEL</t>
        </is>
      </c>
      <c r="V406" t="inlineStr">
        <is>
          <t>demais</t>
        </is>
      </c>
      <c r="W406" t="inlineStr">
        <is>
          <t>REDES E FRANQUIAS</t>
        </is>
      </c>
    </row>
    <row r="407" ht="15" customHeight="1">
      <c r="A407" t="n">
        <v>0.137833</v>
      </c>
      <c r="B407" t="inlineStr">
        <is>
          <t>VERMELHO</t>
        </is>
      </c>
      <c r="C407" t="n">
        <v>5615.5</v>
      </c>
      <c r="D407" t="n">
        <v>774</v>
      </c>
      <c r="E407" t="n">
        <v>5615.5</v>
      </c>
      <c r="F407" s="6" t="n">
        <v>0.137833</v>
      </c>
      <c r="G407" t="inlineStr">
        <is>
          <t>SEM GRUPO</t>
        </is>
      </c>
      <c r="H407" t="inlineStr">
        <is>
          <t>SP</t>
        </is>
      </c>
      <c r="I407" t="n">
        <v>1933655030</v>
      </c>
      <c r="J407" t="inlineStr">
        <is>
          <t>Plano de Negócio</t>
        </is>
      </c>
      <c r="K407" t="inlineStr">
        <is>
          <t>SEM REDE</t>
        </is>
      </c>
      <c r="L407" t="inlineStr">
        <is>
          <t>SP</t>
        </is>
      </c>
      <c r="M407" t="n">
        <v>1933655030</v>
      </c>
      <c r="N407" t="n">
        <v>774</v>
      </c>
      <c r="O407" t="n">
        <v>467.96</v>
      </c>
      <c r="P407" t="inlineStr">
        <is>
          <t>03 - SP INTERIOR</t>
        </is>
      </c>
      <c r="Q407" t="inlineStr">
        <is>
          <t>LARISSA PADILHA</t>
        </is>
      </c>
      <c r="S407" t="inlineStr">
        <is>
          <t>42.149.466 LARISSA DA SILVA PADILHA - ME</t>
        </is>
      </c>
      <c r="T407" t="inlineStr">
        <is>
          <t>ZV - NAO APLICAVEL</t>
        </is>
      </c>
      <c r="V407" t="inlineStr">
        <is>
          <t>demais</t>
        </is>
      </c>
      <c r="W407" t="inlineStr">
        <is>
          <t>REGIÕES/GRUPOS</t>
        </is>
      </c>
    </row>
    <row r="408" ht="15" customHeight="1">
      <c r="A408" t="n">
        <v>0.137498</v>
      </c>
      <c r="B408" t="inlineStr">
        <is>
          <t>VERMELHO</t>
        </is>
      </c>
      <c r="C408" t="n">
        <v>5615.5</v>
      </c>
      <c r="D408" t="n">
        <v>772.12</v>
      </c>
      <c r="E408" t="n">
        <v>5615.5</v>
      </c>
      <c r="F408" s="6" t="n">
        <v>0.137498</v>
      </c>
      <c r="G408" t="inlineStr">
        <is>
          <t>SEM GRUPO</t>
        </is>
      </c>
      <c r="H408" t="inlineStr">
        <is>
          <t>SC</t>
        </is>
      </c>
      <c r="I408" t="n">
        <v>4792401103</v>
      </c>
      <c r="J408" t="inlineStr">
        <is>
          <t>Plano de Negócio</t>
        </is>
      </c>
      <c r="K408" t="inlineStr">
        <is>
          <t>SEM REDE</t>
        </is>
      </c>
      <c r="L408" t="inlineStr">
        <is>
          <t>SC</t>
        </is>
      </c>
      <c r="M408" t="n">
        <v>4792401103</v>
      </c>
      <c r="N408" t="n">
        <v>772.12</v>
      </c>
      <c r="O408" t="n">
        <v>467.96</v>
      </c>
      <c r="P408" t="inlineStr">
        <is>
          <t>03 - SUL</t>
        </is>
      </c>
      <c r="Q408" t="inlineStr">
        <is>
          <t>HEMANUELE DITZEL (MANU)</t>
        </is>
      </c>
      <c r="S408" t="inlineStr">
        <is>
          <t>ZR - NAO APLICAVEL</t>
        </is>
      </c>
      <c r="T408" t="inlineStr">
        <is>
          <t>HEMANUELE ROSA DITZEL</t>
        </is>
      </c>
      <c r="V408" t="inlineStr">
        <is>
          <t>demais</t>
        </is>
      </c>
      <c r="W408" t="inlineStr">
        <is>
          <t>REGIÕES/GRUPOS</t>
        </is>
      </c>
    </row>
    <row r="409" ht="15" customHeight="1">
      <c r="A409" t="n">
        <v>0.136764</v>
      </c>
      <c r="B409" t="inlineStr">
        <is>
          <t>VERMELHO</t>
        </is>
      </c>
      <c r="C409" t="n">
        <v>5615.5</v>
      </c>
      <c r="D409" t="n">
        <v>768</v>
      </c>
      <c r="E409" t="n">
        <v>5615.5</v>
      </c>
      <c r="F409" s="6" t="n">
        <v>0.136764</v>
      </c>
      <c r="G409" t="inlineStr">
        <is>
          <t>SEM GRUPO</t>
        </is>
      </c>
      <c r="H409" t="inlineStr">
        <is>
          <t>PR</t>
        </is>
      </c>
      <c r="I409" t="n">
        <v>41992825084</v>
      </c>
      <c r="J409" t="inlineStr">
        <is>
          <t>Plano de Negócio</t>
        </is>
      </c>
      <c r="K409" t="inlineStr">
        <is>
          <t>SEM REDE</t>
        </is>
      </c>
      <c r="L409" t="inlineStr">
        <is>
          <t>PR</t>
        </is>
      </c>
      <c r="M409" t="n">
        <v>41992825084</v>
      </c>
      <c r="N409" t="n">
        <v>768</v>
      </c>
      <c r="O409" t="n">
        <v>467.96</v>
      </c>
      <c r="P409" t="inlineStr">
        <is>
          <t>03 - SUL</t>
        </is>
      </c>
      <c r="Q409" t="inlineStr">
        <is>
          <t>HEMANUELE DITZEL (MANU)</t>
        </is>
      </c>
      <c r="S409" t="inlineStr">
        <is>
          <t>ZR - NAO APLICAVEL</t>
        </is>
      </c>
      <c r="T409" t="inlineStr">
        <is>
          <t>HEMANUELE ROSA DITZEL</t>
        </is>
      </c>
      <c r="V409" t="inlineStr">
        <is>
          <t>demais</t>
        </is>
      </c>
      <c r="W409" t="inlineStr">
        <is>
          <t>REGIÕES/GRUPOS</t>
        </is>
      </c>
    </row>
    <row r="410" ht="15" customHeight="1">
      <c r="A410" t="n">
        <v>0.070315</v>
      </c>
      <c r="B410" t="inlineStr">
        <is>
          <t>VERMELHO</t>
        </is>
      </c>
      <c r="C410" t="n">
        <v>10875</v>
      </c>
      <c r="D410" t="n">
        <v>764.6799999999999</v>
      </c>
      <c r="E410" t="n">
        <v>10875</v>
      </c>
      <c r="F410" s="6" t="n">
        <v>0.070315</v>
      </c>
      <c r="G410" t="inlineStr">
        <is>
          <t>CIA DA SAUDE</t>
        </is>
      </c>
      <c r="H410" t="inlineStr">
        <is>
          <t>SC</t>
        </is>
      </c>
      <c r="I410" t="n">
        <v>4888041731</v>
      </c>
      <c r="J410" t="inlineStr">
        <is>
          <t>Prospecção</t>
        </is>
      </c>
      <c r="K410" t="inlineStr">
        <is>
          <t>CIA DA SAUDE</t>
        </is>
      </c>
      <c r="L410" t="inlineStr">
        <is>
          <t>SC</t>
        </is>
      </c>
      <c r="M410" t="n">
        <v>4888041731</v>
      </c>
      <c r="N410" t="n">
        <v>764.6799999999999</v>
      </c>
      <c r="O410" t="n">
        <v>906.25</v>
      </c>
      <c r="P410" t="inlineStr">
        <is>
          <t>03 - NACIONAL</t>
        </is>
      </c>
      <c r="Q410" t="inlineStr">
        <is>
          <t>JULIO GADRET</t>
        </is>
      </c>
      <c r="S410" t="inlineStr">
        <is>
          <t>LG REPRESENTACOES LTDA - EPP</t>
        </is>
      </c>
      <c r="T410" t="inlineStr">
        <is>
          <t>ZV - NAO APLICAVEL</t>
        </is>
      </c>
      <c r="V410" t="inlineStr">
        <is>
          <t>demais</t>
        </is>
      </c>
      <c r="W410" t="inlineStr">
        <is>
          <t>REDES E FRANQUIAS</t>
        </is>
      </c>
    </row>
    <row r="411" ht="15" customHeight="1">
      <c r="A411" t="n">
        <v>0.136145</v>
      </c>
      <c r="B411" t="inlineStr">
        <is>
          <t>VERMELHO</t>
        </is>
      </c>
      <c r="C411" t="n">
        <v>5615.5</v>
      </c>
      <c r="D411" t="n">
        <v>764.52</v>
      </c>
      <c r="E411" t="n">
        <v>5615.5</v>
      </c>
      <c r="F411" s="6" t="n">
        <v>0.136145</v>
      </c>
      <c r="G411" t="inlineStr">
        <is>
          <t>SEM GRUPO</t>
        </is>
      </c>
      <c r="H411" t="inlineStr">
        <is>
          <t>RS</t>
        </is>
      </c>
      <c r="I411" t="n">
        <v>51980517392</v>
      </c>
      <c r="J411" t="inlineStr">
        <is>
          <t>Plano de Negócio</t>
        </is>
      </c>
      <c r="K411" t="inlineStr">
        <is>
          <t>SEM REDE</t>
        </is>
      </c>
      <c r="L411" t="inlineStr">
        <is>
          <t>RS</t>
        </is>
      </c>
      <c r="M411" t="n">
        <v>51980517392</v>
      </c>
      <c r="N411" t="n">
        <v>764.52</v>
      </c>
      <c r="O411" t="n">
        <v>467.96</v>
      </c>
      <c r="P411" t="inlineStr">
        <is>
          <t>03 - SUL</t>
        </is>
      </c>
      <c r="Q411" t="inlineStr">
        <is>
          <t>HEMANUELE DITZEL (MANU)</t>
        </is>
      </c>
      <c r="S411" t="inlineStr">
        <is>
          <t>ZR - NAO APLICAVEL</t>
        </is>
      </c>
      <c r="T411" t="inlineStr">
        <is>
          <t>HEMANUELE ROSA DITZEL</t>
        </is>
      </c>
      <c r="V411" t="inlineStr">
        <is>
          <t>demais</t>
        </is>
      </c>
      <c r="W411" t="inlineStr">
        <is>
          <t>REGIÕES/GRUPOS</t>
        </is>
      </c>
    </row>
    <row r="412" ht="15" customHeight="1">
      <c r="A412" t="n">
        <v>0.06959799999999999</v>
      </c>
      <c r="B412" t="inlineStr">
        <is>
          <t>VERMELHO</t>
        </is>
      </c>
      <c r="C412" t="n">
        <v>10875</v>
      </c>
      <c r="D412" t="n">
        <v>756.88</v>
      </c>
      <c r="E412" t="n">
        <v>10875</v>
      </c>
      <c r="F412" s="6" t="n">
        <v>0.06959799999999999</v>
      </c>
      <c r="G412" t="inlineStr">
        <is>
          <t>CIA DA SAUDE</t>
        </is>
      </c>
      <c r="H412" t="inlineStr">
        <is>
          <t>SC</t>
        </is>
      </c>
      <c r="I412" t="n">
        <v>48996173674</v>
      </c>
      <c r="J412" t="inlineStr">
        <is>
          <t>Prospecção</t>
        </is>
      </c>
      <c r="K412" t="inlineStr">
        <is>
          <t>CIA DA SAUDE</t>
        </is>
      </c>
      <c r="L412" t="inlineStr">
        <is>
          <t>SC</t>
        </is>
      </c>
      <c r="M412" t="n">
        <v>48996173674</v>
      </c>
      <c r="N412" t="n">
        <v>756.88</v>
      </c>
      <c r="O412" t="n">
        <v>906.25</v>
      </c>
      <c r="P412" t="inlineStr">
        <is>
          <t>03 - NACIONAL</t>
        </is>
      </c>
      <c r="Q412" t="inlineStr">
        <is>
          <t>JULIO GADRET</t>
        </is>
      </c>
      <c r="S412" t="inlineStr">
        <is>
          <t>LG REPRESENTACOES LTDA - EPP</t>
        </is>
      </c>
      <c r="T412" t="inlineStr">
        <is>
          <t>ZV - NAO APLICAVEL</t>
        </is>
      </c>
      <c r="V412" t="inlineStr">
        <is>
          <t>demais</t>
        </is>
      </c>
      <c r="W412" t="inlineStr">
        <is>
          <t>REDES E FRANQUIAS</t>
        </is>
      </c>
    </row>
    <row r="413" ht="15" customHeight="1">
      <c r="A413" t="n">
        <v>0.134652</v>
      </c>
      <c r="B413" t="inlineStr">
        <is>
          <t>VERMELHO</t>
        </is>
      </c>
      <c r="C413" t="n">
        <v>5615.5</v>
      </c>
      <c r="D413" t="n">
        <v>756.14</v>
      </c>
      <c r="E413" t="n">
        <v>5615.5</v>
      </c>
      <c r="F413" s="6" t="n">
        <v>0.134652</v>
      </c>
      <c r="G413" t="inlineStr">
        <is>
          <t>SEM GRUPO</t>
        </is>
      </c>
      <c r="H413" t="inlineStr">
        <is>
          <t>RS</t>
        </is>
      </c>
      <c r="I413" t="n">
        <v>51983137358</v>
      </c>
      <c r="J413" t="inlineStr">
        <is>
          <t>Plano de Negócio</t>
        </is>
      </c>
      <c r="K413" t="inlineStr">
        <is>
          <t>SEM REDE</t>
        </is>
      </c>
      <c r="L413" t="inlineStr">
        <is>
          <t>RS</t>
        </is>
      </c>
      <c r="M413" t="n">
        <v>51983137358</v>
      </c>
      <c r="N413" t="n">
        <v>756.14</v>
      </c>
      <c r="O413" t="n">
        <v>467.96</v>
      </c>
      <c r="P413" t="inlineStr">
        <is>
          <t>03 - SUL</t>
        </is>
      </c>
      <c r="Q413" t="inlineStr">
        <is>
          <t>HEMANUELE DITZEL (MANU)</t>
        </is>
      </c>
      <c r="S413" t="inlineStr">
        <is>
          <t>ZR - NAO APLICAVEL</t>
        </is>
      </c>
      <c r="T413" t="inlineStr">
        <is>
          <t>HEMANUELE ROSA DITZEL</t>
        </is>
      </c>
      <c r="V413" t="inlineStr">
        <is>
          <t>demais</t>
        </is>
      </c>
      <c r="W413" t="inlineStr">
        <is>
          <t>REGIÕES/GRUPOS</t>
        </is>
      </c>
    </row>
    <row r="414" ht="15" customHeight="1">
      <c r="A414" t="n">
        <v>0.134098</v>
      </c>
      <c r="B414" t="inlineStr">
        <is>
          <t>VERMELHO</t>
        </is>
      </c>
      <c r="C414" t="n">
        <v>5615.5</v>
      </c>
      <c r="D414" t="n">
        <v>753.03</v>
      </c>
      <c r="E414" t="n">
        <v>5615.5</v>
      </c>
      <c r="F414" s="6" t="n">
        <v>0.134098</v>
      </c>
      <c r="G414" t="inlineStr">
        <is>
          <t>SEM GRUPO</t>
        </is>
      </c>
      <c r="H414" t="inlineStr">
        <is>
          <t>PR</t>
        </is>
      </c>
      <c r="I414" t="n">
        <v>4399879730</v>
      </c>
      <c r="J414" t="inlineStr">
        <is>
          <t>Plano de Negócio</t>
        </is>
      </c>
      <c r="K414" t="inlineStr">
        <is>
          <t>SEM REDE</t>
        </is>
      </c>
      <c r="L414" t="inlineStr">
        <is>
          <t>PR</t>
        </is>
      </c>
      <c r="M414" t="n">
        <v>4399879730</v>
      </c>
      <c r="N414" t="n">
        <v>753.03</v>
      </c>
      <c r="O414" t="n">
        <v>467.96</v>
      </c>
      <c r="P414" t="inlineStr">
        <is>
          <t>03 - SUL</t>
        </is>
      </c>
      <c r="Q414" t="inlineStr">
        <is>
          <t>HEMANUELE DITZEL (MANU)</t>
        </is>
      </c>
      <c r="S414" t="inlineStr">
        <is>
          <t>ZR - NAO APLICAVEL</t>
        </is>
      </c>
      <c r="T414" t="inlineStr">
        <is>
          <t>ZV - NAO APLICAVEL</t>
        </is>
      </c>
      <c r="V414" t="inlineStr">
        <is>
          <t>demais</t>
        </is>
      </c>
      <c r="W414" t="inlineStr">
        <is>
          <t>REGIÕES/GRUPOS</t>
        </is>
      </c>
    </row>
    <row r="415" ht="15" customHeight="1">
      <c r="A415" t="n">
        <v>0.132134</v>
      </c>
      <c r="B415" t="inlineStr">
        <is>
          <t>VERMELHO</t>
        </is>
      </c>
      <c r="C415" t="n">
        <v>5615.5</v>
      </c>
      <c r="D415" t="n">
        <v>742</v>
      </c>
      <c r="E415" t="n">
        <v>5615.5</v>
      </c>
      <c r="F415" s="6" t="n">
        <v>0.132134</v>
      </c>
      <c r="G415" t="inlineStr">
        <is>
          <t>SEM GRUPO</t>
        </is>
      </c>
      <c r="H415" t="inlineStr">
        <is>
          <t>PR</t>
        </is>
      </c>
      <c r="I415" t="n">
        <v>4130581510</v>
      </c>
      <c r="J415" t="inlineStr">
        <is>
          <t>Plano de Negócio</t>
        </is>
      </c>
      <c r="K415" t="inlineStr">
        <is>
          <t>SEM REDE</t>
        </is>
      </c>
      <c r="L415" t="inlineStr">
        <is>
          <t>PR</t>
        </is>
      </c>
      <c r="M415" t="n">
        <v>4130581510</v>
      </c>
      <c r="N415" t="n">
        <v>742</v>
      </c>
      <c r="O415" t="n">
        <v>467.96</v>
      </c>
      <c r="P415" t="inlineStr">
        <is>
          <t>03 - SUL</t>
        </is>
      </c>
      <c r="Q415" t="inlineStr">
        <is>
          <t>HEMANUELE DITZEL (MANU)</t>
        </is>
      </c>
      <c r="S415" t="inlineStr">
        <is>
          <t>ZR - NAO APLICAVEL</t>
        </is>
      </c>
      <c r="T415" t="inlineStr">
        <is>
          <t>ZV - NAO APLICAVEL</t>
        </is>
      </c>
      <c r="V415" t="inlineStr">
        <is>
          <t>demais</t>
        </is>
      </c>
      <c r="W415" t="inlineStr">
        <is>
          <t>REGIÕES/GRUPOS</t>
        </is>
      </c>
    </row>
    <row r="416" ht="15" customHeight="1">
      <c r="A416" t="n">
        <v>0.128713</v>
      </c>
      <c r="B416" t="inlineStr">
        <is>
          <t>VERMELHO</t>
        </is>
      </c>
      <c r="C416" t="n">
        <v>5615.5</v>
      </c>
      <c r="D416" t="n">
        <v>722.79</v>
      </c>
      <c r="E416" t="n">
        <v>5615.5</v>
      </c>
      <c r="F416" s="6" t="n">
        <v>0.128713</v>
      </c>
      <c r="G416" t="inlineStr">
        <is>
          <t>SEM GRUPO</t>
        </is>
      </c>
      <c r="H416" t="inlineStr">
        <is>
          <t>RS</t>
        </is>
      </c>
      <c r="I416" t="n">
        <v>5499587823</v>
      </c>
      <c r="J416" t="inlineStr">
        <is>
          <t>Plano de Negócio</t>
        </is>
      </c>
      <c r="K416" t="inlineStr">
        <is>
          <t>SEM REDE</t>
        </is>
      </c>
      <c r="L416" t="inlineStr">
        <is>
          <t>RS</t>
        </is>
      </c>
      <c r="M416" t="n">
        <v>5499587823</v>
      </c>
      <c r="N416" t="n">
        <v>722.79</v>
      </c>
      <c r="O416" t="n">
        <v>467.96</v>
      </c>
      <c r="P416" t="inlineStr">
        <is>
          <t>03 - SUL</t>
        </is>
      </c>
      <c r="Q416" t="inlineStr">
        <is>
          <t>HEMANUELE DITZEL (MANU)</t>
        </is>
      </c>
      <c r="S416" t="inlineStr">
        <is>
          <t>ZR - NAO APLICAVEL</t>
        </is>
      </c>
      <c r="T416" t="inlineStr">
        <is>
          <t>HEMANUELE ROSA DITZEL</t>
        </is>
      </c>
      <c r="V416" t="inlineStr">
        <is>
          <t>demais</t>
        </is>
      </c>
      <c r="W416" t="inlineStr">
        <is>
          <t>REGIÕES/GRUPOS</t>
        </is>
      </c>
    </row>
    <row r="417" ht="15" customHeight="1">
      <c r="A417" t="n">
        <v>0.128288</v>
      </c>
      <c r="B417" t="inlineStr">
        <is>
          <t>VERMELHO</t>
        </is>
      </c>
      <c r="C417" t="n">
        <v>5615.5</v>
      </c>
      <c r="D417" t="n">
        <v>720.4</v>
      </c>
      <c r="E417" t="n">
        <v>5615.5</v>
      </c>
      <c r="F417" s="6" t="n">
        <v>0.128288</v>
      </c>
      <c r="G417" t="inlineStr">
        <is>
          <t>SEM GRUPO</t>
        </is>
      </c>
      <c r="H417" t="inlineStr">
        <is>
          <t>SC</t>
        </is>
      </c>
      <c r="I417" t="n">
        <v>47984186657</v>
      </c>
      <c r="J417" t="inlineStr">
        <is>
          <t>Plano de Negócio</t>
        </is>
      </c>
      <c r="K417" t="inlineStr">
        <is>
          <t>SEM REDE</t>
        </is>
      </c>
      <c r="L417" t="inlineStr">
        <is>
          <t>SC</t>
        </is>
      </c>
      <c r="M417" t="n">
        <v>47984186657</v>
      </c>
      <c r="N417" t="n">
        <v>720.4</v>
      </c>
      <c r="O417" t="n">
        <v>467.96</v>
      </c>
      <c r="P417" t="inlineStr">
        <is>
          <t>03 - SUL</t>
        </is>
      </c>
      <c r="Q417" t="inlineStr">
        <is>
          <t>HEMANUELE DITZEL (MANU)</t>
        </is>
      </c>
      <c r="S417" t="inlineStr">
        <is>
          <t>ZR - NAO APLICAVEL</t>
        </is>
      </c>
      <c r="T417" t="inlineStr">
        <is>
          <t>HEMANUELE ROSA DITZEL</t>
        </is>
      </c>
      <c r="V417" t="inlineStr">
        <is>
          <t>demais</t>
        </is>
      </c>
      <c r="W417" t="inlineStr">
        <is>
          <t>REGIÕES/GRUPOS</t>
        </is>
      </c>
    </row>
    <row r="418" ht="15" customHeight="1">
      <c r="A418" t="n">
        <v>0.124812</v>
      </c>
      <c r="B418" t="inlineStr">
        <is>
          <t>VERMELHO</t>
        </is>
      </c>
      <c r="C418" t="n">
        <v>5615.5</v>
      </c>
      <c r="D418" t="n">
        <v>700.88</v>
      </c>
      <c r="E418" t="n">
        <v>5615.5</v>
      </c>
      <c r="F418" s="6" t="n">
        <v>0.124812</v>
      </c>
      <c r="G418" t="inlineStr">
        <is>
          <t>SEM GRUPO</t>
        </is>
      </c>
      <c r="H418" t="inlineStr">
        <is>
          <t>PR</t>
        </is>
      </c>
      <c r="I418" t="n">
        <v>4188273848</v>
      </c>
      <c r="J418" t="inlineStr">
        <is>
          <t>Plano de Negócio</t>
        </is>
      </c>
      <c r="K418" t="inlineStr">
        <is>
          <t>SEM REDE</t>
        </is>
      </c>
      <c r="L418" t="inlineStr">
        <is>
          <t>PR</t>
        </is>
      </c>
      <c r="M418" t="n">
        <v>4188273848</v>
      </c>
      <c r="N418" t="n">
        <v>700.88</v>
      </c>
      <c r="O418" t="n">
        <v>467.96</v>
      </c>
      <c r="P418" t="inlineStr">
        <is>
          <t>03 - SUL</t>
        </is>
      </c>
      <c r="Q418" t="inlineStr">
        <is>
          <t>HEMANUELE DITZEL (MANU)</t>
        </is>
      </c>
      <c r="S418" t="inlineStr">
        <is>
          <t>ZR - NAO APLICAVEL</t>
        </is>
      </c>
      <c r="T418" t="inlineStr">
        <is>
          <t>HEMANUELE ROSA DITZEL</t>
        </is>
      </c>
      <c r="V418" t="inlineStr">
        <is>
          <t>demais</t>
        </is>
      </c>
      <c r="W418" t="inlineStr">
        <is>
          <t>REGIÕES/GRUPOS</t>
        </is>
      </c>
    </row>
    <row r="419" ht="15" customHeight="1">
      <c r="A419" t="n">
        <v>0.0654</v>
      </c>
      <c r="B419" t="inlineStr">
        <is>
          <t>VERMELHO</t>
        </is>
      </c>
      <c r="C419" t="n">
        <v>10706.9</v>
      </c>
      <c r="D419" t="n">
        <v>700.23</v>
      </c>
      <c r="E419" t="n">
        <v>10706.9</v>
      </c>
      <c r="F419" s="6" t="n">
        <v>0.0654</v>
      </c>
      <c r="G419" t="inlineStr">
        <is>
          <t>FITLAND</t>
        </is>
      </c>
      <c r="H419" t="inlineStr">
        <is>
          <t>RS</t>
        </is>
      </c>
      <c r="I419" t="n">
        <v>5591498448</v>
      </c>
      <c r="J419" t="inlineStr">
        <is>
          <t>Prospecção</t>
        </is>
      </c>
      <c r="K419" t="inlineStr">
        <is>
          <t>FITLAND</t>
        </is>
      </c>
      <c r="L419" t="inlineStr">
        <is>
          <t>RS</t>
        </is>
      </c>
      <c r="M419" t="n">
        <v>5591498448</v>
      </c>
      <c r="N419" t="n">
        <v>700.23</v>
      </c>
      <c r="O419" t="n">
        <v>892.24</v>
      </c>
      <c r="P419" t="inlineStr">
        <is>
          <t>03 - NACIONAL</t>
        </is>
      </c>
      <c r="Q419" t="inlineStr">
        <is>
          <t>JULIO GADRET</t>
        </is>
      </c>
      <c r="S419" t="inlineStr">
        <is>
          <t>ZR - NAO APLICAVEL</t>
        </is>
      </c>
      <c r="T419" t="inlineStr">
        <is>
          <t>ZV - NAO APLICAVEL</t>
        </is>
      </c>
      <c r="V419" t="inlineStr">
        <is>
          <t>demais</t>
        </is>
      </c>
      <c r="W419" t="inlineStr">
        <is>
          <t>REDES E FRANQUIAS</t>
        </is>
      </c>
    </row>
    <row r="420" ht="15" customHeight="1">
      <c r="A420" t="n">
        <v>0.124543</v>
      </c>
      <c r="B420" t="inlineStr">
        <is>
          <t>VERMELHO</t>
        </is>
      </c>
      <c r="C420" t="n">
        <v>5615.5</v>
      </c>
      <c r="D420" t="n">
        <v>699.37</v>
      </c>
      <c r="E420" t="n">
        <v>5615.5</v>
      </c>
      <c r="F420" s="6" t="n">
        <v>0.124543</v>
      </c>
      <c r="G420" t="inlineStr">
        <is>
          <t>SEM GRUPO</t>
        </is>
      </c>
      <c r="H420" t="inlineStr">
        <is>
          <t>SP</t>
        </is>
      </c>
      <c r="I420" t="n">
        <v>16982311881</v>
      </c>
      <c r="J420" t="inlineStr">
        <is>
          <t>Plano de Negócio</t>
        </is>
      </c>
      <c r="K420" t="inlineStr">
        <is>
          <t>SEM REDE</t>
        </is>
      </c>
      <c r="L420" t="inlineStr">
        <is>
          <t>SP</t>
        </is>
      </c>
      <c r="M420" t="n">
        <v>16982311881</v>
      </c>
      <c r="N420" t="n">
        <v>699.37</v>
      </c>
      <c r="O420" t="n">
        <v>467.96</v>
      </c>
      <c r="P420" t="inlineStr">
        <is>
          <t>03 - SP INTERIOR</t>
        </is>
      </c>
      <c r="Q420" t="inlineStr">
        <is>
          <t>LARISSA PADILHA</t>
        </is>
      </c>
      <c r="S420" t="inlineStr">
        <is>
          <t>42.149.466 LARISSA DA SILVA PADILHA - ME</t>
        </is>
      </c>
      <c r="T420" t="inlineStr">
        <is>
          <t>ZV - NAO APLICAVEL</t>
        </is>
      </c>
      <c r="V420" t="inlineStr">
        <is>
          <t>demais</t>
        </is>
      </c>
      <c r="W420" t="inlineStr">
        <is>
          <t>REGIÕES/GRUPOS</t>
        </is>
      </c>
    </row>
    <row r="421" ht="15" customHeight="1">
      <c r="A421" t="n">
        <v>0.123391</v>
      </c>
      <c r="B421" t="inlineStr">
        <is>
          <t>VERMELHO</t>
        </is>
      </c>
      <c r="C421" t="n">
        <v>5615.5</v>
      </c>
      <c r="D421" t="n">
        <v>692.9</v>
      </c>
      <c r="E421" t="n">
        <v>5615.5</v>
      </c>
      <c r="F421" s="6" t="n">
        <v>0.123391</v>
      </c>
      <c r="G421" t="inlineStr">
        <is>
          <t>SEM GRUPO</t>
        </is>
      </c>
      <c r="H421" t="inlineStr">
        <is>
          <t>RS</t>
        </is>
      </c>
      <c r="I421" t="n">
        <v>51997055488</v>
      </c>
      <c r="J421" t="inlineStr">
        <is>
          <t>Plano de Negócio</t>
        </is>
      </c>
      <c r="K421" t="inlineStr">
        <is>
          <t>SEM REDE</t>
        </is>
      </c>
      <c r="L421" t="inlineStr">
        <is>
          <t>RS</t>
        </is>
      </c>
      <c r="M421" t="n">
        <v>51997055488</v>
      </c>
      <c r="N421" t="n">
        <v>692.9</v>
      </c>
      <c r="O421" t="n">
        <v>467.96</v>
      </c>
      <c r="P421" t="inlineStr">
        <is>
          <t>03 - SUL</t>
        </is>
      </c>
      <c r="Q421" t="inlineStr">
        <is>
          <t>HEMANUELE DITZEL (MANU)</t>
        </is>
      </c>
      <c r="S421" t="inlineStr">
        <is>
          <t>ZR - NAO APLICAVEL</t>
        </is>
      </c>
      <c r="T421" t="inlineStr">
        <is>
          <t>HEMANUELE ROSA DITZEL</t>
        </is>
      </c>
      <c r="V421" t="inlineStr">
        <is>
          <t>demais</t>
        </is>
      </c>
      <c r="W421" t="inlineStr">
        <is>
          <t>REGIÕES/GRUPOS</t>
        </is>
      </c>
    </row>
    <row r="422" ht="15" customHeight="1">
      <c r="A422" t="n">
        <v>0.122447</v>
      </c>
      <c r="B422" t="inlineStr">
        <is>
          <t>VERMELHO</t>
        </is>
      </c>
      <c r="C422" t="n">
        <v>5615.5</v>
      </c>
      <c r="D422" t="n">
        <v>687.6</v>
      </c>
      <c r="E422" t="n">
        <v>5615.5</v>
      </c>
      <c r="F422" s="6" t="n">
        <v>0.122447</v>
      </c>
      <c r="G422" t="inlineStr">
        <is>
          <t>SEM GRUPO</t>
        </is>
      </c>
      <c r="H422" t="inlineStr">
        <is>
          <t>SP</t>
        </is>
      </c>
      <c r="I422" t="n">
        <v>11986378153</v>
      </c>
      <c r="J422" t="inlineStr">
        <is>
          <t>Plano de Negócio</t>
        </is>
      </c>
      <c r="K422" t="inlineStr">
        <is>
          <t>SEM REDE</t>
        </is>
      </c>
      <c r="L422" t="inlineStr">
        <is>
          <t>SP</t>
        </is>
      </c>
      <c r="M422" t="n">
        <v>11986378153</v>
      </c>
      <c r="N422" t="n">
        <v>687.6</v>
      </c>
      <c r="O422" t="n">
        <v>467.96</v>
      </c>
      <c r="P422" t="inlineStr">
        <is>
          <t>03 - SP CAPITAL</t>
        </is>
      </c>
      <c r="Q422" t="inlineStr">
        <is>
          <t>HEMANUELE DITZEL (MANU)</t>
        </is>
      </c>
      <c r="S422" t="inlineStr">
        <is>
          <t>ZR - NAO APLICAVEL</t>
        </is>
      </c>
      <c r="T422" t="inlineStr">
        <is>
          <t>HEMANUELE ROSA DITZEL</t>
        </is>
      </c>
      <c r="V422" t="inlineStr">
        <is>
          <t>demais</t>
        </is>
      </c>
      <c r="W422" t="inlineStr">
        <is>
          <t>REGIÕES/GRUPOS</t>
        </is>
      </c>
    </row>
    <row r="423" ht="15" customHeight="1">
      <c r="A423" t="n">
        <v>0.122335</v>
      </c>
      <c r="B423" t="inlineStr">
        <is>
          <t>VERMELHO</t>
        </is>
      </c>
      <c r="C423" t="n">
        <v>5615.5</v>
      </c>
      <c r="D423" t="n">
        <v>686.97</v>
      </c>
      <c r="E423" t="n">
        <v>5615.5</v>
      </c>
      <c r="F423" s="6" t="n">
        <v>0.122335</v>
      </c>
      <c r="G423" t="inlineStr">
        <is>
          <t>SEM GRUPO</t>
        </is>
      </c>
      <c r="H423" t="inlineStr">
        <is>
          <t>PR</t>
        </is>
      </c>
      <c r="I423" t="n">
        <v>4135389003</v>
      </c>
      <c r="J423" t="inlineStr">
        <is>
          <t>Plano de Negócio</t>
        </is>
      </c>
      <c r="K423" t="inlineStr">
        <is>
          <t>SEM REDE</t>
        </is>
      </c>
      <c r="L423" t="inlineStr">
        <is>
          <t>PR</t>
        </is>
      </c>
      <c r="M423" t="n">
        <v>4135389003</v>
      </c>
      <c r="N423" t="n">
        <v>686.97</v>
      </c>
      <c r="O423" t="n">
        <v>467.96</v>
      </c>
      <c r="P423" t="inlineStr">
        <is>
          <t>03 - SUL</t>
        </is>
      </c>
      <c r="Q423" t="inlineStr">
        <is>
          <t>HEMANUELE DITZEL (MANU)</t>
        </is>
      </c>
      <c r="S423" t="inlineStr">
        <is>
          <t>ZR - NAO APLICAVEL</t>
        </is>
      </c>
      <c r="T423" t="inlineStr">
        <is>
          <t>ZV - NAO APLICAVEL</t>
        </is>
      </c>
      <c r="V423" t="inlineStr">
        <is>
          <t>demais</t>
        </is>
      </c>
      <c r="W423" t="inlineStr">
        <is>
          <t>REGIÕES/GRUPOS</t>
        </is>
      </c>
    </row>
    <row r="424" ht="15" customHeight="1">
      <c r="A424" t="n">
        <v>0.122073</v>
      </c>
      <c r="B424" t="inlineStr">
        <is>
          <t>VERMELHO</t>
        </is>
      </c>
      <c r="C424" t="n">
        <v>5615.5</v>
      </c>
      <c r="D424" t="n">
        <v>685.5</v>
      </c>
      <c r="E424" t="n">
        <v>5615.5</v>
      </c>
      <c r="F424" s="6" t="n">
        <v>0.122073</v>
      </c>
      <c r="G424" t="inlineStr">
        <is>
          <t>SEM GRUPO</t>
        </is>
      </c>
      <c r="H424" t="inlineStr">
        <is>
          <t>MG</t>
        </is>
      </c>
      <c r="I424" t="n">
        <v>38999765269</v>
      </c>
      <c r="J424" t="inlineStr">
        <is>
          <t>Plano de Negócio</t>
        </is>
      </c>
      <c r="K424" t="inlineStr">
        <is>
          <t>SEM REDE</t>
        </is>
      </c>
      <c r="L424" t="inlineStr">
        <is>
          <t>MG</t>
        </is>
      </c>
      <c r="M424" t="n">
        <v>38999765269</v>
      </c>
      <c r="N424" t="n">
        <v>685.5</v>
      </c>
      <c r="O424" t="n">
        <v>467.96</v>
      </c>
      <c r="P424" t="inlineStr">
        <is>
          <t>03 - RJ + ES + MG</t>
        </is>
      </c>
      <c r="Q424" t="inlineStr">
        <is>
          <t>LARISSA PADILHA</t>
        </is>
      </c>
      <c r="S424" t="inlineStr">
        <is>
          <t>ZR - NAO APLICAVEL</t>
        </is>
      </c>
      <c r="T424" t="inlineStr">
        <is>
          <t>ZV - NAO APLICAVEL</t>
        </is>
      </c>
      <c r="V424" t="inlineStr">
        <is>
          <t>demais</t>
        </is>
      </c>
      <c r="W424" t="inlineStr">
        <is>
          <t>REGIÕES/GRUPOS</t>
        </is>
      </c>
    </row>
    <row r="425" ht="15" customHeight="1">
      <c r="A425" t="n">
        <v>0.12151</v>
      </c>
      <c r="B425" t="inlineStr">
        <is>
          <t>VERMELHO</t>
        </is>
      </c>
      <c r="C425" t="n">
        <v>5615.5</v>
      </c>
      <c r="D425" t="n">
        <v>682.34</v>
      </c>
      <c r="E425" t="n">
        <v>5615.5</v>
      </c>
      <c r="F425" s="6" t="n">
        <v>0.12151</v>
      </c>
      <c r="G425" t="inlineStr">
        <is>
          <t>SEM GRUPO</t>
        </is>
      </c>
      <c r="H425" t="inlineStr">
        <is>
          <t>SC</t>
        </is>
      </c>
      <c r="I425" t="n">
        <v>4896183888</v>
      </c>
      <c r="J425" t="inlineStr">
        <is>
          <t>Plano de Negócio</t>
        </is>
      </c>
      <c r="K425" t="inlineStr">
        <is>
          <t>SEM REDE</t>
        </is>
      </c>
      <c r="L425" t="inlineStr">
        <is>
          <t>SC</t>
        </is>
      </c>
      <c r="M425" t="n">
        <v>4896183888</v>
      </c>
      <c r="N425" t="n">
        <v>682.34</v>
      </c>
      <c r="O425" t="n">
        <v>467.96</v>
      </c>
      <c r="P425" t="inlineStr">
        <is>
          <t>03 - SUL</t>
        </is>
      </c>
      <c r="Q425" t="inlineStr">
        <is>
          <t>HEMANUELE DITZEL (MANU)</t>
        </is>
      </c>
      <c r="S425" t="inlineStr">
        <is>
          <t>ZR - NAO APLICAVEL</t>
        </is>
      </c>
      <c r="T425" t="inlineStr">
        <is>
          <t>HEMANUELE ROSA DITZEL</t>
        </is>
      </c>
      <c r="V425" t="inlineStr">
        <is>
          <t>demais</t>
        </is>
      </c>
      <c r="W425" t="inlineStr">
        <is>
          <t>REGIÕES/GRUPOS</t>
        </is>
      </c>
    </row>
    <row r="426" ht="15" customHeight="1">
      <c r="A426" t="n">
        <v>0.12146</v>
      </c>
      <c r="B426" t="inlineStr">
        <is>
          <t>VERMELHO</t>
        </is>
      </c>
      <c r="C426" t="n">
        <v>5615.5</v>
      </c>
      <c r="D426" t="n">
        <v>682.0599999999999</v>
      </c>
      <c r="E426" t="n">
        <v>5615.5</v>
      </c>
      <c r="F426" s="6" t="n">
        <v>0.12146</v>
      </c>
      <c r="G426" t="inlineStr">
        <is>
          <t>SEM GRUPO</t>
        </is>
      </c>
      <c r="H426" t="inlineStr">
        <is>
          <t>SC</t>
        </is>
      </c>
      <c r="I426" t="n">
        <v>47984645353</v>
      </c>
      <c r="J426" t="inlineStr">
        <is>
          <t>Plano de Negócio</t>
        </is>
      </c>
      <c r="K426" t="inlineStr">
        <is>
          <t>SEM REDE</t>
        </is>
      </c>
      <c r="L426" t="inlineStr">
        <is>
          <t>SC</t>
        </is>
      </c>
      <c r="M426" t="n">
        <v>47984645353</v>
      </c>
      <c r="N426" t="n">
        <v>682.0599999999999</v>
      </c>
      <c r="O426" t="n">
        <v>467.96</v>
      </c>
      <c r="P426" t="inlineStr">
        <is>
          <t>03 - SUL</t>
        </is>
      </c>
      <c r="Q426" t="inlineStr">
        <is>
          <t>HEMANUELE DITZEL (MANU)</t>
        </is>
      </c>
      <c r="S426" t="inlineStr">
        <is>
          <t>ZR - NAO APLICAVEL</t>
        </is>
      </c>
      <c r="T426" t="inlineStr">
        <is>
          <t>HEMANUELE ROSA DITZEL</t>
        </is>
      </c>
      <c r="V426" t="inlineStr">
        <is>
          <t>demais</t>
        </is>
      </c>
      <c r="W426" t="inlineStr">
        <is>
          <t>REGIÕES/GRUPOS</t>
        </is>
      </c>
    </row>
    <row r="427" ht="15" customHeight="1">
      <c r="A427" t="n">
        <v>0.062356</v>
      </c>
      <c r="B427" t="inlineStr">
        <is>
          <t>VERMELHO</t>
        </is>
      </c>
      <c r="C427" t="n">
        <v>10875</v>
      </c>
      <c r="D427" t="n">
        <v>678.12</v>
      </c>
      <c r="E427" t="n">
        <v>10875</v>
      </c>
      <c r="F427" s="6" t="n">
        <v>0.062356</v>
      </c>
      <c r="G427" t="inlineStr">
        <is>
          <t>CIA DA SAUDE</t>
        </is>
      </c>
      <c r="H427" t="inlineStr">
        <is>
          <t>SC</t>
        </is>
      </c>
      <c r="I427" t="n">
        <v>4834387130</v>
      </c>
      <c r="J427" t="inlineStr">
        <is>
          <t>Prospecção</t>
        </is>
      </c>
      <c r="K427" t="inlineStr">
        <is>
          <t>CIA DA SAUDE</t>
        </is>
      </c>
      <c r="L427" t="inlineStr">
        <is>
          <t>SC</t>
        </is>
      </c>
      <c r="M427" t="n">
        <v>4834387130</v>
      </c>
      <c r="N427" t="n">
        <v>678.12</v>
      </c>
      <c r="O427" t="n">
        <v>906.25</v>
      </c>
      <c r="P427" t="inlineStr">
        <is>
          <t>03 - NACIONAL</t>
        </is>
      </c>
      <c r="Q427" t="inlineStr">
        <is>
          <t>JULIO GADRET</t>
        </is>
      </c>
      <c r="S427" t="inlineStr">
        <is>
          <t>LG REPRESENTACOES LTDA - EPP</t>
        </is>
      </c>
      <c r="T427" t="inlineStr">
        <is>
          <t>ZV - NAO APLICAVEL</t>
        </is>
      </c>
      <c r="V427" t="inlineStr">
        <is>
          <t>demais</t>
        </is>
      </c>
      <c r="W427" t="inlineStr">
        <is>
          <t>REDES E FRANQUIAS</t>
        </is>
      </c>
    </row>
    <row r="428" ht="15" customHeight="1">
      <c r="A428" t="n">
        <v>0.12031</v>
      </c>
      <c r="B428" t="inlineStr">
        <is>
          <t>VERMELHO</t>
        </is>
      </c>
      <c r="C428" t="n">
        <v>5615.5</v>
      </c>
      <c r="D428" t="n">
        <v>675.6</v>
      </c>
      <c r="E428" t="n">
        <v>5615.5</v>
      </c>
      <c r="F428" s="6" t="n">
        <v>0.12031</v>
      </c>
      <c r="G428" t="inlineStr">
        <is>
          <t>SEM GRUPO</t>
        </is>
      </c>
      <c r="H428" t="inlineStr">
        <is>
          <t>RN</t>
        </is>
      </c>
      <c r="I428" t="n">
        <v>8491898095</v>
      </c>
      <c r="J428" t="inlineStr">
        <is>
          <t>Plano de Negócio</t>
        </is>
      </c>
      <c r="K428" t="inlineStr">
        <is>
          <t>SEM REDE</t>
        </is>
      </c>
      <c r="L428" t="inlineStr">
        <is>
          <t>RN</t>
        </is>
      </c>
      <c r="M428" t="n">
        <v>8491898095</v>
      </c>
      <c r="N428" t="n">
        <v>675.6</v>
      </c>
      <c r="O428" t="n">
        <v>467.96</v>
      </c>
      <c r="P428" t="inlineStr">
        <is>
          <t>03 - NORDESTE (SEM MA)</t>
        </is>
      </c>
      <c r="Q428" t="inlineStr">
        <is>
          <t>LARISSA PADILHA</t>
        </is>
      </c>
      <c r="S428" t="inlineStr">
        <is>
          <t>42.149.466 LARISSA DA SILVA PADILHA - ME</t>
        </is>
      </c>
      <c r="T428" t="inlineStr">
        <is>
          <t>ZV - NAO APLICAVEL</t>
        </is>
      </c>
      <c r="V428" t="inlineStr">
        <is>
          <t>demais</t>
        </is>
      </c>
      <c r="W428" t="inlineStr">
        <is>
          <t>REGIÕES/GRUPOS</t>
        </is>
      </c>
    </row>
    <row r="429" ht="15" customHeight="1">
      <c r="A429" t="n">
        <v>0.120267</v>
      </c>
      <c r="B429" t="inlineStr">
        <is>
          <t>VERMELHO</t>
        </is>
      </c>
      <c r="C429" t="n">
        <v>5615.5</v>
      </c>
      <c r="D429" t="n">
        <v>675.36</v>
      </c>
      <c r="E429" t="n">
        <v>5615.5</v>
      </c>
      <c r="F429" s="6" t="n">
        <v>0.120267</v>
      </c>
      <c r="G429" t="inlineStr">
        <is>
          <t>SEM GRUPO</t>
        </is>
      </c>
      <c r="H429" t="inlineStr">
        <is>
          <t>PR</t>
        </is>
      </c>
      <c r="I429" t="n">
        <v>43984327552</v>
      </c>
      <c r="J429" t="inlineStr">
        <is>
          <t>Plano de Negócio</t>
        </is>
      </c>
      <c r="K429" t="inlineStr">
        <is>
          <t>SEM REDE</t>
        </is>
      </c>
      <c r="L429" t="inlineStr">
        <is>
          <t>PR</t>
        </is>
      </c>
      <c r="M429" t="n">
        <v>43984327552</v>
      </c>
      <c r="N429" t="n">
        <v>675.36</v>
      </c>
      <c r="O429" t="n">
        <v>467.96</v>
      </c>
      <c r="P429" t="inlineStr">
        <is>
          <t>03 - SUL</t>
        </is>
      </c>
      <c r="Q429" t="inlineStr">
        <is>
          <t>HEMANUELE DITZEL (MANU)</t>
        </is>
      </c>
      <c r="S429" t="inlineStr">
        <is>
          <t>ZR - NAO APLICAVEL</t>
        </is>
      </c>
      <c r="T429" t="inlineStr">
        <is>
          <t>HEMANUELE ROSA DITZEL</t>
        </is>
      </c>
      <c r="V429" t="inlineStr">
        <is>
          <t>demais</t>
        </is>
      </c>
      <c r="W429" t="inlineStr">
        <is>
          <t>REGIÕES/GRUPOS</t>
        </is>
      </c>
    </row>
    <row r="430" ht="15" customHeight="1">
      <c r="A430" t="n">
        <v>0.120255</v>
      </c>
      <c r="B430" t="inlineStr">
        <is>
          <t>VERMELHO</t>
        </is>
      </c>
      <c r="C430" t="n">
        <v>5615.5</v>
      </c>
      <c r="D430" t="n">
        <v>675.29</v>
      </c>
      <c r="E430" t="n">
        <v>5615.5</v>
      </c>
      <c r="F430" s="6" t="n">
        <v>0.120255</v>
      </c>
      <c r="G430" t="inlineStr">
        <is>
          <t>SEM GRUPO</t>
        </is>
      </c>
      <c r="H430" t="inlineStr">
        <is>
          <t>MG</t>
        </is>
      </c>
      <c r="I430" t="n">
        <v>32987051662</v>
      </c>
      <c r="J430" t="inlineStr">
        <is>
          <t>Plano de Negócio</t>
        </is>
      </c>
      <c r="K430" t="inlineStr">
        <is>
          <t>SEM REDE</t>
        </is>
      </c>
      <c r="L430" t="inlineStr">
        <is>
          <t>MG</t>
        </is>
      </c>
      <c r="M430" t="n">
        <v>32987051662</v>
      </c>
      <c r="N430" t="n">
        <v>675.29</v>
      </c>
      <c r="O430" t="n">
        <v>467.96</v>
      </c>
      <c r="P430" t="inlineStr">
        <is>
          <t>03 - RJ + ES + MG</t>
        </is>
      </c>
      <c r="Q430" t="inlineStr">
        <is>
          <t>LARISSA PADILHA</t>
        </is>
      </c>
      <c r="S430" t="inlineStr">
        <is>
          <t>ZR - NAO APLICAVEL</t>
        </is>
      </c>
      <c r="T430" t="inlineStr">
        <is>
          <t>ZV - NAO APLICAVEL</t>
        </is>
      </c>
      <c r="V430" t="inlineStr">
        <is>
          <t>demais</t>
        </is>
      </c>
      <c r="W430" t="inlineStr">
        <is>
          <t>REGIÕES/GRUPOS</t>
        </is>
      </c>
    </row>
    <row r="431" ht="15" customHeight="1">
      <c r="A431" t="n">
        <v>0.102208</v>
      </c>
      <c r="B431" t="inlineStr">
        <is>
          <t>VERMELHO</t>
        </is>
      </c>
      <c r="C431" t="n">
        <v>6566.04</v>
      </c>
      <c r="D431" t="n">
        <v>671.1</v>
      </c>
      <c r="E431" t="n">
        <v>6566.04</v>
      </c>
      <c r="F431" s="6" t="n">
        <v>0.102208</v>
      </c>
      <c r="G431" t="inlineStr">
        <is>
          <t>DIVINA TERRA</t>
        </is>
      </c>
      <c r="H431" t="inlineStr">
        <is>
          <t>RS</t>
        </is>
      </c>
      <c r="I431" t="n">
        <v>5199570807</v>
      </c>
      <c r="J431" t="inlineStr">
        <is>
          <t>Plano de Negócio</t>
        </is>
      </c>
      <c r="K431" t="inlineStr">
        <is>
          <t>DIVINA TERRA</t>
        </is>
      </c>
      <c r="L431" t="inlineStr">
        <is>
          <t>RS</t>
        </is>
      </c>
      <c r="M431" t="n">
        <v>5199570807</v>
      </c>
      <c r="N431" t="n">
        <v>671.1</v>
      </c>
      <c r="O431" t="n">
        <v>547.17</v>
      </c>
      <c r="P431" t="inlineStr">
        <is>
          <t>03 - NACIONAL</t>
        </is>
      </c>
      <c r="Q431" t="inlineStr">
        <is>
          <t>HEMANUELE DITZEL (MANU)</t>
        </is>
      </c>
      <c r="S431" t="inlineStr">
        <is>
          <t>ZR - NAO APLICAVEL</t>
        </is>
      </c>
      <c r="T431" t="inlineStr">
        <is>
          <t>HEMANUELE ROSA DITZEL</t>
        </is>
      </c>
      <c r="V431" t="inlineStr">
        <is>
          <t>demais</t>
        </is>
      </c>
      <c r="W431" t="inlineStr">
        <is>
          <t>REDES E FRANQUIAS</t>
        </is>
      </c>
    </row>
    <row r="432" ht="15" customHeight="1">
      <c r="A432" t="n">
        <v>0.11946</v>
      </c>
      <c r="B432" t="inlineStr">
        <is>
          <t>VERMELHO</t>
        </is>
      </c>
      <c r="C432" t="n">
        <v>5615.5</v>
      </c>
      <c r="D432" t="n">
        <v>670.83</v>
      </c>
      <c r="E432" t="n">
        <v>5615.5</v>
      </c>
      <c r="F432" s="6" t="n">
        <v>0.11946</v>
      </c>
      <c r="G432" t="inlineStr">
        <is>
          <t>SEM GRUPO</t>
        </is>
      </c>
      <c r="H432" t="inlineStr">
        <is>
          <t>BA</t>
        </is>
      </c>
      <c r="I432" t="n">
        <v>11981418684</v>
      </c>
      <c r="J432" t="inlineStr">
        <is>
          <t>Plano de Negócio</t>
        </is>
      </c>
      <c r="K432" t="inlineStr">
        <is>
          <t>SEM REDE</t>
        </is>
      </c>
      <c r="L432" t="inlineStr">
        <is>
          <t>BA</t>
        </is>
      </c>
      <c r="M432" t="n">
        <v>11981418684</v>
      </c>
      <c r="N432" t="n">
        <v>670.83</v>
      </c>
      <c r="O432" t="n">
        <v>467.96</v>
      </c>
      <c r="P432" t="inlineStr">
        <is>
          <t>03 - NORDESTE (SEM MA)</t>
        </is>
      </c>
      <c r="Q432" t="inlineStr">
        <is>
          <t>LARISSA PADILHA</t>
        </is>
      </c>
      <c r="S432" t="inlineStr">
        <is>
          <t>42.149.466 LARISSA DA SILVA PADILHA - ME</t>
        </is>
      </c>
      <c r="T432" t="inlineStr">
        <is>
          <t>ZV - NAO APLICAVEL</t>
        </is>
      </c>
      <c r="V432" t="inlineStr">
        <is>
          <t>demais</t>
        </is>
      </c>
      <c r="W432" t="inlineStr">
        <is>
          <t>REGIÕES/GRUPOS</t>
        </is>
      </c>
    </row>
    <row r="433" ht="15" customHeight="1">
      <c r="A433" t="n">
        <v>0.119161</v>
      </c>
      <c r="B433" t="inlineStr">
        <is>
          <t>VERMELHO</t>
        </is>
      </c>
      <c r="C433" t="n">
        <v>5615.5</v>
      </c>
      <c r="D433" t="n">
        <v>669.15</v>
      </c>
      <c r="E433" t="n">
        <v>5615.5</v>
      </c>
      <c r="F433" s="6" t="n">
        <v>0.119161</v>
      </c>
      <c r="G433" t="inlineStr">
        <is>
          <t>SEM GRUPO</t>
        </is>
      </c>
      <c r="H433" t="inlineStr">
        <is>
          <t>SP</t>
        </is>
      </c>
      <c r="I433" t="n">
        <v>11972750236</v>
      </c>
      <c r="J433" t="inlineStr">
        <is>
          <t>Plano de Negócio</t>
        </is>
      </c>
      <c r="K433" t="inlineStr">
        <is>
          <t>SEM REDE</t>
        </is>
      </c>
      <c r="L433" t="inlineStr">
        <is>
          <t>SP</t>
        </is>
      </c>
      <c r="M433" t="n">
        <v>11972750236</v>
      </c>
      <c r="N433" t="n">
        <v>669.15</v>
      </c>
      <c r="O433" t="n">
        <v>467.96</v>
      </c>
      <c r="P433" t="inlineStr">
        <is>
          <t>03 - SP CAPITAL</t>
        </is>
      </c>
      <c r="Q433" t="inlineStr">
        <is>
          <t>LARISSA PADILHA</t>
        </is>
      </c>
      <c r="S433" t="inlineStr">
        <is>
          <t>ZR - NAO APLICAVEL</t>
        </is>
      </c>
      <c r="T433" t="inlineStr">
        <is>
          <t>ZV - NAO APLICAVEL</t>
        </is>
      </c>
      <c r="V433" t="inlineStr">
        <is>
          <t>demais</t>
        </is>
      </c>
      <c r="W433" t="inlineStr">
        <is>
          <t>REGIÕES/GRUPOS</t>
        </is>
      </c>
    </row>
    <row r="434" ht="15" customHeight="1">
      <c r="A434" t="n">
        <v>0.118789</v>
      </c>
      <c r="B434" t="inlineStr">
        <is>
          <t>VERMELHO</t>
        </is>
      </c>
      <c r="C434" t="n">
        <v>5615.5</v>
      </c>
      <c r="D434" t="n">
        <v>667.0599999999999</v>
      </c>
      <c r="E434" t="n">
        <v>5615.5</v>
      </c>
      <c r="F434" s="6" t="n">
        <v>0.118789</v>
      </c>
      <c r="G434" t="inlineStr">
        <is>
          <t>SEM GRUPO</t>
        </is>
      </c>
      <c r="H434" t="inlineStr">
        <is>
          <t>BA</t>
        </is>
      </c>
      <c r="I434" t="n">
        <v>75991448812</v>
      </c>
      <c r="J434" t="inlineStr">
        <is>
          <t>Plano de Negócio</t>
        </is>
      </c>
      <c r="K434" t="inlineStr">
        <is>
          <t>SEM REDE</t>
        </is>
      </c>
      <c r="L434" t="inlineStr">
        <is>
          <t>BA</t>
        </is>
      </c>
      <c r="M434" t="n">
        <v>75991448812</v>
      </c>
      <c r="N434" t="n">
        <v>667.0599999999999</v>
      </c>
      <c r="O434" t="n">
        <v>467.96</v>
      </c>
      <c r="P434" t="inlineStr">
        <is>
          <t>03 - NORDESTE (SEM MA)</t>
        </is>
      </c>
      <c r="Q434" t="inlineStr">
        <is>
          <t>LARISSA PADILHA</t>
        </is>
      </c>
      <c r="S434" t="inlineStr">
        <is>
          <t>42.149.466 LARISSA DA SILVA PADILHA - ME</t>
        </is>
      </c>
      <c r="T434" t="inlineStr">
        <is>
          <t>ZV - NAO APLICAVEL</t>
        </is>
      </c>
      <c r="V434" t="inlineStr">
        <is>
          <t>demais</t>
        </is>
      </c>
      <c r="W434" t="inlineStr">
        <is>
          <t>REGIÕES/GRUPOS</t>
        </is>
      </c>
    </row>
    <row r="435" ht="15" customHeight="1">
      <c r="A435" t="n">
        <v>0.101171</v>
      </c>
      <c r="B435" t="inlineStr">
        <is>
          <t>VERMELHO</t>
        </is>
      </c>
      <c r="C435" t="n">
        <v>6566.04</v>
      </c>
      <c r="D435" t="n">
        <v>664.29</v>
      </c>
      <c r="E435" t="n">
        <v>6566.04</v>
      </c>
      <c r="F435" s="6" t="n">
        <v>0.101171</v>
      </c>
      <c r="G435" t="inlineStr">
        <is>
          <t>DIVINA TERRA</t>
        </is>
      </c>
      <c r="H435" t="inlineStr">
        <is>
          <t>SC</t>
        </is>
      </c>
      <c r="I435" t="n">
        <v>49991030124</v>
      </c>
      <c r="J435" t="inlineStr">
        <is>
          <t>Plano de Negócio</t>
        </is>
      </c>
      <c r="K435" t="inlineStr">
        <is>
          <t>DIVINA TERRA</t>
        </is>
      </c>
      <c r="L435" t="inlineStr">
        <is>
          <t>SC</t>
        </is>
      </c>
      <c r="M435" t="n">
        <v>49991030124</v>
      </c>
      <c r="N435" t="n">
        <v>664.29</v>
      </c>
      <c r="O435" t="n">
        <v>547.17</v>
      </c>
      <c r="P435" t="inlineStr">
        <is>
          <t>03 - NACIONAL</t>
        </is>
      </c>
      <c r="Q435" t="inlineStr">
        <is>
          <t>DAIANE STAVICKI</t>
        </is>
      </c>
      <c r="S435" t="inlineStr">
        <is>
          <t>ZR - NAO APLICAVEL</t>
        </is>
      </c>
      <c r="T435" t="inlineStr">
        <is>
          <t>ZV - NAO APLICAVEL</t>
        </is>
      </c>
      <c r="V435" t="inlineStr">
        <is>
          <t>demais</t>
        </is>
      </c>
      <c r="W435" t="inlineStr">
        <is>
          <t>REDES E FRANQUIAS</t>
        </is>
      </c>
    </row>
    <row r="436" ht="15" customHeight="1">
      <c r="A436" t="n">
        <v>0.1181</v>
      </c>
      <c r="B436" t="inlineStr">
        <is>
          <t>VERMELHO</t>
        </is>
      </c>
      <c r="C436" t="n">
        <v>5615.5</v>
      </c>
      <c r="D436" t="n">
        <v>663.1900000000001</v>
      </c>
      <c r="E436" t="n">
        <v>5615.5</v>
      </c>
      <c r="F436" s="6" t="n">
        <v>0.1181</v>
      </c>
      <c r="G436" t="inlineStr">
        <is>
          <t>SEM GRUPO</t>
        </is>
      </c>
      <c r="H436" t="inlineStr">
        <is>
          <t>SC</t>
        </is>
      </c>
      <c r="I436" t="n">
        <v>47984065800</v>
      </c>
      <c r="J436" t="inlineStr">
        <is>
          <t>Plano de Negócio</t>
        </is>
      </c>
      <c r="K436" t="inlineStr">
        <is>
          <t>SEM REDE</t>
        </is>
      </c>
      <c r="L436" t="inlineStr">
        <is>
          <t>SC</t>
        </is>
      </c>
      <c r="M436" t="n">
        <v>47984065800</v>
      </c>
      <c r="N436" t="n">
        <v>663.1900000000001</v>
      </c>
      <c r="O436" t="n">
        <v>467.96</v>
      </c>
      <c r="P436" t="inlineStr">
        <is>
          <t>03 - SUL</t>
        </is>
      </c>
      <c r="Q436" t="inlineStr">
        <is>
          <t>HEMANUELE DITZEL (MANU)</t>
        </is>
      </c>
      <c r="S436" t="inlineStr">
        <is>
          <t>ZR - NAO APLICAVEL</t>
        </is>
      </c>
      <c r="T436" t="inlineStr">
        <is>
          <t>HEMANUELE ROSA DITZEL</t>
        </is>
      </c>
      <c r="V436" t="inlineStr">
        <is>
          <t>demais</t>
        </is>
      </c>
      <c r="W436" t="inlineStr">
        <is>
          <t>REGIÕES/GRUPOS</t>
        </is>
      </c>
    </row>
    <row r="437" ht="15" customHeight="1">
      <c r="A437" t="n">
        <v>0.117708</v>
      </c>
      <c r="B437" t="inlineStr">
        <is>
          <t>VERMELHO</t>
        </is>
      </c>
      <c r="C437" t="n">
        <v>5615.5</v>
      </c>
      <c r="D437" t="n">
        <v>660.99</v>
      </c>
      <c r="E437" t="n">
        <v>5615.5</v>
      </c>
      <c r="F437" s="6" t="n">
        <v>0.117708</v>
      </c>
      <c r="G437" t="inlineStr">
        <is>
          <t>SEM GRUPO</t>
        </is>
      </c>
      <c r="H437" t="inlineStr">
        <is>
          <t>PR</t>
        </is>
      </c>
      <c r="I437" t="n">
        <v>4131562009</v>
      </c>
      <c r="J437" t="inlineStr">
        <is>
          <t>Plano de Negócio</t>
        </is>
      </c>
      <c r="K437" t="inlineStr">
        <is>
          <t>SEM REDE</t>
        </is>
      </c>
      <c r="L437" t="inlineStr">
        <is>
          <t>PR</t>
        </is>
      </c>
      <c r="M437" t="n">
        <v>4131562009</v>
      </c>
      <c r="N437" t="n">
        <v>660.99</v>
      </c>
      <c r="O437" t="n">
        <v>467.96</v>
      </c>
      <c r="P437" t="inlineStr">
        <is>
          <t>03 - SUL</t>
        </is>
      </c>
      <c r="Q437" t="inlineStr">
        <is>
          <t>HEMANUELE DITZEL (MANU)</t>
        </is>
      </c>
      <c r="S437" t="inlineStr">
        <is>
          <t>ZR - NAO APLICAVEL</t>
        </is>
      </c>
      <c r="T437" t="inlineStr">
        <is>
          <t>ZV - NAO APLICAVEL</t>
        </is>
      </c>
      <c r="V437" t="inlineStr">
        <is>
          <t>demais</t>
        </is>
      </c>
      <c r="W437" t="inlineStr">
        <is>
          <t>REGIÕES/GRUPOS</t>
        </is>
      </c>
    </row>
    <row r="438" ht="15" customHeight="1">
      <c r="A438" t="n">
        <v>0.117612</v>
      </c>
      <c r="B438" t="inlineStr">
        <is>
          <t>VERMELHO</t>
        </is>
      </c>
      <c r="C438" t="n">
        <v>5615.5</v>
      </c>
      <c r="D438" t="n">
        <v>660.45</v>
      </c>
      <c r="E438" t="n">
        <v>5615.5</v>
      </c>
      <c r="F438" s="6" t="n">
        <v>0.117612</v>
      </c>
      <c r="G438" t="inlineStr">
        <is>
          <t>SEM GRUPO</t>
        </is>
      </c>
      <c r="H438" t="inlineStr">
        <is>
          <t>SP</t>
        </is>
      </c>
      <c r="I438" t="n">
        <v>11966453643</v>
      </c>
      <c r="J438" t="inlineStr">
        <is>
          <t>Plano de Negócio</t>
        </is>
      </c>
      <c r="K438" t="inlineStr">
        <is>
          <t>SEM REDE</t>
        </is>
      </c>
      <c r="L438" t="inlineStr">
        <is>
          <t>SP</t>
        </is>
      </c>
      <c r="M438" t="n">
        <v>11966453643</v>
      </c>
      <c r="N438" t="n">
        <v>660.45</v>
      </c>
      <c r="O438" t="n">
        <v>467.96</v>
      </c>
      <c r="P438" t="inlineStr">
        <is>
          <t>03 - SP CAPITAL</t>
        </is>
      </c>
      <c r="Q438" t="inlineStr">
        <is>
          <t>LARISSA PADILHA</t>
        </is>
      </c>
      <c r="S438" t="inlineStr">
        <is>
          <t>42.149.466 LARISSA DA SILVA PADILHA - ME</t>
        </is>
      </c>
      <c r="T438" t="inlineStr">
        <is>
          <t>ZV - NAO APLICAVEL</t>
        </is>
      </c>
      <c r="V438" t="inlineStr">
        <is>
          <t>demais</t>
        </is>
      </c>
      <c r="W438" t="inlineStr">
        <is>
          <t>REGIÕES/GRUPOS</t>
        </is>
      </c>
    </row>
    <row r="439" ht="15" customHeight="1">
      <c r="A439" t="n">
        <v>0.117001</v>
      </c>
      <c r="B439" t="inlineStr">
        <is>
          <t>VERMELHO</t>
        </is>
      </c>
      <c r="C439" t="n">
        <v>5615.5</v>
      </c>
      <c r="D439" t="n">
        <v>657.02</v>
      </c>
      <c r="E439" t="n">
        <v>5615.5</v>
      </c>
      <c r="F439" s="6" t="n">
        <v>0.117001</v>
      </c>
      <c r="G439" t="inlineStr">
        <is>
          <t>SEM GRUPO</t>
        </is>
      </c>
      <c r="H439" t="inlineStr">
        <is>
          <t>PB</t>
        </is>
      </c>
      <c r="I439" t="n">
        <v>83981815719</v>
      </c>
      <c r="J439" t="inlineStr">
        <is>
          <t>Plano de Negócio</t>
        </is>
      </c>
      <c r="K439" t="inlineStr">
        <is>
          <t>SEM REDE</t>
        </is>
      </c>
      <c r="L439" t="inlineStr">
        <is>
          <t>PB</t>
        </is>
      </c>
      <c r="M439" t="n">
        <v>83981815719</v>
      </c>
      <c r="N439" t="n">
        <v>657.02</v>
      </c>
      <c r="O439" t="n">
        <v>467.96</v>
      </c>
      <c r="P439" t="inlineStr">
        <is>
          <t>03 - NORDESTE (SEM MA)</t>
        </is>
      </c>
      <c r="Q439" t="inlineStr">
        <is>
          <t>LARISSA PADILHA</t>
        </is>
      </c>
      <c r="S439" t="inlineStr">
        <is>
          <t>42.149.466 LARISSA DA SILVA PADILHA - ME</t>
        </is>
      </c>
      <c r="T439" t="inlineStr">
        <is>
          <t>ZV - NAO APLICAVEL</t>
        </is>
      </c>
      <c r="V439" t="inlineStr">
        <is>
          <t>demais</t>
        </is>
      </c>
      <c r="W439" t="inlineStr">
        <is>
          <t>REGIÕES/GRUPOS</t>
        </is>
      </c>
    </row>
    <row r="440" ht="15" customHeight="1">
      <c r="A440" t="n">
        <v>0.116333</v>
      </c>
      <c r="B440" t="inlineStr">
        <is>
          <t>VERMELHO</t>
        </is>
      </c>
      <c r="C440" t="n">
        <v>5615.5</v>
      </c>
      <c r="D440" t="n">
        <v>653.27</v>
      </c>
      <c r="E440" t="n">
        <v>5615.5</v>
      </c>
      <c r="F440" s="6" t="n">
        <v>0.116333</v>
      </c>
      <c r="G440" t="inlineStr">
        <is>
          <t>SEM GRUPO</t>
        </is>
      </c>
      <c r="H440" t="inlineStr">
        <is>
          <t>RS</t>
        </is>
      </c>
      <c r="I440" t="n">
        <v>51996615844</v>
      </c>
      <c r="J440" t="inlineStr">
        <is>
          <t>Plano de Negócio</t>
        </is>
      </c>
      <c r="K440" t="inlineStr">
        <is>
          <t>SEM REDE</t>
        </is>
      </c>
      <c r="L440" t="inlineStr">
        <is>
          <t>RS</t>
        </is>
      </c>
      <c r="M440" t="n">
        <v>51996615844</v>
      </c>
      <c r="N440" t="n">
        <v>653.27</v>
      </c>
      <c r="O440" t="n">
        <v>467.96</v>
      </c>
      <c r="P440" t="inlineStr">
        <is>
          <t>03 - SUL</t>
        </is>
      </c>
      <c r="Q440" t="inlineStr">
        <is>
          <t>HEMANUELE DITZEL (MANU)</t>
        </is>
      </c>
      <c r="S440" t="inlineStr">
        <is>
          <t>ZR - NAO APLICAVEL</t>
        </is>
      </c>
      <c r="T440" t="inlineStr">
        <is>
          <t>ZV - NAO APLICAVEL</t>
        </is>
      </c>
      <c r="V440" t="inlineStr">
        <is>
          <t>demais</t>
        </is>
      </c>
      <c r="W440" t="inlineStr">
        <is>
          <t>REGIÕES/GRUPOS</t>
        </is>
      </c>
    </row>
    <row r="441" ht="15" customHeight="1">
      <c r="A441" t="n">
        <v>0.116164</v>
      </c>
      <c r="B441" t="inlineStr">
        <is>
          <t>VERMELHO</t>
        </is>
      </c>
      <c r="C441" t="n">
        <v>5615.5</v>
      </c>
      <c r="D441" t="n">
        <v>652.3200000000001</v>
      </c>
      <c r="E441" t="n">
        <v>5615.5</v>
      </c>
      <c r="F441" s="6" t="n">
        <v>0.116164</v>
      </c>
      <c r="G441" t="inlineStr">
        <is>
          <t>SEM GRUPO</t>
        </is>
      </c>
      <c r="H441" t="inlineStr">
        <is>
          <t>SP</t>
        </is>
      </c>
      <c r="I441" t="n">
        <v>16991341864</v>
      </c>
      <c r="J441" t="inlineStr">
        <is>
          <t>Plano de Negócio</t>
        </is>
      </c>
      <c r="K441" t="inlineStr">
        <is>
          <t>SEM REDE</t>
        </is>
      </c>
      <c r="L441" t="inlineStr">
        <is>
          <t>SP</t>
        </is>
      </c>
      <c r="M441" t="n">
        <v>16991341864</v>
      </c>
      <c r="N441" t="n">
        <v>652.3200000000001</v>
      </c>
      <c r="O441" t="n">
        <v>467.96</v>
      </c>
      <c r="P441" t="inlineStr">
        <is>
          <t>03 - SP INTERIOR</t>
        </is>
      </c>
      <c r="Q441" t="inlineStr">
        <is>
          <t>LARISSA PADILHA</t>
        </is>
      </c>
      <c r="S441" t="inlineStr">
        <is>
          <t>42.149.466 LARISSA DA SILVA PADILHA - ME</t>
        </is>
      </c>
      <c r="T441" t="inlineStr">
        <is>
          <t>ZV - NAO APLICAVEL</t>
        </is>
      </c>
      <c r="V441" t="inlineStr">
        <is>
          <t>demais</t>
        </is>
      </c>
      <c r="W441" t="inlineStr">
        <is>
          <t>REGIÕES/GRUPOS</t>
        </is>
      </c>
    </row>
    <row r="442" ht="15" customHeight="1">
      <c r="A442" t="n">
        <v>0.116136</v>
      </c>
      <c r="B442" t="inlineStr">
        <is>
          <t>VERMELHO</t>
        </is>
      </c>
      <c r="C442" t="n">
        <v>5615.5</v>
      </c>
      <c r="D442" t="n">
        <v>652.16</v>
      </c>
      <c r="E442" t="n">
        <v>5615.5</v>
      </c>
      <c r="F442" s="6" t="n">
        <v>0.116136</v>
      </c>
      <c r="G442" t="inlineStr">
        <is>
          <t>SEM GRUPO</t>
        </is>
      </c>
      <c r="H442" t="inlineStr">
        <is>
          <t>PR</t>
        </is>
      </c>
      <c r="I442" t="n">
        <v>4195403795</v>
      </c>
      <c r="J442" t="inlineStr">
        <is>
          <t>Plano de Negócio</t>
        </is>
      </c>
      <c r="K442" t="inlineStr">
        <is>
          <t>SEM REDE</t>
        </is>
      </c>
      <c r="L442" t="inlineStr">
        <is>
          <t>PR</t>
        </is>
      </c>
      <c r="M442" t="n">
        <v>4195403795</v>
      </c>
      <c r="N442" t="n">
        <v>652.16</v>
      </c>
      <c r="O442" t="n">
        <v>467.96</v>
      </c>
      <c r="P442" t="inlineStr">
        <is>
          <t>03 - SUL</t>
        </is>
      </c>
      <c r="Q442" t="inlineStr">
        <is>
          <t>HEMANUELE DITZEL (MANU)</t>
        </is>
      </c>
      <c r="S442" t="inlineStr">
        <is>
          <t>ZR - NAO APLICAVEL</t>
        </is>
      </c>
      <c r="T442" t="inlineStr">
        <is>
          <t>HEMANUELE ROSA DITZEL</t>
        </is>
      </c>
      <c r="V442" t="inlineStr">
        <is>
          <t>demais</t>
        </is>
      </c>
      <c r="W442" t="inlineStr">
        <is>
          <t>REGIÕES/GRUPOS</t>
        </is>
      </c>
    </row>
    <row r="443" ht="15" customHeight="1">
      <c r="A443" t="n">
        <v>0.115838</v>
      </c>
      <c r="B443" t="inlineStr">
        <is>
          <t>VERMELHO</t>
        </is>
      </c>
      <c r="C443" t="n">
        <v>5615.5</v>
      </c>
      <c r="D443" t="n">
        <v>650.49</v>
      </c>
      <c r="E443" t="n">
        <v>5615.5</v>
      </c>
      <c r="F443" s="6" t="n">
        <v>0.115838</v>
      </c>
      <c r="G443" t="inlineStr">
        <is>
          <t>SEM GRUPO</t>
        </is>
      </c>
      <c r="H443" t="inlineStr">
        <is>
          <t>MS</t>
        </is>
      </c>
      <c r="I443" t="n">
        <v>44970646226</v>
      </c>
      <c r="J443" t="inlineStr">
        <is>
          <t>Plano de Negócio</t>
        </is>
      </c>
      <c r="K443" t="inlineStr">
        <is>
          <t>SEM REDE</t>
        </is>
      </c>
      <c r="L443" t="inlineStr">
        <is>
          <t>MS</t>
        </is>
      </c>
      <c r="M443" t="n">
        <v>44970646226</v>
      </c>
      <c r="N443" t="n">
        <v>650.49</v>
      </c>
      <c r="O443" t="n">
        <v>467.96</v>
      </c>
      <c r="P443" t="inlineStr">
        <is>
          <t>03 - CENTRO OESTE</t>
        </is>
      </c>
      <c r="Q443" t="inlineStr">
        <is>
          <t>LARISSA PADILHA</t>
        </is>
      </c>
      <c r="S443" t="inlineStr">
        <is>
          <t>42.149.466 LARISSA DA SILVA PADILHA - ME</t>
        </is>
      </c>
      <c r="T443" t="inlineStr">
        <is>
          <t>ZV - NAO APLICAVEL</t>
        </is>
      </c>
      <c r="V443" t="inlineStr">
        <is>
          <t>demais</t>
        </is>
      </c>
      <c r="W443" t="inlineStr">
        <is>
          <t>REGIÕES/GRUPOS</t>
        </is>
      </c>
    </row>
    <row r="444" ht="15" customHeight="1">
      <c r="A444" t="n">
        <v>0.115712</v>
      </c>
      <c r="B444" t="inlineStr">
        <is>
          <t>VERMELHO</t>
        </is>
      </c>
      <c r="C444" t="n">
        <v>5615.5</v>
      </c>
      <c r="D444" t="n">
        <v>649.78</v>
      </c>
      <c r="E444" t="n">
        <v>5615.5</v>
      </c>
      <c r="F444" s="6" t="n">
        <v>0.115712</v>
      </c>
      <c r="G444" t="inlineStr">
        <is>
          <t>SEM GRUPO</t>
        </is>
      </c>
      <c r="H444" t="inlineStr">
        <is>
          <t>SC</t>
        </is>
      </c>
      <c r="I444" t="n">
        <v>49984379123</v>
      </c>
      <c r="J444" t="inlineStr">
        <is>
          <t>Plano de Negócio</t>
        </is>
      </c>
      <c r="K444" t="inlineStr">
        <is>
          <t>SEM REDE</t>
        </is>
      </c>
      <c r="L444" t="inlineStr">
        <is>
          <t>SC</t>
        </is>
      </c>
      <c r="M444" t="n">
        <v>49984379123</v>
      </c>
      <c r="N444" t="n">
        <v>649.78</v>
      </c>
      <c r="O444" t="n">
        <v>467.96</v>
      </c>
      <c r="P444" t="inlineStr">
        <is>
          <t>03 - SUL</t>
        </is>
      </c>
      <c r="Q444" t="inlineStr">
        <is>
          <t>HEMANUELE DITZEL (MANU)</t>
        </is>
      </c>
      <c r="S444" t="inlineStr">
        <is>
          <t>ZR - NAO APLICAVEL</t>
        </is>
      </c>
      <c r="T444" t="inlineStr">
        <is>
          <t>HEMANUELE ROSA DITZEL</t>
        </is>
      </c>
      <c r="V444" t="inlineStr">
        <is>
          <t>demais</t>
        </is>
      </c>
      <c r="W444" t="inlineStr">
        <is>
          <t>REGIÕES/GRUPOS</t>
        </is>
      </c>
    </row>
    <row r="445" ht="15" customHeight="1">
      <c r="A445" t="n">
        <v>0.115699</v>
      </c>
      <c r="B445" t="inlineStr">
        <is>
          <t>VERMELHO</t>
        </is>
      </c>
      <c r="C445" t="n">
        <v>5615.5</v>
      </c>
      <c r="D445" t="n">
        <v>649.71</v>
      </c>
      <c r="E445" t="n">
        <v>5615.5</v>
      </c>
      <c r="F445" s="6" t="n">
        <v>0.115699</v>
      </c>
      <c r="G445" t="inlineStr">
        <is>
          <t>SEM GRUPO</t>
        </is>
      </c>
      <c r="H445" t="inlineStr">
        <is>
          <t>RS</t>
        </is>
      </c>
      <c r="I445" t="n">
        <v>54999199019</v>
      </c>
      <c r="J445" t="inlineStr">
        <is>
          <t>Plano de Negócio</t>
        </is>
      </c>
      <c r="K445" t="inlineStr">
        <is>
          <t>SEM REDE</t>
        </is>
      </c>
      <c r="L445" t="inlineStr">
        <is>
          <t>RS</t>
        </is>
      </c>
      <c r="M445" t="n">
        <v>54999199019</v>
      </c>
      <c r="N445" t="n">
        <v>649.71</v>
      </c>
      <c r="O445" t="n">
        <v>467.96</v>
      </c>
      <c r="P445" t="inlineStr">
        <is>
          <t>03 - SUL</t>
        </is>
      </c>
      <c r="Q445" t="inlineStr">
        <is>
          <t>HEMANUELE DITZEL (MANU)</t>
        </is>
      </c>
      <c r="S445" t="inlineStr">
        <is>
          <t>ZR - NAO APLICAVEL</t>
        </is>
      </c>
      <c r="T445" t="inlineStr">
        <is>
          <t>HEMANUELE ROSA DITZEL</t>
        </is>
      </c>
      <c r="V445" t="inlineStr">
        <is>
          <t>demais</t>
        </is>
      </c>
      <c r="W445" t="inlineStr">
        <is>
          <t>REGIÕES/GRUPOS</t>
        </is>
      </c>
    </row>
    <row r="446" ht="15" customHeight="1">
      <c r="A446" t="n">
        <v>0.114636</v>
      </c>
      <c r="B446" t="inlineStr">
        <is>
          <t>VERMELHO</t>
        </is>
      </c>
      <c r="C446" t="n">
        <v>5615.5</v>
      </c>
      <c r="D446" t="n">
        <v>643.74</v>
      </c>
      <c r="E446" t="n">
        <v>5615.5</v>
      </c>
      <c r="F446" s="6" t="n">
        <v>0.114636</v>
      </c>
      <c r="G446" t="inlineStr">
        <is>
          <t>SEM GRUPO</t>
        </is>
      </c>
      <c r="H446" t="inlineStr">
        <is>
          <t>SC</t>
        </is>
      </c>
      <c r="I446" t="n">
        <v>4834436589</v>
      </c>
      <c r="J446" t="inlineStr">
        <is>
          <t>Plano de Negócio</t>
        </is>
      </c>
      <c r="K446" t="inlineStr">
        <is>
          <t>SEM REDE</t>
        </is>
      </c>
      <c r="L446" t="inlineStr">
        <is>
          <t>SC</t>
        </is>
      </c>
      <c r="M446" t="n">
        <v>4834436589</v>
      </c>
      <c r="N446" t="n">
        <v>643.74</v>
      </c>
      <c r="O446" t="n">
        <v>467.96</v>
      </c>
      <c r="P446" t="inlineStr">
        <is>
          <t>03 - SUL</t>
        </is>
      </c>
      <c r="Q446" t="inlineStr">
        <is>
          <t>HEMANUELE DITZEL (MANU)</t>
        </is>
      </c>
      <c r="S446" t="inlineStr">
        <is>
          <t>ZR - NAO APLICAVEL</t>
        </is>
      </c>
      <c r="T446" t="inlineStr">
        <is>
          <t>HEMANUELE ROSA DITZEL</t>
        </is>
      </c>
      <c r="V446" t="inlineStr">
        <is>
          <t>demais</t>
        </is>
      </c>
      <c r="W446" t="inlineStr">
        <is>
          <t>REGIÕES/GRUPOS</t>
        </is>
      </c>
    </row>
    <row r="447" ht="15" customHeight="1">
      <c r="A447" t="n">
        <v>0.114136</v>
      </c>
      <c r="B447" t="inlineStr">
        <is>
          <t>VERMELHO</t>
        </is>
      </c>
      <c r="C447" t="n">
        <v>5615.5</v>
      </c>
      <c r="D447" t="n">
        <v>640.9299999999999</v>
      </c>
      <c r="E447" t="n">
        <v>5615.5</v>
      </c>
      <c r="F447" s="6" t="n">
        <v>0.114136</v>
      </c>
      <c r="G447" t="inlineStr">
        <is>
          <t>SEM GRUPO</t>
        </is>
      </c>
      <c r="H447" t="inlineStr">
        <is>
          <t>SC</t>
        </is>
      </c>
      <c r="I447" t="n">
        <v>1</v>
      </c>
      <c r="J447" t="inlineStr">
        <is>
          <t>Plano de Negócio</t>
        </is>
      </c>
      <c r="K447" t="inlineStr">
        <is>
          <t>SEM REDE</t>
        </is>
      </c>
      <c r="L447" t="inlineStr">
        <is>
          <t>SC</t>
        </is>
      </c>
      <c r="M447" t="n">
        <v>1</v>
      </c>
      <c r="N447" t="n">
        <v>640.9299999999999</v>
      </c>
      <c r="O447" t="n">
        <v>467.96</v>
      </c>
      <c r="P447" t="inlineStr">
        <is>
          <t>03 - SUL</t>
        </is>
      </c>
      <c r="Q447" t="inlineStr">
        <is>
          <t>HEMANUELE DITZEL (MANU)</t>
        </is>
      </c>
      <c r="S447" t="inlineStr">
        <is>
          <t>ZR - NAO APLICAVEL</t>
        </is>
      </c>
      <c r="T447" t="inlineStr">
        <is>
          <t>ZV - NAO APLICAVEL</t>
        </is>
      </c>
      <c r="V447" t="inlineStr">
        <is>
          <t>demais</t>
        </is>
      </c>
      <c r="W447" t="inlineStr">
        <is>
          <t>REGIÕES/GRUPOS</t>
        </is>
      </c>
    </row>
    <row r="448" ht="15" customHeight="1">
      <c r="A448" t="n">
        <v>0.114107</v>
      </c>
      <c r="B448" t="inlineStr">
        <is>
          <t>VERMELHO</t>
        </is>
      </c>
      <c r="C448" t="n">
        <v>5615.5</v>
      </c>
      <c r="D448" t="n">
        <v>640.77</v>
      </c>
      <c r="E448" t="n">
        <v>5615.5</v>
      </c>
      <c r="F448" s="6" t="n">
        <v>0.114107</v>
      </c>
      <c r="G448" t="inlineStr">
        <is>
          <t>SEM GRUPO</t>
        </is>
      </c>
      <c r="H448" t="inlineStr">
        <is>
          <t>PR</t>
        </is>
      </c>
      <c r="I448" t="n">
        <v>4134084191</v>
      </c>
      <c r="J448" t="inlineStr">
        <is>
          <t>Plano de Negócio</t>
        </is>
      </c>
      <c r="K448" t="inlineStr">
        <is>
          <t>SEM REDE</t>
        </is>
      </c>
      <c r="L448" t="inlineStr">
        <is>
          <t>PR</t>
        </is>
      </c>
      <c r="M448" t="n">
        <v>4134084191</v>
      </c>
      <c r="N448" t="n">
        <v>640.77</v>
      </c>
      <c r="O448" t="n">
        <v>467.96</v>
      </c>
      <c r="P448" t="inlineStr">
        <is>
          <t>03 - SUL</t>
        </is>
      </c>
      <c r="Q448" t="inlineStr">
        <is>
          <t>HEMANUELE DITZEL (MANU)</t>
        </is>
      </c>
      <c r="S448" t="inlineStr">
        <is>
          <t>ZR - NAO APLICAVEL</t>
        </is>
      </c>
      <c r="T448" t="inlineStr">
        <is>
          <t>ZV - NAO APLICAVEL</t>
        </is>
      </c>
      <c r="V448" t="inlineStr">
        <is>
          <t>demais</t>
        </is>
      </c>
      <c r="W448" t="inlineStr">
        <is>
          <t>REGIÕES/GRUPOS</t>
        </is>
      </c>
    </row>
    <row r="449" ht="15" customHeight="1">
      <c r="A449" t="n">
        <v>0.113801</v>
      </c>
      <c r="B449" t="inlineStr">
        <is>
          <t>VERMELHO</t>
        </is>
      </c>
      <c r="C449" t="n">
        <v>5615.5</v>
      </c>
      <c r="D449" t="n">
        <v>639.05</v>
      </c>
      <c r="E449" t="n">
        <v>5615.5</v>
      </c>
      <c r="F449" s="6" t="n">
        <v>0.113801</v>
      </c>
      <c r="G449" t="inlineStr">
        <is>
          <t>SEM GRUPO</t>
        </is>
      </c>
      <c r="H449" t="inlineStr">
        <is>
          <t>MG</t>
        </is>
      </c>
      <c r="I449" t="n">
        <v>3598024566</v>
      </c>
      <c r="J449" t="inlineStr">
        <is>
          <t>Plano de Negócio</t>
        </is>
      </c>
      <c r="K449" t="inlineStr">
        <is>
          <t>SEM REDE</t>
        </is>
      </c>
      <c r="L449" t="inlineStr">
        <is>
          <t>MG</t>
        </is>
      </c>
      <c r="M449" t="n">
        <v>3598024566</v>
      </c>
      <c r="N449" t="n">
        <v>639.05</v>
      </c>
      <c r="O449" t="n">
        <v>467.96</v>
      </c>
      <c r="P449" t="inlineStr">
        <is>
          <t>03 - RJ + ES + MG</t>
        </is>
      </c>
      <c r="Q449" t="inlineStr">
        <is>
          <t>LARISSA PADILHA</t>
        </is>
      </c>
      <c r="S449" t="inlineStr">
        <is>
          <t>42.149.466 LARISSA DA SILVA PADILHA - ME</t>
        </is>
      </c>
      <c r="T449" t="inlineStr">
        <is>
          <t>ZV - NAO APLICAVEL</t>
        </is>
      </c>
      <c r="V449" t="inlineStr">
        <is>
          <t>demais</t>
        </is>
      </c>
      <c r="W449" t="inlineStr">
        <is>
          <t>REGIÕES/GRUPOS</t>
        </is>
      </c>
    </row>
    <row r="450" ht="15" customHeight="1">
      <c r="A450" t="n">
        <v>0.113792</v>
      </c>
      <c r="B450" t="inlineStr">
        <is>
          <t>VERMELHO</t>
        </is>
      </c>
      <c r="C450" t="n">
        <v>5615.5</v>
      </c>
      <c r="D450" t="n">
        <v>639</v>
      </c>
      <c r="E450" t="n">
        <v>5615.5</v>
      </c>
      <c r="F450" s="6" t="n">
        <v>0.113792</v>
      </c>
      <c r="G450" t="inlineStr">
        <is>
          <t>SEM GRUPO</t>
        </is>
      </c>
      <c r="H450" t="inlineStr">
        <is>
          <t>SC</t>
        </is>
      </c>
      <c r="I450" t="n">
        <v>4898322004</v>
      </c>
      <c r="J450" t="inlineStr">
        <is>
          <t>Plano de Negócio</t>
        </is>
      </c>
      <c r="K450" t="inlineStr">
        <is>
          <t>SEM REDE</t>
        </is>
      </c>
      <c r="L450" t="inlineStr">
        <is>
          <t>SC</t>
        </is>
      </c>
      <c r="M450" t="n">
        <v>4898322004</v>
      </c>
      <c r="N450" t="n">
        <v>639</v>
      </c>
      <c r="O450" t="n">
        <v>467.96</v>
      </c>
      <c r="P450" t="inlineStr">
        <is>
          <t>03 - SUL</t>
        </is>
      </c>
      <c r="Q450" t="inlineStr">
        <is>
          <t>HEMANUELE DITZEL (MANU)</t>
        </is>
      </c>
      <c r="S450" t="inlineStr">
        <is>
          <t>ZR - NAO APLICAVEL</t>
        </is>
      </c>
      <c r="T450" t="inlineStr">
        <is>
          <t>HEMANUELE ROSA DITZEL</t>
        </is>
      </c>
      <c r="V450" t="inlineStr">
        <is>
          <t>demais</t>
        </is>
      </c>
      <c r="W450" t="inlineStr">
        <is>
          <t>REGIÕES/GRUPOS</t>
        </is>
      </c>
    </row>
    <row r="451" ht="15" customHeight="1">
      <c r="A451" t="n">
        <v>0.058176</v>
      </c>
      <c r="B451" t="inlineStr">
        <is>
          <t>VERMELHO</t>
        </is>
      </c>
      <c r="C451" t="n">
        <v>10875</v>
      </c>
      <c r="D451" t="n">
        <v>632.66</v>
      </c>
      <c r="E451" t="n">
        <v>10875</v>
      </c>
      <c r="F451" s="6" t="n">
        <v>0.058176</v>
      </c>
      <c r="G451" t="inlineStr">
        <is>
          <t>CIA DA SAUDE</t>
        </is>
      </c>
      <c r="H451" t="inlineStr">
        <is>
          <t>RS</t>
        </is>
      </c>
      <c r="I451" t="n">
        <v>51997038430</v>
      </c>
      <c r="J451" t="inlineStr">
        <is>
          <t>Prospecção</t>
        </is>
      </c>
      <c r="K451" t="inlineStr">
        <is>
          <t>CIA DA SAUDE</t>
        </is>
      </c>
      <c r="L451" t="inlineStr">
        <is>
          <t>RS</t>
        </is>
      </c>
      <c r="M451" t="n">
        <v>51997038430</v>
      </c>
      <c r="N451" t="n">
        <v>632.66</v>
      </c>
      <c r="O451" t="n">
        <v>906.25</v>
      </c>
      <c r="P451" t="inlineStr">
        <is>
          <t>03 - NACIONAL</t>
        </is>
      </c>
      <c r="Q451" t="inlineStr">
        <is>
          <t>HEMANUELE DITZEL (MANU)</t>
        </is>
      </c>
      <c r="S451" t="inlineStr">
        <is>
          <t>ZR - NAO APLICAVEL</t>
        </is>
      </c>
      <c r="T451" t="inlineStr">
        <is>
          <t>HEMANUELE ROSA DITZEL</t>
        </is>
      </c>
      <c r="V451" t="inlineStr">
        <is>
          <t>demais</t>
        </is>
      </c>
      <c r="W451" t="inlineStr">
        <is>
          <t>REDES E FRANQUIAS</t>
        </is>
      </c>
    </row>
    <row r="452" ht="15" customHeight="1">
      <c r="A452" t="n">
        <v>0.112284</v>
      </c>
      <c r="B452" t="inlineStr">
        <is>
          <t>VERMELHO</t>
        </is>
      </c>
      <c r="C452" t="n">
        <v>5615.5</v>
      </c>
      <c r="D452" t="n">
        <v>630.53</v>
      </c>
      <c r="E452" t="n">
        <v>5615.5</v>
      </c>
      <c r="F452" s="6" t="n">
        <v>0.112284</v>
      </c>
      <c r="G452" t="inlineStr">
        <is>
          <t>SEM GRUPO</t>
        </is>
      </c>
      <c r="H452" t="inlineStr">
        <is>
          <t>MG</t>
        </is>
      </c>
      <c r="I452" t="n">
        <v>19981135234</v>
      </c>
      <c r="J452" t="inlineStr">
        <is>
          <t>Plano de Negócio</t>
        </is>
      </c>
      <c r="K452" t="inlineStr">
        <is>
          <t>SEM REDE</t>
        </is>
      </c>
      <c r="L452" t="inlineStr">
        <is>
          <t>MG</t>
        </is>
      </c>
      <c r="M452" t="n">
        <v>19981135234</v>
      </c>
      <c r="N452" t="n">
        <v>630.53</v>
      </c>
      <c r="O452" t="n">
        <v>467.96</v>
      </c>
      <c r="P452" t="inlineStr">
        <is>
          <t>03 - RJ + ES + MG</t>
        </is>
      </c>
      <c r="Q452" t="inlineStr">
        <is>
          <t>LARISSA PADILHA</t>
        </is>
      </c>
      <c r="S452" t="inlineStr">
        <is>
          <t>42.149.466 LARISSA DA SILVA PADILHA - ME</t>
        </is>
      </c>
      <c r="T452" t="inlineStr">
        <is>
          <t>ZV - NAO APLICAVEL</t>
        </is>
      </c>
      <c r="V452" t="inlineStr">
        <is>
          <t>demais</t>
        </is>
      </c>
      <c r="W452" t="inlineStr">
        <is>
          <t>REGIÕES/GRUPOS</t>
        </is>
      </c>
    </row>
    <row r="453" ht="15" customHeight="1">
      <c r="A453" t="n">
        <v>0.11214</v>
      </c>
      <c r="B453" t="inlineStr">
        <is>
          <t>VERMELHO</t>
        </is>
      </c>
      <c r="C453" t="n">
        <v>5615.5</v>
      </c>
      <c r="D453" t="n">
        <v>629.72</v>
      </c>
      <c r="E453" t="n">
        <v>5615.5</v>
      </c>
      <c r="F453" s="6" t="n">
        <v>0.11214</v>
      </c>
      <c r="G453" t="inlineStr">
        <is>
          <t>SEM GRUPO</t>
        </is>
      </c>
      <c r="H453" t="inlineStr">
        <is>
          <t>SP</t>
        </is>
      </c>
      <c r="I453" t="n">
        <v>4499253701</v>
      </c>
      <c r="J453" t="inlineStr">
        <is>
          <t>Plano de Negócio</t>
        </is>
      </c>
      <c r="K453" t="inlineStr">
        <is>
          <t>SEM REDE</t>
        </is>
      </c>
      <c r="L453" t="inlineStr">
        <is>
          <t>SP</t>
        </is>
      </c>
      <c r="M453" t="n">
        <v>4499253701</v>
      </c>
      <c r="N453" t="n">
        <v>629.72</v>
      </c>
      <c r="O453" t="n">
        <v>467.96</v>
      </c>
      <c r="P453" t="inlineStr">
        <is>
          <t>03 - SP INTERIOR</t>
        </is>
      </c>
      <c r="Q453" t="inlineStr">
        <is>
          <t>HEMANUELE DITZEL (MANU)</t>
        </is>
      </c>
      <c r="S453" t="inlineStr">
        <is>
          <t>ZR - NAO APLICAVEL</t>
        </is>
      </c>
      <c r="T453" t="inlineStr">
        <is>
          <t>HEMANUELE ROSA DITZEL</t>
        </is>
      </c>
      <c r="V453" t="inlineStr">
        <is>
          <t>demais</t>
        </is>
      </c>
      <c r="W453" t="inlineStr">
        <is>
          <t>REGIÕES/GRUPOS</t>
        </is>
      </c>
    </row>
    <row r="454" ht="15" customHeight="1">
      <c r="A454" t="n">
        <v>0.109807</v>
      </c>
      <c r="B454" t="inlineStr">
        <is>
          <t>VERMELHO</t>
        </is>
      </c>
      <c r="C454" t="n">
        <v>5615.5</v>
      </c>
      <c r="D454" t="n">
        <v>616.62</v>
      </c>
      <c r="E454" t="n">
        <v>5615.5</v>
      </c>
      <c r="F454" s="6" t="n">
        <v>0.109807</v>
      </c>
      <c r="G454" t="inlineStr">
        <is>
          <t>SEM GRUPO</t>
        </is>
      </c>
      <c r="H454" t="inlineStr">
        <is>
          <t>SC</t>
        </is>
      </c>
      <c r="I454" t="n">
        <v>4797870432</v>
      </c>
      <c r="J454" t="inlineStr">
        <is>
          <t>Plano de Negócio</t>
        </is>
      </c>
      <c r="K454" t="inlineStr">
        <is>
          <t>SEM REDE</t>
        </is>
      </c>
      <c r="L454" t="inlineStr">
        <is>
          <t>SC</t>
        </is>
      </c>
      <c r="M454" t="n">
        <v>4797870432</v>
      </c>
      <c r="N454" t="n">
        <v>616.62</v>
      </c>
      <c r="O454" t="n">
        <v>467.96</v>
      </c>
      <c r="P454" t="inlineStr">
        <is>
          <t>03 - SUL</t>
        </is>
      </c>
      <c r="Q454" t="inlineStr">
        <is>
          <t>HEMANUELE DITZEL (MANU)</t>
        </is>
      </c>
      <c r="S454" t="inlineStr">
        <is>
          <t>ZR - NAO APLICAVEL</t>
        </is>
      </c>
      <c r="T454" t="inlineStr">
        <is>
          <t>HEMANUELE ROSA DITZEL</t>
        </is>
      </c>
      <c r="V454" t="inlineStr">
        <is>
          <t>demais</t>
        </is>
      </c>
      <c r="W454" t="inlineStr">
        <is>
          <t>REGIÕES/GRUPOS</t>
        </is>
      </c>
    </row>
    <row r="455" ht="15" customHeight="1">
      <c r="A455" t="n">
        <v>0.109271</v>
      </c>
      <c r="B455" t="inlineStr">
        <is>
          <t>VERMELHO</t>
        </is>
      </c>
      <c r="C455" t="n">
        <v>5615.5</v>
      </c>
      <c r="D455" t="n">
        <v>613.61</v>
      </c>
      <c r="E455" t="n">
        <v>5615.5</v>
      </c>
      <c r="F455" s="6" t="n">
        <v>0.109271</v>
      </c>
      <c r="G455" t="inlineStr">
        <is>
          <t>SEM GRUPO</t>
        </is>
      </c>
      <c r="H455" t="inlineStr">
        <is>
          <t>SP</t>
        </is>
      </c>
      <c r="I455" t="n">
        <v>11974594225</v>
      </c>
      <c r="J455" t="inlineStr">
        <is>
          <t>Plano de Negócio</t>
        </is>
      </c>
      <c r="K455" t="inlineStr">
        <is>
          <t>SEM REDE</t>
        </is>
      </c>
      <c r="L455" t="inlineStr">
        <is>
          <t>SP</t>
        </is>
      </c>
      <c r="M455" t="n">
        <v>11974594225</v>
      </c>
      <c r="N455" t="n">
        <v>613.61</v>
      </c>
      <c r="O455" t="n">
        <v>467.96</v>
      </c>
      <c r="P455" t="inlineStr">
        <is>
          <t>03 - SP CAPITAL</t>
        </is>
      </c>
      <c r="Q455" t="inlineStr">
        <is>
          <t>LARISSA PADILHA</t>
        </is>
      </c>
      <c r="S455" t="inlineStr">
        <is>
          <t>42.149.466 LARISSA DA SILVA PADILHA - ME</t>
        </is>
      </c>
      <c r="T455" t="inlineStr">
        <is>
          <t>ZV - NAO APLICAVEL</t>
        </is>
      </c>
      <c r="V455" t="inlineStr">
        <is>
          <t>demais</t>
        </is>
      </c>
      <c r="W455" t="inlineStr">
        <is>
          <t>REGIÕES/GRUPOS</t>
        </is>
      </c>
    </row>
    <row r="456" ht="15" customHeight="1">
      <c r="A456" t="n">
        <v>0.107203</v>
      </c>
      <c r="B456" t="inlineStr">
        <is>
          <t>VERMELHO</t>
        </is>
      </c>
      <c r="C456" t="n">
        <v>5615.5</v>
      </c>
      <c r="D456" t="n">
        <v>602</v>
      </c>
      <c r="E456" t="n">
        <v>5615.5</v>
      </c>
      <c r="F456" s="6" t="n">
        <v>0.107203</v>
      </c>
      <c r="G456" t="inlineStr">
        <is>
          <t>SEM GRUPO</t>
        </is>
      </c>
      <c r="H456" t="inlineStr">
        <is>
          <t>SC</t>
        </is>
      </c>
      <c r="I456" t="n">
        <v>4991100101</v>
      </c>
      <c r="J456" t="inlineStr">
        <is>
          <t>Plano de Negócio</t>
        </is>
      </c>
      <c r="K456" t="inlineStr">
        <is>
          <t>SEM REDE</t>
        </is>
      </c>
      <c r="L456" t="inlineStr">
        <is>
          <t>SC</t>
        </is>
      </c>
      <c r="M456" t="n">
        <v>4991100101</v>
      </c>
      <c r="N456" t="n">
        <v>602</v>
      </c>
      <c r="O456" t="n">
        <v>467.96</v>
      </c>
      <c r="P456" t="inlineStr">
        <is>
          <t>03 - SUL</t>
        </is>
      </c>
      <c r="Q456" t="inlineStr">
        <is>
          <t>HEMANUELE DITZEL (MANU)</t>
        </is>
      </c>
      <c r="S456" t="inlineStr">
        <is>
          <t>ZR - NAO APLICAVEL</t>
        </is>
      </c>
      <c r="T456" t="inlineStr">
        <is>
          <t>HEMANUELE ROSA DITZEL</t>
        </is>
      </c>
      <c r="V456" t="inlineStr">
        <is>
          <t>demais</t>
        </is>
      </c>
      <c r="W456" t="inlineStr">
        <is>
          <t>REGIÕES/GRUPOS</t>
        </is>
      </c>
    </row>
    <row r="457" ht="15" customHeight="1">
      <c r="A457" t="n">
        <v>0.105779</v>
      </c>
      <c r="B457" t="inlineStr">
        <is>
          <t>VERMELHO</t>
        </is>
      </c>
      <c r="C457" t="n">
        <v>5615.5</v>
      </c>
      <c r="D457" t="n">
        <v>594</v>
      </c>
      <c r="E457" t="n">
        <v>5615.5</v>
      </c>
      <c r="F457" s="6" t="n">
        <v>0.105779</v>
      </c>
      <c r="G457" t="inlineStr">
        <is>
          <t>SEM GRUPO</t>
        </is>
      </c>
      <c r="H457" t="inlineStr">
        <is>
          <t>SP</t>
        </is>
      </c>
      <c r="I457" t="n">
        <v>1138191933</v>
      </c>
      <c r="J457" t="inlineStr">
        <is>
          <t>Plano de Negócio</t>
        </is>
      </c>
      <c r="K457" t="inlineStr">
        <is>
          <t>SEM REDE</t>
        </is>
      </c>
      <c r="L457" t="inlineStr">
        <is>
          <t>SP</t>
        </is>
      </c>
      <c r="M457" t="n">
        <v>1138191933</v>
      </c>
      <c r="N457" t="n">
        <v>594</v>
      </c>
      <c r="O457" t="n">
        <v>467.96</v>
      </c>
      <c r="P457" t="inlineStr">
        <is>
          <t>03 - SP CAPITAL</t>
        </is>
      </c>
      <c r="Q457" t="inlineStr">
        <is>
          <t>LARISSA PADILHA</t>
        </is>
      </c>
      <c r="S457" t="inlineStr">
        <is>
          <t>42.149.466 LARISSA DA SILVA PADILHA - ME</t>
        </is>
      </c>
      <c r="T457" t="inlineStr">
        <is>
          <t>ZV - NAO APLICAVEL</t>
        </is>
      </c>
      <c r="V457" t="inlineStr">
        <is>
          <t>demais</t>
        </is>
      </c>
      <c r="W457" t="inlineStr">
        <is>
          <t>REGIÕES/GRUPOS</t>
        </is>
      </c>
    </row>
    <row r="458" ht="15" customHeight="1">
      <c r="A458" t="n">
        <v>0.105451</v>
      </c>
      <c r="B458" t="inlineStr">
        <is>
          <t>VERMELHO</t>
        </is>
      </c>
      <c r="C458" t="n">
        <v>5615.5</v>
      </c>
      <c r="D458" t="n">
        <v>592.16</v>
      </c>
      <c r="E458" t="n">
        <v>5615.5</v>
      </c>
      <c r="F458" s="6" t="n">
        <v>0.105451</v>
      </c>
      <c r="G458" t="inlineStr">
        <is>
          <t>SEM GRUPO</t>
        </is>
      </c>
      <c r="H458" t="inlineStr">
        <is>
          <t>SP</t>
        </is>
      </c>
      <c r="I458" t="n">
        <v>18997820497</v>
      </c>
      <c r="J458" t="inlineStr">
        <is>
          <t>Plano de Negócio</t>
        </is>
      </c>
      <c r="K458" t="inlineStr">
        <is>
          <t>SEM REDE</t>
        </is>
      </c>
      <c r="L458" t="inlineStr">
        <is>
          <t>SP</t>
        </is>
      </c>
      <c r="M458" t="n">
        <v>18997820497</v>
      </c>
      <c r="N458" t="n">
        <v>592.16</v>
      </c>
      <c r="O458" t="n">
        <v>467.96</v>
      </c>
      <c r="P458" t="inlineStr">
        <is>
          <t>03 - SP INTERIOR</t>
        </is>
      </c>
      <c r="Q458" t="inlineStr">
        <is>
          <t>HEMANUELE DITZEL (MANU)</t>
        </is>
      </c>
      <c r="S458" t="inlineStr">
        <is>
          <t>ZR - NAO APLICAVEL</t>
        </is>
      </c>
      <c r="T458" t="inlineStr">
        <is>
          <t>HEMANUELE ROSA DITZEL</t>
        </is>
      </c>
      <c r="V458" t="inlineStr">
        <is>
          <t>demais</t>
        </is>
      </c>
      <c r="W458" t="inlineStr">
        <is>
          <t>REGIÕES/GRUPOS</t>
        </is>
      </c>
    </row>
    <row r="459" ht="15" customHeight="1">
      <c r="A459" t="n">
        <v>0.105365</v>
      </c>
      <c r="B459" t="inlineStr">
        <is>
          <t>VERMELHO</t>
        </is>
      </c>
      <c r="C459" t="n">
        <v>5615.5</v>
      </c>
      <c r="D459" t="n">
        <v>591.6799999999999</v>
      </c>
      <c r="E459" t="n">
        <v>5615.5</v>
      </c>
      <c r="F459" s="6" t="n">
        <v>0.105365</v>
      </c>
      <c r="G459" t="inlineStr">
        <is>
          <t>SEM GRUPO</t>
        </is>
      </c>
      <c r="H459" t="inlineStr">
        <is>
          <t>SP</t>
        </is>
      </c>
      <c r="I459" t="n">
        <v>13997006070</v>
      </c>
      <c r="J459" t="inlineStr">
        <is>
          <t>Plano de Negócio</t>
        </is>
      </c>
      <c r="K459" t="inlineStr">
        <is>
          <t>SEM REDE</t>
        </is>
      </c>
      <c r="L459" t="inlineStr">
        <is>
          <t>SP</t>
        </is>
      </c>
      <c r="M459" t="n">
        <v>13997006070</v>
      </c>
      <c r="N459" t="n">
        <v>591.6799999999999</v>
      </c>
      <c r="O459" t="n">
        <v>467.96</v>
      </c>
      <c r="P459" t="inlineStr">
        <is>
          <t>03 - SP CAPITAL</t>
        </is>
      </c>
      <c r="Q459" t="inlineStr">
        <is>
          <t>LARISSA PADILHA</t>
        </is>
      </c>
      <c r="S459" t="inlineStr">
        <is>
          <t>ZR - NAO APLICAVEL</t>
        </is>
      </c>
      <c r="T459" t="inlineStr">
        <is>
          <t>ZV - NAO APLICAVEL</t>
        </is>
      </c>
      <c r="V459" t="inlineStr">
        <is>
          <t>demais</t>
        </is>
      </c>
      <c r="W459" t="inlineStr">
        <is>
          <t>REGIÕES/GRUPOS</t>
        </is>
      </c>
    </row>
    <row r="460" ht="15" customHeight="1">
      <c r="A460" t="n">
        <v>0.104201</v>
      </c>
      <c r="B460" t="inlineStr">
        <is>
          <t>VERMELHO</t>
        </is>
      </c>
      <c r="C460" t="n">
        <v>5615.5</v>
      </c>
      <c r="D460" t="n">
        <v>585.14</v>
      </c>
      <c r="E460" t="n">
        <v>5615.5</v>
      </c>
      <c r="F460" s="6" t="n">
        <v>0.104201</v>
      </c>
      <c r="G460" t="inlineStr">
        <is>
          <t>SEM GRUPO</t>
        </is>
      </c>
      <c r="H460" t="inlineStr">
        <is>
          <t>SP</t>
        </is>
      </c>
      <c r="I460" t="n">
        <v>11443607601</v>
      </c>
      <c r="J460" t="inlineStr">
        <is>
          <t>Plano de Negócio</t>
        </is>
      </c>
      <c r="K460" t="inlineStr">
        <is>
          <t>SEM REDE</t>
        </is>
      </c>
      <c r="L460" t="inlineStr">
        <is>
          <t>SP</t>
        </is>
      </c>
      <c r="M460" t="n">
        <v>11443607601</v>
      </c>
      <c r="N460" t="n">
        <v>585.14</v>
      </c>
      <c r="O460" t="n">
        <v>467.96</v>
      </c>
      <c r="P460" t="inlineStr">
        <is>
          <t>03 - SP CAPITAL</t>
        </is>
      </c>
      <c r="Q460" t="inlineStr">
        <is>
          <t>LARISSA PADILHA</t>
        </is>
      </c>
      <c r="S460" t="inlineStr">
        <is>
          <t>42.149.466 LARISSA DA SILVA PADILHA - ME</t>
        </is>
      </c>
      <c r="T460" t="inlineStr">
        <is>
          <t>ZV - NAO APLICAVEL</t>
        </is>
      </c>
      <c r="V460" t="inlineStr">
        <is>
          <t>demais</t>
        </is>
      </c>
      <c r="W460" t="inlineStr">
        <is>
          <t>REGIÕES/GRUPOS</t>
        </is>
      </c>
    </row>
    <row r="461" ht="15" customHeight="1">
      <c r="A461" t="n">
        <v>0.104112</v>
      </c>
      <c r="B461" t="inlineStr">
        <is>
          <t>VERMELHO</t>
        </is>
      </c>
      <c r="C461" t="n">
        <v>5615.5</v>
      </c>
      <c r="D461" t="n">
        <v>584.64</v>
      </c>
      <c r="E461" t="n">
        <v>5615.5</v>
      </c>
      <c r="F461" s="6" t="n">
        <v>0.104112</v>
      </c>
      <c r="G461" t="inlineStr">
        <is>
          <t>SEM GRUPO</t>
        </is>
      </c>
      <c r="H461" t="inlineStr">
        <is>
          <t>PR</t>
        </is>
      </c>
      <c r="I461" t="n">
        <v>1</v>
      </c>
      <c r="J461" t="inlineStr">
        <is>
          <t>Plano de Negócio</t>
        </is>
      </c>
      <c r="K461" t="inlineStr">
        <is>
          <t>SEM REDE</t>
        </is>
      </c>
      <c r="L461" t="inlineStr">
        <is>
          <t>PR</t>
        </is>
      </c>
      <c r="M461" t="n">
        <v>1</v>
      </c>
      <c r="N461" t="n">
        <v>584.64</v>
      </c>
      <c r="O461" t="n">
        <v>467.96</v>
      </c>
      <c r="P461" t="inlineStr">
        <is>
          <t>03 - SUL</t>
        </is>
      </c>
      <c r="Q461" t="inlineStr">
        <is>
          <t>HEMANUELE DITZEL (MANU)</t>
        </is>
      </c>
      <c r="S461" t="inlineStr">
        <is>
          <t>ZR - NAO APLICAVEL</t>
        </is>
      </c>
      <c r="T461" t="inlineStr">
        <is>
          <t>HEMANUELE ROSA DITZEL</t>
        </is>
      </c>
      <c r="V461" t="inlineStr">
        <is>
          <t>demais</t>
        </is>
      </c>
      <c r="W461" t="inlineStr">
        <is>
          <t>REGIÕES/GRUPOS</t>
        </is>
      </c>
    </row>
    <row r="462" ht="15" customHeight="1">
      <c r="A462" t="n">
        <v>0.104094</v>
      </c>
      <c r="B462" t="inlineStr">
        <is>
          <t>VERMELHO</t>
        </is>
      </c>
      <c r="C462" t="n">
        <v>5615.5</v>
      </c>
      <c r="D462" t="n">
        <v>584.54</v>
      </c>
      <c r="E462" t="n">
        <v>5615.5</v>
      </c>
      <c r="F462" s="6" t="n">
        <v>0.104094</v>
      </c>
      <c r="G462" t="inlineStr">
        <is>
          <t>SEM GRUPO</t>
        </is>
      </c>
      <c r="H462" t="inlineStr">
        <is>
          <t>RS</t>
        </is>
      </c>
      <c r="I462" t="n">
        <v>51981774433</v>
      </c>
      <c r="J462" t="inlineStr">
        <is>
          <t>Plano de Negócio</t>
        </is>
      </c>
      <c r="K462" t="inlineStr">
        <is>
          <t>SEM REDE</t>
        </is>
      </c>
      <c r="L462" t="inlineStr">
        <is>
          <t>RS</t>
        </is>
      </c>
      <c r="M462" t="n">
        <v>51981774433</v>
      </c>
      <c r="N462" t="n">
        <v>584.54</v>
      </c>
      <c r="O462" t="n">
        <v>467.96</v>
      </c>
      <c r="P462" t="inlineStr">
        <is>
          <t>03 - SUL</t>
        </is>
      </c>
      <c r="Q462" t="inlineStr">
        <is>
          <t>HEMANUELE DITZEL (MANU)</t>
        </is>
      </c>
      <c r="S462" t="inlineStr">
        <is>
          <t>ZR - NAO APLICAVEL</t>
        </is>
      </c>
      <c r="T462" t="inlineStr">
        <is>
          <t>HEMANUELE ROSA DITZEL</t>
        </is>
      </c>
      <c r="V462" t="inlineStr">
        <is>
          <t>demais</t>
        </is>
      </c>
      <c r="W462" t="inlineStr">
        <is>
          <t>REGIÕES/GRUPOS</t>
        </is>
      </c>
    </row>
    <row r="463" ht="15" customHeight="1">
      <c r="A463" t="n">
        <v>0.054542</v>
      </c>
      <c r="B463" t="inlineStr">
        <is>
          <t>VERMELHO</t>
        </is>
      </c>
      <c r="C463" t="n">
        <v>10706.9</v>
      </c>
      <c r="D463" t="n">
        <v>583.98</v>
      </c>
      <c r="E463" t="n">
        <v>10706.9</v>
      </c>
      <c r="F463" s="6" t="n">
        <v>0.054542</v>
      </c>
      <c r="G463" t="inlineStr">
        <is>
          <t>FITLAND</t>
        </is>
      </c>
      <c r="H463" t="inlineStr">
        <is>
          <t>PR</t>
        </is>
      </c>
      <c r="I463" t="n">
        <v>41991464469</v>
      </c>
      <c r="J463" t="inlineStr">
        <is>
          <t>Prospecção</t>
        </is>
      </c>
      <c r="K463" t="inlineStr">
        <is>
          <t>FITLAND</t>
        </is>
      </c>
      <c r="L463" t="inlineStr">
        <is>
          <t>PR</t>
        </is>
      </c>
      <c r="M463" t="n">
        <v>41991464469</v>
      </c>
      <c r="N463" t="n">
        <v>583.98</v>
      </c>
      <c r="O463" t="n">
        <v>892.24</v>
      </c>
      <c r="P463" t="inlineStr">
        <is>
          <t>03 - NACIONAL</t>
        </is>
      </c>
      <c r="Q463" t="inlineStr">
        <is>
          <t>JULIO GADRET</t>
        </is>
      </c>
      <c r="S463" t="inlineStr">
        <is>
          <t>ZR - NAO APLICAVEL</t>
        </is>
      </c>
      <c r="T463" t="inlineStr">
        <is>
          <t>ZV - NAO APLICAVEL</t>
        </is>
      </c>
      <c r="V463" t="inlineStr">
        <is>
          <t>demais</t>
        </is>
      </c>
      <c r="W463" t="inlineStr">
        <is>
          <t>REDES E FRANQUIAS</t>
        </is>
      </c>
    </row>
    <row r="464" ht="15" customHeight="1">
      <c r="A464" t="n">
        <v>0.10257</v>
      </c>
      <c r="B464" t="inlineStr">
        <is>
          <t>VERMELHO</t>
        </is>
      </c>
      <c r="C464" t="n">
        <v>5615.5</v>
      </c>
      <c r="D464" t="n">
        <v>575.98</v>
      </c>
      <c r="E464" t="n">
        <v>5615.5</v>
      </c>
      <c r="F464" s="6" t="n">
        <v>0.10257</v>
      </c>
      <c r="G464" t="inlineStr">
        <is>
          <t>SEM GRUPO</t>
        </is>
      </c>
      <c r="H464" t="inlineStr">
        <is>
          <t>SP</t>
        </is>
      </c>
      <c r="I464" t="n">
        <v>18981504646</v>
      </c>
      <c r="J464" t="inlineStr">
        <is>
          <t>Plano de Negócio</t>
        </is>
      </c>
      <c r="K464" t="inlineStr">
        <is>
          <t>SEM REDE</t>
        </is>
      </c>
      <c r="L464" t="inlineStr">
        <is>
          <t>SP</t>
        </is>
      </c>
      <c r="M464" t="n">
        <v>18981504646</v>
      </c>
      <c r="N464" t="n">
        <v>575.98</v>
      </c>
      <c r="O464" t="n">
        <v>467.96</v>
      </c>
      <c r="P464" t="inlineStr">
        <is>
          <t>03 - SP INTERIOR</t>
        </is>
      </c>
      <c r="Q464" t="inlineStr">
        <is>
          <t>LARISSA PADILHA</t>
        </is>
      </c>
      <c r="S464" t="inlineStr">
        <is>
          <t>42.149.466 LARISSA DA SILVA PADILHA - ME</t>
        </is>
      </c>
      <c r="T464" t="inlineStr">
        <is>
          <t>ZV - NAO APLICAVEL</t>
        </is>
      </c>
      <c r="V464" t="inlineStr">
        <is>
          <t>demais</t>
        </is>
      </c>
      <c r="W464" t="inlineStr">
        <is>
          <t>REGIÕES/GRUPOS</t>
        </is>
      </c>
    </row>
    <row r="465" ht="15" customHeight="1">
      <c r="A465" t="n">
        <v>0.100789</v>
      </c>
      <c r="B465" t="inlineStr">
        <is>
          <t>VERMELHO</t>
        </is>
      </c>
      <c r="C465" t="n">
        <v>5615.5</v>
      </c>
      <c r="D465" t="n">
        <v>565.98</v>
      </c>
      <c r="E465" t="n">
        <v>5615.5</v>
      </c>
      <c r="F465" s="6" t="n">
        <v>0.100789</v>
      </c>
      <c r="G465" t="inlineStr">
        <is>
          <t>SEM GRUPO</t>
        </is>
      </c>
      <c r="H465" t="inlineStr">
        <is>
          <t>RJ</t>
        </is>
      </c>
      <c r="I465" t="n">
        <v>22981093913</v>
      </c>
      <c r="J465" t="inlineStr">
        <is>
          <t>Plano de Negócio</t>
        </is>
      </c>
      <c r="K465" t="inlineStr">
        <is>
          <t>SEM REDE</t>
        </is>
      </c>
      <c r="L465" t="inlineStr">
        <is>
          <t>RJ</t>
        </is>
      </c>
      <c r="M465" t="n">
        <v>22981093913</v>
      </c>
      <c r="N465" t="n">
        <v>565.98</v>
      </c>
      <c r="O465" t="n">
        <v>467.96</v>
      </c>
      <c r="P465" t="inlineStr">
        <is>
          <t>03 - RJ + ES + MG</t>
        </is>
      </c>
      <c r="Q465" t="inlineStr">
        <is>
          <t>HEMANUELE DITZEL (MANU)</t>
        </is>
      </c>
      <c r="S465" t="inlineStr">
        <is>
          <t>ZR - NAO APLICAVEL</t>
        </is>
      </c>
      <c r="T465" t="inlineStr">
        <is>
          <t>HEMANUELE ROSA DITZEL</t>
        </is>
      </c>
      <c r="V465" t="inlineStr">
        <is>
          <t>demais</t>
        </is>
      </c>
      <c r="W465" t="inlineStr">
        <is>
          <t>REGIÕES/GRUPOS</t>
        </is>
      </c>
    </row>
    <row r="466" ht="15" customHeight="1">
      <c r="A466" t="n">
        <v>0.099939</v>
      </c>
      <c r="B466" t="inlineStr">
        <is>
          <t>VERMELHO</t>
        </is>
      </c>
      <c r="C466" t="n">
        <v>5615.5</v>
      </c>
      <c r="D466" t="n">
        <v>561.21</v>
      </c>
      <c r="E466" t="n">
        <v>5615.5</v>
      </c>
      <c r="F466" s="6" t="n">
        <v>0.099939</v>
      </c>
      <c r="G466" t="inlineStr">
        <is>
          <t>SEM GRUPO</t>
        </is>
      </c>
      <c r="H466" t="inlineStr">
        <is>
          <t>RS</t>
        </is>
      </c>
      <c r="I466" t="n">
        <v>51984097998</v>
      </c>
      <c r="J466" t="inlineStr">
        <is>
          <t>Prospecção</t>
        </is>
      </c>
      <c r="K466" t="inlineStr">
        <is>
          <t>SEM REDE</t>
        </is>
      </c>
      <c r="L466" t="inlineStr">
        <is>
          <t>RS</t>
        </is>
      </c>
      <c r="M466" t="n">
        <v>51984097998</v>
      </c>
      <c r="N466" t="n">
        <v>561.21</v>
      </c>
      <c r="O466" t="n">
        <v>467.96</v>
      </c>
      <c r="P466" t="inlineStr">
        <is>
          <t>03 - SUL</t>
        </is>
      </c>
      <c r="Q466" t="inlineStr">
        <is>
          <t>HEMANUELE DITZEL (MANU)</t>
        </is>
      </c>
      <c r="S466" t="inlineStr">
        <is>
          <t>ZR - NAO APLICAVEL</t>
        </is>
      </c>
      <c r="T466" t="inlineStr">
        <is>
          <t>HEMANUELE ROSA DITZEL</t>
        </is>
      </c>
      <c r="V466" t="inlineStr">
        <is>
          <t>demais</t>
        </is>
      </c>
      <c r="W466" t="inlineStr">
        <is>
          <t>REGIÕES/GRUPOS</t>
        </is>
      </c>
    </row>
    <row r="467" ht="15" customHeight="1">
      <c r="A467" t="n">
        <v>0.09732</v>
      </c>
      <c r="B467" t="inlineStr">
        <is>
          <t>VERMELHO</t>
        </is>
      </c>
      <c r="C467" t="n">
        <v>5615.5</v>
      </c>
      <c r="D467" t="n">
        <v>546.5</v>
      </c>
      <c r="E467" t="n">
        <v>5615.5</v>
      </c>
      <c r="F467" s="6" t="n">
        <v>0.09732</v>
      </c>
      <c r="G467" t="inlineStr">
        <is>
          <t>SEM GRUPO</t>
        </is>
      </c>
      <c r="H467" t="inlineStr">
        <is>
          <t>SP</t>
        </is>
      </c>
      <c r="I467" t="n">
        <v>19981389325</v>
      </c>
      <c r="J467" t="inlineStr">
        <is>
          <t>Prospecção</t>
        </is>
      </c>
      <c r="K467" t="inlineStr">
        <is>
          <t>SEM REDE</t>
        </is>
      </c>
      <c r="L467" t="inlineStr">
        <is>
          <t>SP</t>
        </is>
      </c>
      <c r="M467" t="n">
        <v>19981389325</v>
      </c>
      <c r="N467" t="n">
        <v>546.5</v>
      </c>
      <c r="O467" t="n">
        <v>467.96</v>
      </c>
      <c r="P467" t="inlineStr">
        <is>
          <t>03 - SP INTERIOR</t>
        </is>
      </c>
      <c r="Q467" t="inlineStr">
        <is>
          <t>LARISSA PADILHA</t>
        </is>
      </c>
      <c r="S467" t="inlineStr">
        <is>
          <t>42.149.466 LARISSA DA SILVA PADILHA - ME</t>
        </is>
      </c>
      <c r="T467" t="inlineStr">
        <is>
          <t>ZV - NAO APLICAVEL</t>
        </is>
      </c>
      <c r="V467" t="inlineStr">
        <is>
          <t>demais</t>
        </is>
      </c>
      <c r="W467" t="inlineStr">
        <is>
          <t>REGIÕES/GRUPOS</t>
        </is>
      </c>
    </row>
    <row r="468" ht="15" customHeight="1">
      <c r="A468" t="n">
        <v>0.097124</v>
      </c>
      <c r="B468" t="inlineStr">
        <is>
          <t>VERMELHO</t>
        </is>
      </c>
      <c r="C468" t="n">
        <v>5615.5</v>
      </c>
      <c r="D468" t="n">
        <v>545.4</v>
      </c>
      <c r="E468" t="n">
        <v>5615.5</v>
      </c>
      <c r="F468" s="6" t="n">
        <v>0.097124</v>
      </c>
      <c r="G468" t="inlineStr">
        <is>
          <t>SEM GRUPO</t>
        </is>
      </c>
      <c r="H468" t="inlineStr">
        <is>
          <t>MG</t>
        </is>
      </c>
      <c r="I468" t="n">
        <v>19998488255</v>
      </c>
      <c r="J468" t="inlineStr">
        <is>
          <t>Prospecção</t>
        </is>
      </c>
      <c r="K468" t="inlineStr">
        <is>
          <t>SEM REDE</t>
        </is>
      </c>
      <c r="L468" t="inlineStr">
        <is>
          <t>MG</t>
        </is>
      </c>
      <c r="M468" t="n">
        <v>19998488255</v>
      </c>
      <c r="N468" t="n">
        <v>545.4</v>
      </c>
      <c r="O468" t="n">
        <v>467.96</v>
      </c>
      <c r="P468" t="inlineStr">
        <is>
          <t>03 - RJ + ES + MG</t>
        </is>
      </c>
      <c r="Q468" t="inlineStr">
        <is>
          <t>LARISSA PADILHA</t>
        </is>
      </c>
      <c r="S468" t="inlineStr">
        <is>
          <t>42.149.466 LARISSA DA SILVA PADILHA - ME</t>
        </is>
      </c>
      <c r="T468" t="inlineStr">
        <is>
          <t>ZV - NAO APLICAVEL</t>
        </is>
      </c>
      <c r="V468" t="inlineStr">
        <is>
          <t>demais</t>
        </is>
      </c>
      <c r="W468" t="inlineStr">
        <is>
          <t>REGIÕES/GRUPOS</t>
        </is>
      </c>
    </row>
    <row r="469" ht="15" customHeight="1">
      <c r="A469" t="n">
        <v>0.052984</v>
      </c>
      <c r="B469" t="inlineStr">
        <is>
          <t>VERMELHO</t>
        </is>
      </c>
      <c r="C469" t="n">
        <v>10200</v>
      </c>
      <c r="D469" t="n">
        <v>540.4400000000001</v>
      </c>
      <c r="E469" t="n">
        <v>10200</v>
      </c>
      <c r="F469" s="6" t="n">
        <v>0.052984</v>
      </c>
      <c r="G469" t="inlineStr">
        <is>
          <t>VIDA LEVE</t>
        </is>
      </c>
      <c r="H469" t="inlineStr">
        <is>
          <t>SC</t>
        </is>
      </c>
      <c r="I469" t="n">
        <v>51997049422</v>
      </c>
      <c r="J469" t="inlineStr">
        <is>
          <t>Prospecção</t>
        </is>
      </c>
      <c r="K469" t="inlineStr">
        <is>
          <t>VIDA LEVE</t>
        </is>
      </c>
      <c r="L469" t="inlineStr">
        <is>
          <t>SC</t>
        </is>
      </c>
      <c r="M469" t="n">
        <v>51997049422</v>
      </c>
      <c r="N469" t="n">
        <v>540.4400000000001</v>
      </c>
      <c r="O469" t="n">
        <v>850</v>
      </c>
      <c r="P469" t="inlineStr">
        <is>
          <t>03 - NACIONAL</t>
        </is>
      </c>
      <c r="Q469" t="inlineStr">
        <is>
          <t>DAIANE STAVICKI</t>
        </is>
      </c>
      <c r="S469" t="inlineStr">
        <is>
          <t>ZR - NAO APLICAVEL</t>
        </is>
      </c>
      <c r="T469" t="inlineStr">
        <is>
          <t>ZV - NAO APLICAVEL</t>
        </is>
      </c>
      <c r="V469" t="inlineStr">
        <is>
          <t>demais</t>
        </is>
      </c>
      <c r="W469" t="inlineStr">
        <is>
          <t>REDES E FRANQUIAS</t>
        </is>
      </c>
    </row>
    <row r="470" ht="15" customHeight="1">
      <c r="A470" t="n">
        <v>0.095183</v>
      </c>
      <c r="B470" t="inlineStr">
        <is>
          <t>VERMELHO</t>
        </is>
      </c>
      <c r="C470" t="n">
        <v>5615.5</v>
      </c>
      <c r="D470" t="n">
        <v>534.5</v>
      </c>
      <c r="E470" t="n">
        <v>5615.5</v>
      </c>
      <c r="F470" s="6" t="n">
        <v>0.095183</v>
      </c>
      <c r="G470" t="inlineStr">
        <is>
          <t>SEM GRUPO</t>
        </is>
      </c>
      <c r="H470" t="inlineStr">
        <is>
          <t>PR</t>
        </is>
      </c>
      <c r="I470" t="n">
        <v>41991856234</v>
      </c>
      <c r="J470" t="inlineStr">
        <is>
          <t>Prospecção</t>
        </is>
      </c>
      <c r="K470" t="inlineStr">
        <is>
          <t>SEM REDE</t>
        </is>
      </c>
      <c r="L470" t="inlineStr">
        <is>
          <t>PR</t>
        </is>
      </c>
      <c r="M470" t="n">
        <v>41991856234</v>
      </c>
      <c r="N470" t="n">
        <v>534.5</v>
      </c>
      <c r="O470" t="n">
        <v>467.96</v>
      </c>
      <c r="P470" t="inlineStr">
        <is>
          <t>03 - SUL</t>
        </is>
      </c>
      <c r="Q470" t="inlineStr">
        <is>
          <t>HEMANUELE DITZEL (MANU)</t>
        </is>
      </c>
      <c r="S470" t="inlineStr">
        <is>
          <t>ZR - NAO APLICAVEL</t>
        </is>
      </c>
      <c r="T470" t="inlineStr">
        <is>
          <t>HEMANUELE ROSA DITZEL</t>
        </is>
      </c>
      <c r="V470" t="inlineStr">
        <is>
          <t>demais</t>
        </is>
      </c>
      <c r="W470" t="inlineStr">
        <is>
          <t>REGIÕES/GRUPOS</t>
        </is>
      </c>
    </row>
    <row r="471" ht="15" customHeight="1">
      <c r="A471" t="n">
        <v>0.095001</v>
      </c>
      <c r="B471" t="inlineStr">
        <is>
          <t>VERMELHO</t>
        </is>
      </c>
      <c r="C471" t="n">
        <v>5615.5</v>
      </c>
      <c r="D471" t="n">
        <v>533.48</v>
      </c>
      <c r="E471" t="n">
        <v>5615.5</v>
      </c>
      <c r="F471" s="6" t="n">
        <v>0.095001</v>
      </c>
      <c r="G471" t="inlineStr">
        <is>
          <t>SEM GRUPO</t>
        </is>
      </c>
      <c r="H471" t="inlineStr">
        <is>
          <t>ES</t>
        </is>
      </c>
      <c r="I471" t="n">
        <v>28999268380</v>
      </c>
      <c r="J471" t="inlineStr">
        <is>
          <t>Prospecção</t>
        </is>
      </c>
      <c r="K471" t="inlineStr">
        <is>
          <t>SEM REDE</t>
        </is>
      </c>
      <c r="L471" t="inlineStr">
        <is>
          <t>ES</t>
        </is>
      </c>
      <c r="M471" t="n">
        <v>28999268380</v>
      </c>
      <c r="N471" t="n">
        <v>533.48</v>
      </c>
      <c r="O471" t="n">
        <v>467.96</v>
      </c>
      <c r="P471" t="inlineStr">
        <is>
          <t>03 - RJ + ES + MG</t>
        </is>
      </c>
      <c r="Q471" t="inlineStr">
        <is>
          <t>LARISSA PADILHA</t>
        </is>
      </c>
      <c r="S471" t="inlineStr">
        <is>
          <t>42.149.466 LARISSA DA SILVA PADILHA - ME</t>
        </is>
      </c>
      <c r="T471" t="inlineStr">
        <is>
          <t>ZV - NAO APLICAVEL</t>
        </is>
      </c>
      <c r="V471" t="inlineStr">
        <is>
          <t>demais</t>
        </is>
      </c>
      <c r="W471" t="inlineStr">
        <is>
          <t>REGIÕES/GRUPOS</t>
        </is>
      </c>
    </row>
    <row r="472" ht="15" customHeight="1">
      <c r="A472" t="n">
        <v>0.09353</v>
      </c>
      <c r="B472" t="inlineStr">
        <is>
          <t>VERMELHO</t>
        </is>
      </c>
      <c r="C472" t="n">
        <v>5615.5</v>
      </c>
      <c r="D472" t="n">
        <v>525.22</v>
      </c>
      <c r="E472" t="n">
        <v>5615.5</v>
      </c>
      <c r="F472" s="6" t="n">
        <v>0.09353</v>
      </c>
      <c r="G472" t="inlineStr">
        <is>
          <t>SEM GRUPO</t>
        </is>
      </c>
      <c r="H472" t="inlineStr">
        <is>
          <t>SC</t>
        </is>
      </c>
      <c r="I472" t="n">
        <v>47999923625</v>
      </c>
      <c r="J472" t="inlineStr">
        <is>
          <t>Prospecção</t>
        </is>
      </c>
      <c r="K472" t="inlineStr">
        <is>
          <t>SEM REDE</t>
        </is>
      </c>
      <c r="L472" t="inlineStr">
        <is>
          <t>SC</t>
        </is>
      </c>
      <c r="M472" t="n">
        <v>47999923625</v>
      </c>
      <c r="N472" t="n">
        <v>525.22</v>
      </c>
      <c r="O472" t="n">
        <v>467.96</v>
      </c>
      <c r="P472" t="inlineStr">
        <is>
          <t>03 - SUL</t>
        </is>
      </c>
      <c r="Q472" t="inlineStr">
        <is>
          <t>HEMANUELE DITZEL (MANU)</t>
        </is>
      </c>
      <c r="S472" t="inlineStr">
        <is>
          <t>ZR - NAO APLICAVEL</t>
        </is>
      </c>
      <c r="T472" t="inlineStr">
        <is>
          <t>HEMANUELE ROSA DITZEL</t>
        </is>
      </c>
      <c r="V472" t="inlineStr">
        <is>
          <t>demais</t>
        </is>
      </c>
      <c r="W472" t="inlineStr">
        <is>
          <t>REGIÕES/GRUPOS</t>
        </is>
      </c>
    </row>
    <row r="473" ht="15" customHeight="1">
      <c r="A473" t="n">
        <v>0.09096600000000001</v>
      </c>
      <c r="B473" t="inlineStr">
        <is>
          <t>VERMELHO</t>
        </is>
      </c>
      <c r="C473" t="n">
        <v>5615.5</v>
      </c>
      <c r="D473" t="n">
        <v>510.82</v>
      </c>
      <c r="E473" t="n">
        <v>5615.5</v>
      </c>
      <c r="F473" s="6" t="n">
        <v>0.09096600000000001</v>
      </c>
      <c r="G473" t="inlineStr">
        <is>
          <t>SEM GRUPO</t>
        </is>
      </c>
      <c r="H473" t="inlineStr">
        <is>
          <t>PR</t>
        </is>
      </c>
      <c r="I473" t="n">
        <v>0</v>
      </c>
      <c r="J473" t="inlineStr">
        <is>
          <t>Prospecção</t>
        </is>
      </c>
      <c r="K473" t="inlineStr">
        <is>
          <t>SEM REDE</t>
        </is>
      </c>
      <c r="L473" t="inlineStr">
        <is>
          <t>PR</t>
        </is>
      </c>
      <c r="M473" t="n">
        <v>0</v>
      </c>
      <c r="N473" t="n">
        <v>510.82</v>
      </c>
      <c r="O473" t="n">
        <v>467.96</v>
      </c>
      <c r="P473" t="inlineStr">
        <is>
          <t>03 - SUL</t>
        </is>
      </c>
      <c r="Q473" t="inlineStr">
        <is>
          <t>HEMANUELE DITZEL (MANU)</t>
        </is>
      </c>
      <c r="S473" t="inlineStr">
        <is>
          <t>ZR - NAO APLICAVEL</t>
        </is>
      </c>
      <c r="T473" t="inlineStr">
        <is>
          <t>HEMANUELE ROSA DITZEL</t>
        </is>
      </c>
      <c r="V473" t="inlineStr">
        <is>
          <t>demais</t>
        </is>
      </c>
      <c r="W473" t="inlineStr">
        <is>
          <t>REGIÕES/GRUPOS</t>
        </is>
      </c>
    </row>
    <row r="474" ht="15" customHeight="1">
      <c r="A474" t="n">
        <v>0.090268</v>
      </c>
      <c r="B474" t="inlineStr">
        <is>
          <t>VERMELHO</t>
        </is>
      </c>
      <c r="C474" t="n">
        <v>5615.5</v>
      </c>
      <c r="D474" t="n">
        <v>506.9</v>
      </c>
      <c r="E474" t="n">
        <v>5615.5</v>
      </c>
      <c r="F474" s="6" t="n">
        <v>0.090268</v>
      </c>
      <c r="G474" t="inlineStr">
        <is>
          <t>SEM GRUPO</t>
        </is>
      </c>
      <c r="H474" t="inlineStr">
        <is>
          <t>RS</t>
        </is>
      </c>
      <c r="I474" t="n">
        <v>51991587245</v>
      </c>
      <c r="J474" t="inlineStr">
        <is>
          <t>Prospecção</t>
        </is>
      </c>
      <c r="K474" t="inlineStr">
        <is>
          <t>SEM REDE</t>
        </is>
      </c>
      <c r="L474" t="inlineStr">
        <is>
          <t>RS</t>
        </is>
      </c>
      <c r="M474" t="n">
        <v>51991587245</v>
      </c>
      <c r="N474" t="n">
        <v>506.9</v>
      </c>
      <c r="O474" t="n">
        <v>467.96</v>
      </c>
      <c r="P474" t="inlineStr">
        <is>
          <t>03 - SUL</t>
        </is>
      </c>
      <c r="Q474" t="inlineStr">
        <is>
          <t>HEMANUELE DITZEL (MANU)</t>
        </is>
      </c>
      <c r="S474" t="inlineStr">
        <is>
          <t>ZR - NAO APLICAVEL</t>
        </is>
      </c>
      <c r="T474" t="inlineStr">
        <is>
          <t>HEMANUELE ROSA DITZEL</t>
        </is>
      </c>
      <c r="V474" t="inlineStr">
        <is>
          <t>demais</t>
        </is>
      </c>
      <c r="W474" t="inlineStr">
        <is>
          <t>REGIÕES/GRUPOS</t>
        </is>
      </c>
    </row>
    <row r="475" ht="15" customHeight="1">
      <c r="A475" t="n">
        <v>0.072479</v>
      </c>
      <c r="B475" t="inlineStr">
        <is>
          <t>VERMELHO</t>
        </is>
      </c>
      <c r="C475" t="n">
        <v>6566.04</v>
      </c>
      <c r="D475" t="n">
        <v>475.9</v>
      </c>
      <c r="E475" t="n">
        <v>6566.04</v>
      </c>
      <c r="F475" s="6" t="n">
        <v>0.072479</v>
      </c>
      <c r="G475" t="inlineStr">
        <is>
          <t>DIVINA TERRA</t>
        </is>
      </c>
      <c r="H475" t="inlineStr">
        <is>
          <t>RS</t>
        </is>
      </c>
      <c r="I475" t="n">
        <v>51981926407</v>
      </c>
      <c r="J475" t="inlineStr">
        <is>
          <t>Prospecção</t>
        </is>
      </c>
      <c r="K475" t="inlineStr">
        <is>
          <t>DIVINA TERRA</t>
        </is>
      </c>
      <c r="L475" t="inlineStr">
        <is>
          <t>RS</t>
        </is>
      </c>
      <c r="M475" t="n">
        <v>51981926407</v>
      </c>
      <c r="N475" t="n">
        <v>475.9</v>
      </c>
      <c r="O475" t="n">
        <v>547.17</v>
      </c>
      <c r="P475" t="inlineStr">
        <is>
          <t>03 - NACIONAL</t>
        </is>
      </c>
      <c r="Q475" t="inlineStr">
        <is>
          <t>HEMANUELE DITZEL (MANU)</t>
        </is>
      </c>
      <c r="S475" t="inlineStr">
        <is>
          <t>ZR - NAO APLICAVEL</t>
        </is>
      </c>
      <c r="T475" t="inlineStr">
        <is>
          <t>HEMANUELE ROSA DITZEL</t>
        </is>
      </c>
      <c r="V475" t="inlineStr">
        <is>
          <t>demais</t>
        </is>
      </c>
      <c r="W475" t="inlineStr">
        <is>
          <t>REDES E FRANQUIAS</t>
        </is>
      </c>
    </row>
    <row r="476" ht="15" customHeight="1">
      <c r="A476" t="n">
        <v>0.080135</v>
      </c>
      <c r="B476" t="inlineStr">
        <is>
          <t>VERMELHO</t>
        </is>
      </c>
      <c r="C476" t="n">
        <v>5615.5</v>
      </c>
      <c r="D476" t="n">
        <v>450</v>
      </c>
      <c r="E476" t="n">
        <v>5615.5</v>
      </c>
      <c r="F476" s="6" t="n">
        <v>0.080135</v>
      </c>
      <c r="G476" t="inlineStr">
        <is>
          <t>SEM GRUPO</t>
        </is>
      </c>
      <c r="H476" t="inlineStr">
        <is>
          <t>RS</t>
        </is>
      </c>
      <c r="I476" t="n">
        <v>51974015448</v>
      </c>
      <c r="J476" t="inlineStr">
        <is>
          <t>Prospecção</t>
        </is>
      </c>
      <c r="K476" t="inlineStr">
        <is>
          <t>SEM REDE</t>
        </is>
      </c>
      <c r="L476" t="inlineStr">
        <is>
          <t>RS</t>
        </is>
      </c>
      <c r="M476" t="n">
        <v>51974015448</v>
      </c>
      <c r="N476" t="n">
        <v>450</v>
      </c>
      <c r="O476" t="n">
        <v>467.96</v>
      </c>
      <c r="P476" t="inlineStr">
        <is>
          <t>03 - SUL</t>
        </is>
      </c>
      <c r="Q476" t="inlineStr">
        <is>
          <t>HEMANUELE DITZEL (MANU)</t>
        </is>
      </c>
      <c r="S476" t="inlineStr">
        <is>
          <t>ZR - NAO APLICAVEL</t>
        </is>
      </c>
      <c r="T476" t="inlineStr">
        <is>
          <t>HEMANUELE ROSA DITZEL</t>
        </is>
      </c>
      <c r="V476" t="inlineStr">
        <is>
          <t>demais</t>
        </is>
      </c>
      <c r="W476" t="inlineStr">
        <is>
          <t>REGIÕES/GRUPOS</t>
        </is>
      </c>
    </row>
    <row r="477" ht="15" customHeight="1">
      <c r="A477" t="n">
        <v>0.04188</v>
      </c>
      <c r="B477" t="inlineStr">
        <is>
          <t>VERMELHO</t>
        </is>
      </c>
      <c r="C477" t="n">
        <v>10706.9</v>
      </c>
      <c r="D477" t="n">
        <v>448.4</v>
      </c>
      <c r="E477" t="n">
        <v>10706.9</v>
      </c>
      <c r="F477" s="6" t="n">
        <v>0.04188</v>
      </c>
      <c r="G477" t="inlineStr">
        <is>
          <t>FITLAND</t>
        </is>
      </c>
      <c r="H477" t="inlineStr">
        <is>
          <t>SC</t>
        </is>
      </c>
      <c r="I477" t="n">
        <v>4896909572</v>
      </c>
      <c r="J477" t="inlineStr">
        <is>
          <t>Prospecção</t>
        </is>
      </c>
      <c r="K477" t="inlineStr">
        <is>
          <t>FITLAND</t>
        </is>
      </c>
      <c r="L477" t="inlineStr">
        <is>
          <t>SC</t>
        </is>
      </c>
      <c r="M477" t="n">
        <v>4896909572</v>
      </c>
      <c r="N477" t="n">
        <v>448.4</v>
      </c>
      <c r="O477" t="n">
        <v>892.24</v>
      </c>
      <c r="P477" t="inlineStr">
        <is>
          <t>03 - NACIONAL</t>
        </is>
      </c>
      <c r="Q477" t="inlineStr">
        <is>
          <t>JULIO GADRET</t>
        </is>
      </c>
      <c r="S477" t="inlineStr">
        <is>
          <t>ZR - NAO APLICAVEL</t>
        </is>
      </c>
      <c r="T477" t="inlineStr">
        <is>
          <t>ZV - NAO APLICAVEL</t>
        </is>
      </c>
      <c r="V477" t="inlineStr">
        <is>
          <t>demais</t>
        </is>
      </c>
      <c r="W477" t="inlineStr">
        <is>
          <t>REDES E FRANQUIAS</t>
        </is>
      </c>
    </row>
    <row r="478" ht="15" customHeight="1">
      <c r="A478" t="n">
        <v>0.07920000000000001</v>
      </c>
      <c r="B478" t="inlineStr">
        <is>
          <t>VERMELHO</t>
        </is>
      </c>
      <c r="C478" t="n">
        <v>5615.5</v>
      </c>
      <c r="D478" t="n">
        <v>444.75</v>
      </c>
      <c r="E478" t="n">
        <v>5615.5</v>
      </c>
      <c r="F478" s="6" t="n">
        <v>0.07920000000000001</v>
      </c>
      <c r="G478" t="inlineStr">
        <is>
          <t>SEM GRUPO</t>
        </is>
      </c>
      <c r="H478" t="inlineStr">
        <is>
          <t>ES</t>
        </is>
      </c>
      <c r="I478" t="n">
        <v>1</v>
      </c>
      <c r="J478" t="inlineStr">
        <is>
          <t>Prospecção</t>
        </is>
      </c>
      <c r="K478" t="inlineStr">
        <is>
          <t>SEM REDE</t>
        </is>
      </c>
      <c r="L478" t="inlineStr">
        <is>
          <t>ES</t>
        </is>
      </c>
      <c r="M478" t="n">
        <v>1</v>
      </c>
      <c r="N478" t="n">
        <v>444.75</v>
      </c>
      <c r="O478" t="n">
        <v>467.96</v>
      </c>
      <c r="P478" t="inlineStr">
        <is>
          <t>03 - RJ + ES + MG</t>
        </is>
      </c>
      <c r="Q478" t="inlineStr">
        <is>
          <t>LARISSA PADILHA</t>
        </is>
      </c>
      <c r="S478" t="inlineStr">
        <is>
          <t>42.149.466 LARISSA DA SILVA PADILHA - ME</t>
        </is>
      </c>
      <c r="T478" t="inlineStr">
        <is>
          <t>ZV - NAO APLICAVEL</t>
        </is>
      </c>
      <c r="V478" t="inlineStr">
        <is>
          <t>demais</t>
        </is>
      </c>
      <c r="W478" t="inlineStr">
        <is>
          <t>REGIÕES/GRUPOS</t>
        </is>
      </c>
    </row>
    <row r="479" ht="15" customHeight="1">
      <c r="A479" t="n">
        <v>0.078597</v>
      </c>
      <c r="B479" t="inlineStr">
        <is>
          <t>VERMELHO</t>
        </is>
      </c>
      <c r="C479" t="n">
        <v>5615.5</v>
      </c>
      <c r="D479" t="n">
        <v>441.36</v>
      </c>
      <c r="E479" t="n">
        <v>5615.5</v>
      </c>
      <c r="F479" s="6" t="n">
        <v>0.078597</v>
      </c>
      <c r="G479" t="inlineStr">
        <is>
          <t>SEM GRUPO</t>
        </is>
      </c>
      <c r="H479" t="inlineStr">
        <is>
          <t>MG</t>
        </is>
      </c>
      <c r="I479" t="n">
        <v>31975631545</v>
      </c>
      <c r="J479" t="inlineStr">
        <is>
          <t>Prospecção</t>
        </is>
      </c>
      <c r="K479" t="inlineStr">
        <is>
          <t>SEM REDE</t>
        </is>
      </c>
      <c r="L479" t="inlineStr">
        <is>
          <t>MG</t>
        </is>
      </c>
      <c r="M479" t="n">
        <v>31975631545</v>
      </c>
      <c r="N479" t="n">
        <v>441.36</v>
      </c>
      <c r="O479" t="n">
        <v>467.96</v>
      </c>
      <c r="P479" t="inlineStr">
        <is>
          <t>03 - RJ + ES + MG</t>
        </is>
      </c>
      <c r="Q479" t="inlineStr">
        <is>
          <t>LARISSA PADILHA</t>
        </is>
      </c>
      <c r="S479" t="inlineStr">
        <is>
          <t>42.149.466 LARISSA DA SILVA PADILHA - ME</t>
        </is>
      </c>
      <c r="T479" t="inlineStr">
        <is>
          <t>ZV - NAO APLICAVEL</t>
        </is>
      </c>
      <c r="V479" t="inlineStr">
        <is>
          <t>demais</t>
        </is>
      </c>
      <c r="W479" t="inlineStr">
        <is>
          <t>REGIÕES/GRUPOS</t>
        </is>
      </c>
    </row>
    <row r="480" ht="15" customHeight="1">
      <c r="A480" t="n">
        <v>0.077407</v>
      </c>
      <c r="B480" t="inlineStr">
        <is>
          <t>VERMELHO</t>
        </is>
      </c>
      <c r="C480" t="n">
        <v>5615.5</v>
      </c>
      <c r="D480" t="n">
        <v>434.68</v>
      </c>
      <c r="E480" t="n">
        <v>5615.5</v>
      </c>
      <c r="F480" s="6" t="n">
        <v>0.077407</v>
      </c>
      <c r="G480" t="inlineStr">
        <is>
          <t>SEM GRUPO</t>
        </is>
      </c>
      <c r="H480" t="inlineStr">
        <is>
          <t>SC</t>
        </is>
      </c>
      <c r="I480" t="n">
        <v>4734540773</v>
      </c>
      <c r="J480" t="inlineStr">
        <is>
          <t>Prospecção</t>
        </is>
      </c>
      <c r="K480" t="inlineStr">
        <is>
          <t>SEM REDE</t>
        </is>
      </c>
      <c r="L480" t="inlineStr">
        <is>
          <t>SC</t>
        </is>
      </c>
      <c r="M480" t="n">
        <v>4734540773</v>
      </c>
      <c r="N480" t="n">
        <v>434.68</v>
      </c>
      <c r="O480" t="n">
        <v>467.96</v>
      </c>
      <c r="P480" t="inlineStr">
        <is>
          <t>03 - SUL</t>
        </is>
      </c>
      <c r="Q480" t="inlineStr">
        <is>
          <t>HEMANUELE DITZEL (MANU)</t>
        </is>
      </c>
      <c r="S480" t="inlineStr">
        <is>
          <t>ZR - NAO APLICAVEL</t>
        </is>
      </c>
      <c r="T480" t="inlineStr">
        <is>
          <t>HEMANUELE ROSA DITZEL</t>
        </is>
      </c>
      <c r="V480" t="inlineStr">
        <is>
          <t>demais</t>
        </is>
      </c>
      <c r="W480" t="inlineStr">
        <is>
          <t>REGIÕES/GRUPOS</t>
        </is>
      </c>
    </row>
    <row r="481" ht="15" customHeight="1">
      <c r="A481" t="n">
        <v>0.07728599999999999</v>
      </c>
      <c r="B481" t="inlineStr">
        <is>
          <t>VERMELHO</t>
        </is>
      </c>
      <c r="C481" t="n">
        <v>5615.5</v>
      </c>
      <c r="D481" t="n">
        <v>434</v>
      </c>
      <c r="E481" t="n">
        <v>5615.5</v>
      </c>
      <c r="F481" s="6" t="n">
        <v>0.07728599999999999</v>
      </c>
      <c r="G481" t="inlineStr">
        <is>
          <t>SEM GRUPO</t>
        </is>
      </c>
      <c r="H481" t="inlineStr">
        <is>
          <t>SC</t>
        </is>
      </c>
      <c r="I481" t="n">
        <v>4791377929</v>
      </c>
      <c r="J481" t="inlineStr">
        <is>
          <t>Prospecção</t>
        </is>
      </c>
      <c r="K481" t="inlineStr">
        <is>
          <t>SEM REDE</t>
        </is>
      </c>
      <c r="L481" t="inlineStr">
        <is>
          <t>SC</t>
        </is>
      </c>
      <c r="M481" t="n">
        <v>4791377929</v>
      </c>
      <c r="N481" t="n">
        <v>434</v>
      </c>
      <c r="O481" t="n">
        <v>467.96</v>
      </c>
      <c r="P481" t="inlineStr">
        <is>
          <t>03 - SUL</t>
        </is>
      </c>
      <c r="Q481" t="inlineStr">
        <is>
          <t>HEMANUELE DITZEL (MANU)</t>
        </is>
      </c>
      <c r="S481" t="inlineStr">
        <is>
          <t>ZR - NAO APLICAVEL</t>
        </is>
      </c>
      <c r="T481" t="inlineStr">
        <is>
          <t>HEMANUELE ROSA DITZEL</t>
        </is>
      </c>
      <c r="V481" t="inlineStr">
        <is>
          <t>demais</t>
        </is>
      </c>
      <c r="W481" t="inlineStr">
        <is>
          <t>REGIÕES/GRUPOS</t>
        </is>
      </c>
    </row>
    <row r="482" ht="15" customHeight="1">
      <c r="A482" t="n">
        <v>0.038919</v>
      </c>
      <c r="B482" t="inlineStr">
        <is>
          <t>VERMELHO</t>
        </is>
      </c>
      <c r="C482" t="n">
        <v>10706.9</v>
      </c>
      <c r="D482" t="n">
        <v>416.7</v>
      </c>
      <c r="E482" t="n">
        <v>10706.9</v>
      </c>
      <c r="F482" s="6" t="n">
        <v>0.038919</v>
      </c>
      <c r="G482" t="inlineStr">
        <is>
          <t>FITLAND</t>
        </is>
      </c>
      <c r="H482" t="inlineStr">
        <is>
          <t>SC</t>
        </is>
      </c>
      <c r="I482" t="n">
        <v>1</v>
      </c>
      <c r="J482" t="inlineStr">
        <is>
          <t>Prospecção</t>
        </is>
      </c>
      <c r="K482" t="inlineStr">
        <is>
          <t>FITLAND</t>
        </is>
      </c>
      <c r="L482" t="inlineStr">
        <is>
          <t>SC</t>
        </is>
      </c>
      <c r="M482" t="n">
        <v>1</v>
      </c>
      <c r="N482" t="n">
        <v>416.7</v>
      </c>
      <c r="O482" t="n">
        <v>892.24</v>
      </c>
      <c r="P482" t="inlineStr">
        <is>
          <t>03 - NACIONAL</t>
        </is>
      </c>
      <c r="Q482" t="inlineStr">
        <is>
          <t>JULIO GADRET</t>
        </is>
      </c>
      <c r="S482" t="inlineStr">
        <is>
          <t>ZR - NAO APLICAVEL</t>
        </is>
      </c>
      <c r="T482" t="inlineStr">
        <is>
          <t>ZV - NAO APLICAVEL</t>
        </is>
      </c>
      <c r="V482" t="inlineStr">
        <is>
          <t>demais</t>
        </is>
      </c>
      <c r="W482" t="inlineStr">
        <is>
          <t>REDES E FRANQUIAS</t>
        </is>
      </c>
    </row>
    <row r="483" ht="15" customHeight="1">
      <c r="A483" t="n">
        <v>0.072157</v>
      </c>
      <c r="B483" t="inlineStr">
        <is>
          <t>VERMELHO</t>
        </is>
      </c>
      <c r="C483" t="n">
        <v>5615.5</v>
      </c>
      <c r="D483" t="n">
        <v>405.2</v>
      </c>
      <c r="E483" t="n">
        <v>5615.5</v>
      </c>
      <c r="F483" s="6" t="n">
        <v>0.072157</v>
      </c>
      <c r="G483" t="inlineStr">
        <is>
          <t>SEM GRUPO</t>
        </is>
      </c>
      <c r="H483" t="inlineStr">
        <is>
          <t>RS</t>
        </is>
      </c>
      <c r="I483" t="n">
        <v>54334411755</v>
      </c>
      <c r="J483" t="inlineStr">
        <is>
          <t>Prospecção</t>
        </is>
      </c>
      <c r="K483" t="inlineStr">
        <is>
          <t>SEM REDE</t>
        </is>
      </c>
      <c r="L483" t="inlineStr">
        <is>
          <t>RS</t>
        </is>
      </c>
      <c r="M483" t="n">
        <v>54334411755</v>
      </c>
      <c r="N483" t="n">
        <v>405.2</v>
      </c>
      <c r="O483" t="n">
        <v>467.96</v>
      </c>
      <c r="P483" t="inlineStr">
        <is>
          <t>03 - SUL</t>
        </is>
      </c>
      <c r="Q483" t="inlineStr">
        <is>
          <t>HEMANUELE DITZEL (MANU)</t>
        </is>
      </c>
      <c r="S483" t="inlineStr">
        <is>
          <t>ZR - NAO APLICAVEL</t>
        </is>
      </c>
      <c r="T483" t="inlineStr">
        <is>
          <t>HEMANUELE ROSA DITZEL</t>
        </is>
      </c>
      <c r="V483" t="inlineStr">
        <is>
          <t>demais</t>
        </is>
      </c>
      <c r="W483" t="inlineStr">
        <is>
          <t>REGIÕES/GRUPOS</t>
        </is>
      </c>
    </row>
    <row r="484" ht="15" customHeight="1">
      <c r="A484" t="n">
        <v>0.07080400000000001</v>
      </c>
      <c r="B484" t="inlineStr">
        <is>
          <t>VERMELHO</t>
        </is>
      </c>
      <c r="C484" t="n">
        <v>5615.5</v>
      </c>
      <c r="D484" t="n">
        <v>397.6</v>
      </c>
      <c r="E484" t="n">
        <v>5615.5</v>
      </c>
      <c r="F484" s="6" t="n">
        <v>0.07080400000000001</v>
      </c>
      <c r="G484" t="inlineStr">
        <is>
          <t>SEM GRUPO</t>
        </is>
      </c>
      <c r="H484" t="inlineStr">
        <is>
          <t>MG</t>
        </is>
      </c>
      <c r="I484" t="n">
        <v>31998340443</v>
      </c>
      <c r="J484" t="inlineStr">
        <is>
          <t>Prospecção</t>
        </is>
      </c>
      <c r="K484" t="inlineStr">
        <is>
          <t>SEM REDE</t>
        </is>
      </c>
      <c r="L484" t="inlineStr">
        <is>
          <t>MG</t>
        </is>
      </c>
      <c r="M484" t="n">
        <v>31998340443</v>
      </c>
      <c r="N484" t="n">
        <v>397.6</v>
      </c>
      <c r="O484" t="n">
        <v>467.96</v>
      </c>
      <c r="P484" t="inlineStr">
        <is>
          <t>03 - RJ + ES + MG</t>
        </is>
      </c>
      <c r="Q484" t="inlineStr">
        <is>
          <t>LARISSA PADILHA</t>
        </is>
      </c>
      <c r="S484" t="inlineStr">
        <is>
          <t>42.149.466 LARISSA DA SILVA PADILHA - ME</t>
        </is>
      </c>
      <c r="T484" t="inlineStr">
        <is>
          <t>ZV - NAO APLICAVEL</t>
        </is>
      </c>
      <c r="V484" t="inlineStr">
        <is>
          <t>demais</t>
        </is>
      </c>
      <c r="W484" t="inlineStr">
        <is>
          <t>REGIÕES/GRUPOS</t>
        </is>
      </c>
    </row>
    <row r="485" ht="15" customHeight="1">
      <c r="A485" t="n">
        <v>0.07026399999999999</v>
      </c>
      <c r="B485" t="inlineStr">
        <is>
          <t>VERMELHO</t>
        </is>
      </c>
      <c r="C485" t="n">
        <v>5615.5</v>
      </c>
      <c r="D485" t="n">
        <v>394.57</v>
      </c>
      <c r="E485" t="n">
        <v>5615.5</v>
      </c>
      <c r="F485" s="6" t="n">
        <v>0.07026399999999999</v>
      </c>
      <c r="G485" t="inlineStr">
        <is>
          <t>SEM GRUPO</t>
        </is>
      </c>
      <c r="H485" t="inlineStr">
        <is>
          <t>PR</t>
        </is>
      </c>
      <c r="I485" t="n">
        <v>41996380291</v>
      </c>
      <c r="J485" t="inlineStr">
        <is>
          <t>Prospecção</t>
        </is>
      </c>
      <c r="K485" t="inlineStr">
        <is>
          <t>SEM REDE</t>
        </is>
      </c>
      <c r="L485" t="inlineStr">
        <is>
          <t>PR</t>
        </is>
      </c>
      <c r="M485" t="n">
        <v>41996380291</v>
      </c>
      <c r="N485" t="n">
        <v>394.57</v>
      </c>
      <c r="O485" t="n">
        <v>467.96</v>
      </c>
      <c r="P485" t="inlineStr">
        <is>
          <t>03 - SUL</t>
        </is>
      </c>
      <c r="Q485" t="inlineStr">
        <is>
          <t>HEMANUELE DITZEL (MANU)</t>
        </is>
      </c>
      <c r="S485" t="inlineStr">
        <is>
          <t>ZR - NAO APLICAVEL</t>
        </is>
      </c>
      <c r="T485" t="inlineStr">
        <is>
          <t>HEMANUELE ROSA DITZEL</t>
        </is>
      </c>
      <c r="V485" t="inlineStr">
        <is>
          <t>demais</t>
        </is>
      </c>
      <c r="W485" t="inlineStr">
        <is>
          <t>REGIÕES/GRUPOS</t>
        </is>
      </c>
    </row>
    <row r="486" ht="15" customHeight="1">
      <c r="A486" t="n">
        <v>0.058796</v>
      </c>
      <c r="B486" t="inlineStr">
        <is>
          <t>VERMELHO</t>
        </is>
      </c>
      <c r="C486" t="n">
        <v>6566.04</v>
      </c>
      <c r="D486" t="n">
        <v>386.06</v>
      </c>
      <c r="E486" t="n">
        <v>6566.04</v>
      </c>
      <c r="F486" s="6" t="n">
        <v>0.058796</v>
      </c>
      <c r="G486" t="inlineStr">
        <is>
          <t>DIVINA TERRA</t>
        </is>
      </c>
      <c r="H486" t="inlineStr">
        <is>
          <t>SC</t>
        </is>
      </c>
      <c r="I486" t="n">
        <v>49991801104</v>
      </c>
      <c r="J486" t="inlineStr">
        <is>
          <t>Prospecção</t>
        </is>
      </c>
      <c r="K486" t="inlineStr">
        <is>
          <t>DIVINA TERRA</t>
        </is>
      </c>
      <c r="L486" t="inlineStr">
        <is>
          <t>SC</t>
        </is>
      </c>
      <c r="M486" t="n">
        <v>49991801104</v>
      </c>
      <c r="N486" t="n">
        <v>386.06</v>
      </c>
      <c r="O486" t="n">
        <v>547.17</v>
      </c>
      <c r="P486" t="inlineStr">
        <is>
          <t>03 - NACIONAL</t>
        </is>
      </c>
      <c r="Q486" t="inlineStr">
        <is>
          <t>DAIANE STAVICKI</t>
        </is>
      </c>
      <c r="S486" t="inlineStr">
        <is>
          <t>ZR - NAO APLICAVEL</t>
        </is>
      </c>
      <c r="T486" t="inlineStr">
        <is>
          <t>ZV - NAO APLICAVEL</t>
        </is>
      </c>
      <c r="V486" t="inlineStr">
        <is>
          <t>demais</t>
        </is>
      </c>
      <c r="W486" t="inlineStr">
        <is>
          <t>REDES E FRANQUIAS</t>
        </is>
      </c>
    </row>
    <row r="487" ht="15" customHeight="1">
      <c r="A487" t="n">
        <v>0.068088</v>
      </c>
      <c r="B487" t="inlineStr">
        <is>
          <t>VERMELHO</t>
        </is>
      </c>
      <c r="C487" t="n">
        <v>5615.5</v>
      </c>
      <c r="D487" t="n">
        <v>382.35</v>
      </c>
      <c r="E487" t="n">
        <v>5615.5</v>
      </c>
      <c r="F487" s="6" t="n">
        <v>0.068088</v>
      </c>
      <c r="G487" t="inlineStr">
        <is>
          <t>SEM GRUPO</t>
        </is>
      </c>
      <c r="H487" t="inlineStr">
        <is>
          <t>PI</t>
        </is>
      </c>
      <c r="I487" t="n">
        <v>8695516151</v>
      </c>
      <c r="J487" t="inlineStr">
        <is>
          <t>Prospecção</t>
        </is>
      </c>
      <c r="K487" t="inlineStr">
        <is>
          <t>SEM REDE</t>
        </is>
      </c>
      <c r="L487" t="inlineStr">
        <is>
          <t>PI</t>
        </is>
      </c>
      <c r="M487" t="n">
        <v>8695516151</v>
      </c>
      <c r="N487" t="n">
        <v>382.35</v>
      </c>
      <c r="O487" t="n">
        <v>467.96</v>
      </c>
      <c r="P487" t="inlineStr">
        <is>
          <t>03 - NORDESTE (SEM MA)</t>
        </is>
      </c>
      <c r="Q487" t="inlineStr">
        <is>
          <t>LARISSA PADILHA</t>
        </is>
      </c>
      <c r="S487" t="inlineStr">
        <is>
          <t>42.149.466 LARISSA DA SILVA PADILHA - ME</t>
        </is>
      </c>
      <c r="T487" t="inlineStr">
        <is>
          <t>ZV - NAO APLICAVEL</t>
        </is>
      </c>
      <c r="V487" t="inlineStr">
        <is>
          <t>demais</t>
        </is>
      </c>
      <c r="W487" t="inlineStr">
        <is>
          <t>REGIÕES/GRUPOS</t>
        </is>
      </c>
    </row>
    <row r="488" ht="15" customHeight="1">
      <c r="A488" t="n">
        <v>0.067659</v>
      </c>
      <c r="B488" t="inlineStr">
        <is>
          <t>VERMELHO</t>
        </is>
      </c>
      <c r="C488" t="n">
        <v>5615.5</v>
      </c>
      <c r="D488" t="n">
        <v>379.94</v>
      </c>
      <c r="E488" t="n">
        <v>5615.5</v>
      </c>
      <c r="F488" s="6" t="n">
        <v>0.067659</v>
      </c>
      <c r="G488" t="inlineStr">
        <is>
          <t>SEM GRUPO</t>
        </is>
      </c>
      <c r="H488" t="inlineStr">
        <is>
          <t>MT</t>
        </is>
      </c>
      <c r="I488" t="n">
        <v>66999684606</v>
      </c>
      <c r="J488" t="inlineStr">
        <is>
          <t>Prospecção</t>
        </is>
      </c>
      <c r="K488" t="inlineStr">
        <is>
          <t>SEM REDE</t>
        </is>
      </c>
      <c r="L488" t="inlineStr">
        <is>
          <t>MT</t>
        </is>
      </c>
      <c r="M488" t="n">
        <v>66999684606</v>
      </c>
      <c r="N488" t="n">
        <v>379.94</v>
      </c>
      <c r="O488" t="n">
        <v>467.96</v>
      </c>
      <c r="P488" t="inlineStr">
        <is>
          <t>03 - CENTRO OESTE</t>
        </is>
      </c>
      <c r="Q488" t="inlineStr">
        <is>
          <t>LARISSA PADILHA</t>
        </is>
      </c>
      <c r="S488" t="inlineStr">
        <is>
          <t>42.149.466 LARISSA DA SILVA PADILHA - ME</t>
        </is>
      </c>
      <c r="T488" t="inlineStr">
        <is>
          <t>ZV - NAO APLICAVEL</t>
        </is>
      </c>
      <c r="V488" t="inlineStr">
        <is>
          <t>demais</t>
        </is>
      </c>
      <c r="W488" t="inlineStr">
        <is>
          <t>REGIÕES/GRUPOS</t>
        </is>
      </c>
    </row>
    <row r="489" ht="15" customHeight="1">
      <c r="A489" t="n">
        <v>0.06719799999999999</v>
      </c>
      <c r="B489" t="inlineStr">
        <is>
          <t>VERMELHO</t>
        </is>
      </c>
      <c r="C489" t="n">
        <v>5615.5</v>
      </c>
      <c r="D489" t="n">
        <v>377.35</v>
      </c>
      <c r="E489" t="n">
        <v>5615.5</v>
      </c>
      <c r="F489" s="6" t="n">
        <v>0.06719799999999999</v>
      </c>
      <c r="G489" t="inlineStr">
        <is>
          <t>SEM GRUPO</t>
        </is>
      </c>
      <c r="H489" t="inlineStr">
        <is>
          <t>PR</t>
        </is>
      </c>
      <c r="I489" t="n">
        <v>43984033992</v>
      </c>
      <c r="J489" t="inlineStr">
        <is>
          <t>Prospecção</t>
        </is>
      </c>
      <c r="K489" t="inlineStr">
        <is>
          <t>SEM REDE</t>
        </is>
      </c>
      <c r="L489" t="inlineStr">
        <is>
          <t>PR</t>
        </is>
      </c>
      <c r="M489" t="n">
        <v>43984033992</v>
      </c>
      <c r="N489" t="n">
        <v>377.35</v>
      </c>
      <c r="O489" t="n">
        <v>467.96</v>
      </c>
      <c r="P489" t="inlineStr">
        <is>
          <t>03 - SUL</t>
        </is>
      </c>
      <c r="Q489" t="inlineStr">
        <is>
          <t>HEMANUELE DITZEL (MANU)</t>
        </is>
      </c>
      <c r="S489" t="inlineStr">
        <is>
          <t>ZR - NAO APLICAVEL</t>
        </is>
      </c>
      <c r="T489" t="inlineStr">
        <is>
          <t>HEMANUELE ROSA DITZEL</t>
        </is>
      </c>
      <c r="V489" t="inlineStr">
        <is>
          <t>demais</t>
        </is>
      </c>
      <c r="W489" t="inlineStr">
        <is>
          <t>REGIÕES/GRUPOS</t>
        </is>
      </c>
    </row>
    <row r="490" ht="15" customHeight="1">
      <c r="A490" t="n">
        <v>0.052489</v>
      </c>
      <c r="B490" t="inlineStr">
        <is>
          <t>VERMELHO</t>
        </is>
      </c>
      <c r="C490" t="n">
        <v>5615.5</v>
      </c>
      <c r="D490" t="n">
        <v>294.75</v>
      </c>
      <c r="E490" t="n">
        <v>5615.5</v>
      </c>
      <c r="F490" s="6" t="n">
        <v>0.052489</v>
      </c>
      <c r="G490" t="inlineStr">
        <is>
          <t>SEM GRUPO</t>
        </is>
      </c>
      <c r="H490" t="inlineStr">
        <is>
          <t>SP</t>
        </is>
      </c>
      <c r="I490" t="n">
        <v>1934957166</v>
      </c>
      <c r="J490" t="inlineStr">
        <is>
          <t>Prospecção</t>
        </is>
      </c>
      <c r="K490" t="inlineStr">
        <is>
          <t>SEM REDE</t>
        </is>
      </c>
      <c r="L490" t="inlineStr">
        <is>
          <t>SP</t>
        </is>
      </c>
      <c r="M490" t="n">
        <v>1934957166</v>
      </c>
      <c r="N490" t="n">
        <v>294.75</v>
      </c>
      <c r="O490" t="n">
        <v>467.96</v>
      </c>
      <c r="P490" t="inlineStr">
        <is>
          <t>03 - SP INTERIOR</t>
        </is>
      </c>
      <c r="Q490" t="inlineStr">
        <is>
          <t>LARISSA PADILHA</t>
        </is>
      </c>
      <c r="S490" t="inlineStr">
        <is>
          <t>ZR - NAO APLICAVEL</t>
        </is>
      </c>
      <c r="T490" t="inlineStr">
        <is>
          <t>ZV - NAO APLICAVEL</t>
        </is>
      </c>
      <c r="V490" t="inlineStr">
        <is>
          <t>demais</t>
        </is>
      </c>
      <c r="W490" t="inlineStr">
        <is>
          <t>REGIÕES/GRUPOS</t>
        </is>
      </c>
    </row>
    <row r="491" ht="15" customHeight="1">
      <c r="A491" t="n">
        <v>0.051244</v>
      </c>
      <c r="B491" t="inlineStr">
        <is>
          <t>VERMELHO</t>
        </is>
      </c>
      <c r="C491" t="n">
        <v>5615.5</v>
      </c>
      <c r="D491" t="n">
        <v>287.76</v>
      </c>
      <c r="E491" t="n">
        <v>5615.5</v>
      </c>
      <c r="F491" s="6" t="n">
        <v>0.051244</v>
      </c>
      <c r="G491" t="inlineStr">
        <is>
          <t>SEM GRUPO</t>
        </is>
      </c>
      <c r="H491" t="inlineStr">
        <is>
          <t>RJ</t>
        </is>
      </c>
      <c r="I491" t="n">
        <v>22988709405</v>
      </c>
      <c r="J491" t="inlineStr">
        <is>
          <t>Prospecção</t>
        </is>
      </c>
      <c r="K491" t="inlineStr">
        <is>
          <t>SEM REDE</t>
        </is>
      </c>
      <c r="L491" t="inlineStr">
        <is>
          <t>RJ</t>
        </is>
      </c>
      <c r="M491" t="n">
        <v>22988709405</v>
      </c>
      <c r="N491" t="n">
        <v>287.76</v>
      </c>
      <c r="O491" t="n">
        <v>467.96</v>
      </c>
      <c r="P491" t="inlineStr">
        <is>
          <t>03 - RJ + ES + MG</t>
        </is>
      </c>
      <c r="Q491" t="inlineStr">
        <is>
          <t>LARISSA PADILHA</t>
        </is>
      </c>
      <c r="S491" t="inlineStr">
        <is>
          <t>42.149.466 LARISSA DA SILVA PADILHA - ME</t>
        </is>
      </c>
      <c r="T491" t="inlineStr">
        <is>
          <t>ZV - NAO APLICAVEL</t>
        </is>
      </c>
      <c r="V491" t="inlineStr">
        <is>
          <t>demais</t>
        </is>
      </c>
      <c r="W491" t="inlineStr">
        <is>
          <t>REGIÕES/GRUPOS</t>
        </is>
      </c>
    </row>
    <row r="492" ht="15" customHeight="1">
      <c r="A492" t="n">
        <v>0.047825</v>
      </c>
      <c r="B492" t="inlineStr">
        <is>
          <t>VERMELHO</t>
        </is>
      </c>
      <c r="C492" t="n">
        <v>5615.5</v>
      </c>
      <c r="D492" t="n">
        <v>268.56</v>
      </c>
      <c r="E492" t="n">
        <v>5615.5</v>
      </c>
      <c r="F492" s="6" t="n">
        <v>0.047825</v>
      </c>
      <c r="G492" t="inlineStr">
        <is>
          <t>SEM GRUPO</t>
        </is>
      </c>
      <c r="H492" t="inlineStr">
        <is>
          <t>SP</t>
        </is>
      </c>
      <c r="I492" t="n">
        <v>19991003669</v>
      </c>
      <c r="J492" t="inlineStr">
        <is>
          <t>Prospecção</t>
        </is>
      </c>
      <c r="K492" t="inlineStr">
        <is>
          <t>SEM REDE</t>
        </is>
      </c>
      <c r="L492" t="inlineStr">
        <is>
          <t>SP</t>
        </is>
      </c>
      <c r="M492" t="n">
        <v>19991003669</v>
      </c>
      <c r="N492" t="n">
        <v>268.56</v>
      </c>
      <c r="O492" t="n">
        <v>467.96</v>
      </c>
      <c r="P492" t="inlineStr">
        <is>
          <t>03 - SP INTERIOR</t>
        </is>
      </c>
      <c r="Q492" t="inlineStr">
        <is>
          <t>LARISSA PADILHA</t>
        </is>
      </c>
      <c r="S492" t="inlineStr">
        <is>
          <t>42.149.466 LARISSA DA SILVA PADILHA - ME</t>
        </is>
      </c>
      <c r="T492" t="inlineStr">
        <is>
          <t>ZV - NAO APLICAVEL</t>
        </is>
      </c>
      <c r="V492" t="inlineStr">
        <is>
          <t>demais</t>
        </is>
      </c>
      <c r="W492" t="inlineStr">
        <is>
          <t>REGIÕES/GRUPOS</t>
        </is>
      </c>
    </row>
    <row r="493" ht="15" customHeight="1">
      <c r="A493" t="n">
        <v>0.017988</v>
      </c>
      <c r="B493" t="inlineStr">
        <is>
          <t>VERMELHO</t>
        </is>
      </c>
      <c r="C493" t="n">
        <v>10706.9</v>
      </c>
      <c r="D493" t="n">
        <v>192.6</v>
      </c>
      <c r="E493" t="n">
        <v>10706.9</v>
      </c>
      <c r="F493" s="6" t="n">
        <v>0.017988</v>
      </c>
      <c r="G493" t="inlineStr">
        <is>
          <t>FITLAND</t>
        </is>
      </c>
      <c r="H493" t="inlineStr">
        <is>
          <t>SC</t>
        </is>
      </c>
      <c r="I493" t="n">
        <v>4885009192</v>
      </c>
      <c r="J493" t="inlineStr">
        <is>
          <t>Prospecção</t>
        </is>
      </c>
      <c r="K493" t="inlineStr">
        <is>
          <t>FITLAND</t>
        </is>
      </c>
      <c r="L493" t="inlineStr">
        <is>
          <t>SC</t>
        </is>
      </c>
      <c r="M493" t="n">
        <v>4885009192</v>
      </c>
      <c r="N493" t="n">
        <v>192.6</v>
      </c>
      <c r="O493" t="n">
        <v>892.24</v>
      </c>
      <c r="P493" t="inlineStr">
        <is>
          <t>03 - NACIONAL</t>
        </is>
      </c>
      <c r="Q493" t="inlineStr">
        <is>
          <t>JULIO GADRET</t>
        </is>
      </c>
      <c r="S493" t="inlineStr">
        <is>
          <t>ZR - NAO APLICAVEL</t>
        </is>
      </c>
      <c r="T493" t="inlineStr">
        <is>
          <t>ZV - NAO APLICAVEL</t>
        </is>
      </c>
      <c r="V493" t="inlineStr">
        <is>
          <t>demais</t>
        </is>
      </c>
      <c r="W493" t="inlineStr">
        <is>
          <t>REDES E FRANQUIAS</t>
        </is>
      </c>
    </row>
    <row r="494" ht="15" customHeight="1">
      <c r="A494" t="n">
        <v>0.01198</v>
      </c>
      <c r="B494" t="inlineStr">
        <is>
          <t>VERMELHO</t>
        </is>
      </c>
      <c r="C494" t="n">
        <v>10706.9</v>
      </c>
      <c r="D494" t="n">
        <v>128.27</v>
      </c>
      <c r="E494" t="n">
        <v>10706.9</v>
      </c>
      <c r="F494" s="6" t="n">
        <v>0.01198</v>
      </c>
      <c r="G494" t="inlineStr">
        <is>
          <t>FITLAND</t>
        </is>
      </c>
      <c r="H494" t="inlineStr">
        <is>
          <t>SC</t>
        </is>
      </c>
      <c r="I494" t="n">
        <v>4885009192</v>
      </c>
      <c r="J494" t="inlineStr">
        <is>
          <t>Prospecção</t>
        </is>
      </c>
      <c r="K494" t="inlineStr">
        <is>
          <t>FITLAND</t>
        </is>
      </c>
      <c r="L494" t="inlineStr">
        <is>
          <t>SC</t>
        </is>
      </c>
      <c r="M494" t="n">
        <v>4885009192</v>
      </c>
      <c r="N494" t="n">
        <v>128.27</v>
      </c>
      <c r="O494" t="n">
        <v>892.24</v>
      </c>
      <c r="P494" t="inlineStr">
        <is>
          <t>03 - NACIONAL</t>
        </is>
      </c>
      <c r="Q494" t="inlineStr">
        <is>
          <t>JULIO GADRET</t>
        </is>
      </c>
      <c r="S494" t="inlineStr">
        <is>
          <t>ZR - NAO APLICAVEL</t>
        </is>
      </c>
      <c r="T494" t="inlineStr">
        <is>
          <t>ZV - NAO APLICAVEL</t>
        </is>
      </c>
      <c r="V494" t="inlineStr">
        <is>
          <t>demais</t>
        </is>
      </c>
      <c r="W494" t="inlineStr">
        <is>
          <t>REDES E FRANQUIAS</t>
        </is>
      </c>
    </row>
    <row r="495" ht="15" customHeight="1">
      <c r="A495" t="n">
        <v>0</v>
      </c>
      <c r="B495" t="inlineStr">
        <is>
          <t>ROXO</t>
        </is>
      </c>
      <c r="C495" t="n">
        <v>6281.25</v>
      </c>
      <c r="D495" t="n">
        <v>0</v>
      </c>
      <c r="E495" t="n">
        <v>6281.25</v>
      </c>
      <c r="F495" s="6" t="n">
        <v>0</v>
      </c>
      <c r="G495" t="inlineStr">
        <is>
          <t>BIO MUNDO</t>
        </is>
      </c>
      <c r="H495" t="inlineStr">
        <is>
          <t>PA</t>
        </is>
      </c>
      <c r="I495" t="n">
        <v>9191661360</v>
      </c>
      <c r="J495" t="inlineStr">
        <is>
          <t>Inativo</t>
        </is>
      </c>
      <c r="K495" t="inlineStr">
        <is>
          <t>BIO MUNDO</t>
        </is>
      </c>
      <c r="L495" t="inlineStr">
        <is>
          <t>PA</t>
        </is>
      </c>
      <c r="M495" t="n">
        <v>9191661360</v>
      </c>
      <c r="N495" t="n">
        <v>0</v>
      </c>
      <c r="O495" t="n">
        <v>523.4400000000001</v>
      </c>
      <c r="P495" t="inlineStr">
        <is>
          <t>03 - NACIONAL</t>
        </is>
      </c>
      <c r="Q495" t="inlineStr">
        <is>
          <t>DAIANE STAVICKI</t>
        </is>
      </c>
      <c r="S495" t="inlineStr">
        <is>
          <t>ZR - NAO APLICAVEL</t>
        </is>
      </c>
      <c r="T495" t="inlineStr">
        <is>
          <t>ZV - NAO APLICAVEL</t>
        </is>
      </c>
      <c r="V495" t="inlineStr">
        <is>
          <t>demais</t>
        </is>
      </c>
      <c r="W495" t="inlineStr">
        <is>
          <t>REDES E FRANQUIAS</t>
        </is>
      </c>
    </row>
    <row r="496" ht="15" customHeight="1">
      <c r="A496" t="n">
        <v>0</v>
      </c>
      <c r="B496" t="inlineStr">
        <is>
          <t>ROXO</t>
        </is>
      </c>
      <c r="C496" t="n">
        <v>6566.04</v>
      </c>
      <c r="D496" t="n">
        <v>0</v>
      </c>
      <c r="E496" t="n">
        <v>6566.04</v>
      </c>
      <c r="F496" s="6" t="n">
        <v>0</v>
      </c>
      <c r="G496" t="inlineStr">
        <is>
          <t>DIVINA TERRA</t>
        </is>
      </c>
      <c r="H496" t="inlineStr">
        <is>
          <t>PA</t>
        </is>
      </c>
      <c r="I496" t="n">
        <v>9130385403</v>
      </c>
      <c r="J496" t="inlineStr">
        <is>
          <t>Inativo</t>
        </is>
      </c>
      <c r="K496" t="inlineStr">
        <is>
          <t>DIVINA TERRA</t>
        </is>
      </c>
      <c r="L496" t="inlineStr">
        <is>
          <t>PA</t>
        </is>
      </c>
      <c r="M496" t="n">
        <v>9130385403</v>
      </c>
      <c r="N496" t="n">
        <v>0</v>
      </c>
      <c r="O496" t="n">
        <v>547.17</v>
      </c>
      <c r="P496" t="inlineStr">
        <is>
          <t>03 - NACIONAL</t>
        </is>
      </c>
      <c r="Q496" t="inlineStr">
        <is>
          <t>DAIANE STAVICKI</t>
        </is>
      </c>
      <c r="S496" t="inlineStr">
        <is>
          <t>ZR - NAO APLICAVEL</t>
        </is>
      </c>
      <c r="T496" t="inlineStr">
        <is>
          <t>ZV - NAO APLICAVEL</t>
        </is>
      </c>
      <c r="V496" t="inlineStr">
        <is>
          <t>demais</t>
        </is>
      </c>
      <c r="W496" t="inlineStr">
        <is>
          <t>REDES E FRANQUIAS</t>
        </is>
      </c>
    </row>
    <row r="497" ht="15" customHeight="1">
      <c r="A497" t="n">
        <v>0</v>
      </c>
      <c r="B497" t="inlineStr">
        <is>
          <t>ROXO</t>
        </is>
      </c>
      <c r="C497" t="n">
        <v>6281.25</v>
      </c>
      <c r="D497" t="n">
        <v>0</v>
      </c>
      <c r="E497" t="n">
        <v>6281.25</v>
      </c>
      <c r="F497" s="6" t="n">
        <v>0</v>
      </c>
      <c r="G497" t="inlineStr">
        <is>
          <t>BIO MUNDO</t>
        </is>
      </c>
      <c r="H497" t="inlineStr">
        <is>
          <t>AM</t>
        </is>
      </c>
      <c r="I497" t="n">
        <v>9191526077</v>
      </c>
      <c r="J497" t="inlineStr">
        <is>
          <t>Inativo</t>
        </is>
      </c>
      <c r="K497" t="inlineStr">
        <is>
          <t>BIO MUNDO</t>
        </is>
      </c>
      <c r="L497" t="inlineStr">
        <is>
          <t>AM</t>
        </is>
      </c>
      <c r="M497" t="n">
        <v>9191526077</v>
      </c>
      <c r="N497" t="n">
        <v>0</v>
      </c>
      <c r="O497" t="n">
        <v>523.4400000000001</v>
      </c>
      <c r="P497" t="inlineStr">
        <is>
          <t>03 - NACIONAL</t>
        </is>
      </c>
      <c r="Q497" t="inlineStr">
        <is>
          <t>DAIANE STAVICKI</t>
        </is>
      </c>
      <c r="S497" t="inlineStr">
        <is>
          <t>ZR - NAO APLICAVEL</t>
        </is>
      </c>
      <c r="T497" t="inlineStr">
        <is>
          <t>ZV - NAO APLICAVEL</t>
        </is>
      </c>
      <c r="V497" t="inlineStr">
        <is>
          <t>demais</t>
        </is>
      </c>
      <c r="W497" t="inlineStr">
        <is>
          <t>REDES E FRANQUIAS</t>
        </is>
      </c>
    </row>
    <row r="498" ht="15" customHeight="1">
      <c r="A498" t="n">
        <v>0</v>
      </c>
      <c r="B498" t="inlineStr">
        <is>
          <t>ROXO</t>
        </is>
      </c>
      <c r="C498" t="n">
        <v>6281.25</v>
      </c>
      <c r="D498" t="n">
        <v>0</v>
      </c>
      <c r="E498" t="n">
        <v>6281.25</v>
      </c>
      <c r="F498" s="6" t="n">
        <v>0</v>
      </c>
      <c r="G498" t="inlineStr">
        <is>
          <t>BIO MUNDO</t>
        </is>
      </c>
      <c r="H498" t="inlineStr">
        <is>
          <t>GO</t>
        </is>
      </c>
      <c r="I498" t="n">
        <v>6292088174</v>
      </c>
      <c r="J498" t="inlineStr">
        <is>
          <t>Inativo</t>
        </is>
      </c>
      <c r="K498" t="inlineStr">
        <is>
          <t>BIO MUNDO</t>
        </is>
      </c>
      <c r="L498" t="inlineStr">
        <is>
          <t>GO</t>
        </is>
      </c>
      <c r="M498" t="n">
        <v>6292088174</v>
      </c>
      <c r="N498" t="n">
        <v>0</v>
      </c>
      <c r="O498" t="n">
        <v>523.4400000000001</v>
      </c>
      <c r="P498" t="inlineStr">
        <is>
          <t>03 - NACIONAL</t>
        </is>
      </c>
      <c r="Q498" t="inlineStr">
        <is>
          <t>DAIANE STAVICKI</t>
        </is>
      </c>
      <c r="S498" t="inlineStr">
        <is>
          <t>ZR - NAO APLICAVEL</t>
        </is>
      </c>
      <c r="T498" t="inlineStr">
        <is>
          <t>ZV - NAO APLICAVEL</t>
        </is>
      </c>
      <c r="V498" t="inlineStr">
        <is>
          <t>demais</t>
        </is>
      </c>
      <c r="W498" t="inlineStr">
        <is>
          <t>REDES E FRANQUIAS</t>
        </is>
      </c>
    </row>
    <row r="499" ht="15" customHeight="1">
      <c r="A499" t="n">
        <v>0</v>
      </c>
      <c r="B499" t="inlineStr">
        <is>
          <t>ROXO</t>
        </is>
      </c>
      <c r="C499" t="n">
        <v>6566.04</v>
      </c>
      <c r="D499" t="n">
        <v>0</v>
      </c>
      <c r="E499" t="n">
        <v>6566.04</v>
      </c>
      <c r="F499" s="6" t="n">
        <v>0</v>
      </c>
      <c r="G499" t="inlineStr">
        <is>
          <t>DIVINA TERRA</t>
        </is>
      </c>
      <c r="H499" t="inlineStr">
        <is>
          <t>PB</t>
        </is>
      </c>
      <c r="I499" t="n">
        <v>83996111876</v>
      </c>
      <c r="J499" t="inlineStr">
        <is>
          <t>Inativo</t>
        </is>
      </c>
      <c r="K499" t="inlineStr">
        <is>
          <t>DIVINA TERRA</t>
        </is>
      </c>
      <c r="L499" t="inlineStr">
        <is>
          <t>PB</t>
        </is>
      </c>
      <c r="M499" t="n">
        <v>83996111876</v>
      </c>
      <c r="N499" t="n">
        <v>0</v>
      </c>
      <c r="O499" t="n">
        <v>547.17</v>
      </c>
      <c r="P499" t="inlineStr">
        <is>
          <t>03 - NACIONAL</t>
        </is>
      </c>
      <c r="Q499" t="inlineStr">
        <is>
          <t>DAIANE STAVICKI</t>
        </is>
      </c>
      <c r="S499" t="inlineStr">
        <is>
          <t>ZR - NAO APLICAVEL</t>
        </is>
      </c>
      <c r="T499" t="inlineStr">
        <is>
          <t>ZV - NAO APLICAVEL</t>
        </is>
      </c>
      <c r="V499" t="inlineStr">
        <is>
          <t>demais</t>
        </is>
      </c>
      <c r="W499" t="inlineStr">
        <is>
          <t>REDES E FRANQUIAS</t>
        </is>
      </c>
    </row>
    <row r="500" ht="15" customHeight="1">
      <c r="A500" t="n">
        <v>0</v>
      </c>
      <c r="B500" t="inlineStr">
        <is>
          <t>ROXO</t>
        </is>
      </c>
      <c r="C500" t="n">
        <v>10200</v>
      </c>
      <c r="D500" t="n">
        <v>0</v>
      </c>
      <c r="E500" t="n">
        <v>10200</v>
      </c>
      <c r="F500" s="6" t="n">
        <v>0</v>
      </c>
      <c r="G500" t="inlineStr">
        <is>
          <t>VIDA LEVE</t>
        </is>
      </c>
      <c r="H500" t="inlineStr">
        <is>
          <t>MT</t>
        </is>
      </c>
      <c r="I500" t="n">
        <v>66992239861</v>
      </c>
      <c r="J500" t="inlineStr">
        <is>
          <t>Inativo</t>
        </is>
      </c>
      <c r="K500" t="inlineStr">
        <is>
          <t>VIDA LEVE</t>
        </is>
      </c>
      <c r="L500" t="inlineStr">
        <is>
          <t>MT</t>
        </is>
      </c>
      <c r="M500" t="n">
        <v>66992239861</v>
      </c>
      <c r="N500" t="n">
        <v>0</v>
      </c>
      <c r="O500" t="n">
        <v>850</v>
      </c>
      <c r="P500" t="inlineStr">
        <is>
          <t>03 - NACIONAL</t>
        </is>
      </c>
      <c r="Q500" t="inlineStr">
        <is>
          <t>DAIANE STAVICKI</t>
        </is>
      </c>
      <c r="S500" t="inlineStr">
        <is>
          <t>ZR - NAO APLICAVEL</t>
        </is>
      </c>
      <c r="T500" t="inlineStr">
        <is>
          <t>ZV - NAO APLICAVEL</t>
        </is>
      </c>
      <c r="V500" t="inlineStr">
        <is>
          <t>demais</t>
        </is>
      </c>
      <c r="W500" t="inlineStr">
        <is>
          <t>REDES E FRANQUIAS</t>
        </is>
      </c>
    </row>
    <row r="501" ht="15" customHeight="1">
      <c r="A501" t="n">
        <v>0</v>
      </c>
      <c r="B501" t="inlineStr">
        <is>
          <t>ROXO</t>
        </is>
      </c>
      <c r="C501" t="n">
        <v>10875</v>
      </c>
      <c r="D501" t="n">
        <v>0</v>
      </c>
      <c r="E501" t="n">
        <v>10875</v>
      </c>
      <c r="F501" s="6" t="n">
        <v>0</v>
      </c>
      <c r="G501" t="inlineStr">
        <is>
          <t>CIA DA SAUDE</t>
        </is>
      </c>
      <c r="H501" t="inlineStr">
        <is>
          <t>MG</t>
        </is>
      </c>
      <c r="I501" t="n">
        <v>31355115213</v>
      </c>
      <c r="J501" t="inlineStr">
        <is>
          <t>Inativo</t>
        </is>
      </c>
      <c r="K501" t="inlineStr">
        <is>
          <t>CIA DA SAUDE</t>
        </is>
      </c>
      <c r="L501" t="inlineStr">
        <is>
          <t>MG</t>
        </is>
      </c>
      <c r="M501" t="n">
        <v>31355115213</v>
      </c>
      <c r="N501" t="n">
        <v>0</v>
      </c>
      <c r="O501" t="n">
        <v>906.25</v>
      </c>
      <c r="P501" t="inlineStr">
        <is>
          <t>03 - NACIONAL</t>
        </is>
      </c>
      <c r="Q501" t="inlineStr">
        <is>
          <t>JULIO GADRET</t>
        </is>
      </c>
      <c r="S501" t="inlineStr">
        <is>
          <t>ZR - NAO APLICAVEL</t>
        </is>
      </c>
      <c r="T501" t="inlineStr">
        <is>
          <t>ZV - NAO APLICAVEL</t>
        </is>
      </c>
      <c r="V501" t="inlineStr">
        <is>
          <t>demais</t>
        </is>
      </c>
      <c r="W501" t="inlineStr">
        <is>
          <t>REDES E FRANQUIAS</t>
        </is>
      </c>
    </row>
    <row r="502" ht="15" customHeight="1">
      <c r="A502" t="n">
        <v>0</v>
      </c>
      <c r="B502" t="inlineStr">
        <is>
          <t>ROXO</t>
        </is>
      </c>
      <c r="C502" t="n">
        <v>10875</v>
      </c>
      <c r="D502" t="n">
        <v>0</v>
      </c>
      <c r="E502" t="n">
        <v>10875</v>
      </c>
      <c r="F502" s="6" t="n">
        <v>0</v>
      </c>
      <c r="G502" t="inlineStr">
        <is>
          <t>CIA DA SAUDE</t>
        </is>
      </c>
      <c r="H502" t="inlineStr">
        <is>
          <t>MG</t>
        </is>
      </c>
      <c r="I502" t="n">
        <v>31986333559</v>
      </c>
      <c r="J502" t="inlineStr">
        <is>
          <t>Inativo</t>
        </is>
      </c>
      <c r="K502" t="inlineStr">
        <is>
          <t>CIA DA SAUDE</t>
        </is>
      </c>
      <c r="L502" t="inlineStr">
        <is>
          <t>MG</t>
        </is>
      </c>
      <c r="M502" t="n">
        <v>31986333559</v>
      </c>
      <c r="N502" t="n">
        <v>0</v>
      </c>
      <c r="O502" t="n">
        <v>906.25</v>
      </c>
      <c r="P502" t="inlineStr">
        <is>
          <t>03 - NACIONAL</t>
        </is>
      </c>
      <c r="Q502" t="inlineStr">
        <is>
          <t>JULIO GADRET</t>
        </is>
      </c>
      <c r="S502" t="inlineStr">
        <is>
          <t>LG REPRESENTACOES LTDA - EPP</t>
        </is>
      </c>
      <c r="T502" t="inlineStr">
        <is>
          <t>ZV - NAO APLICAVEL</t>
        </is>
      </c>
      <c r="V502" t="inlineStr">
        <is>
          <t>demais</t>
        </is>
      </c>
      <c r="W502" t="inlineStr">
        <is>
          <t>REDES E FRANQUIAS</t>
        </is>
      </c>
    </row>
    <row r="503" ht="15" customHeight="1">
      <c r="A503" t="n">
        <v>0</v>
      </c>
      <c r="B503" t="inlineStr">
        <is>
          <t>ROXO</t>
        </is>
      </c>
      <c r="C503" t="n">
        <v>6566.04</v>
      </c>
      <c r="D503" t="n">
        <v>0</v>
      </c>
      <c r="E503" t="n">
        <v>6566.04</v>
      </c>
      <c r="F503" s="6" t="n">
        <v>0</v>
      </c>
      <c r="G503" t="inlineStr">
        <is>
          <t>DIVINA TERRA</t>
        </is>
      </c>
      <c r="H503" t="inlineStr">
        <is>
          <t>SP</t>
        </is>
      </c>
      <c r="I503" t="n">
        <v>1195589320</v>
      </c>
      <c r="J503" t="inlineStr">
        <is>
          <t>Inativo</t>
        </is>
      </c>
      <c r="K503" t="inlineStr">
        <is>
          <t>DIVINA TERRA</t>
        </is>
      </c>
      <c r="L503" t="inlineStr">
        <is>
          <t>SP</t>
        </is>
      </c>
      <c r="M503" t="n">
        <v>1195589320</v>
      </c>
      <c r="N503" t="n">
        <v>0</v>
      </c>
      <c r="O503" t="n">
        <v>547.17</v>
      </c>
      <c r="P503" t="inlineStr">
        <is>
          <t>03 - NACIONAL</t>
        </is>
      </c>
      <c r="Q503" t="inlineStr">
        <is>
          <t>DAIANE STAVICKI</t>
        </is>
      </c>
      <c r="S503" t="inlineStr">
        <is>
          <t>ZR - NAO APLICAVEL</t>
        </is>
      </c>
      <c r="T503" t="inlineStr">
        <is>
          <t>ZV - NAO APLICAVEL</t>
        </is>
      </c>
      <c r="V503" t="inlineStr">
        <is>
          <t>demais</t>
        </is>
      </c>
      <c r="W503" t="inlineStr">
        <is>
          <t>REDES E FRANQUIAS</t>
        </is>
      </c>
    </row>
    <row r="504" ht="15" customHeight="1">
      <c r="A504" t="n">
        <v>0</v>
      </c>
      <c r="B504" t="inlineStr">
        <is>
          <t>ROXO</t>
        </is>
      </c>
      <c r="C504" t="n">
        <v>8833.33</v>
      </c>
      <c r="D504" t="n">
        <v>0</v>
      </c>
      <c r="E504" t="n">
        <v>8833.33</v>
      </c>
      <c r="F504" s="6" t="n">
        <v>0</v>
      </c>
      <c r="G504" t="inlineStr">
        <is>
          <t>TUDO EM GRAOS / VGA</t>
        </is>
      </c>
      <c r="H504" t="inlineStr">
        <is>
          <t>SP</t>
        </is>
      </c>
      <c r="I504" t="n">
        <v>11952517604</v>
      </c>
      <c r="J504" t="inlineStr">
        <is>
          <t>Inativo</t>
        </is>
      </c>
      <c r="K504" t="inlineStr">
        <is>
          <t>TUDO EM GRAOS</t>
        </is>
      </c>
      <c r="L504" t="inlineStr">
        <is>
          <t>SP</t>
        </is>
      </c>
      <c r="M504" t="n">
        <v>11952517604</v>
      </c>
      <c r="N504" t="n">
        <v>0</v>
      </c>
      <c r="O504" t="n">
        <v>736.11</v>
      </c>
      <c r="P504" t="inlineStr">
        <is>
          <t>03 - NACIONAL</t>
        </is>
      </c>
      <c r="Q504" t="inlineStr">
        <is>
          <t>DAIANE STAVICKI</t>
        </is>
      </c>
      <c r="S504" t="inlineStr">
        <is>
          <t>ZR - NAO APLICAVEL</t>
        </is>
      </c>
      <c r="T504" t="inlineStr">
        <is>
          <t>ZV - NAO APLICAVEL</t>
        </is>
      </c>
      <c r="V504" t="inlineStr">
        <is>
          <t>demais</t>
        </is>
      </c>
      <c r="W504" t="inlineStr">
        <is>
          <t>REDES E FRANQUIAS</t>
        </is>
      </c>
    </row>
    <row r="505" ht="15" customHeight="1">
      <c r="A505" t="n">
        <v>0</v>
      </c>
      <c r="B505" t="inlineStr">
        <is>
          <t>ROXO</t>
        </is>
      </c>
      <c r="C505" t="n">
        <v>6566.04</v>
      </c>
      <c r="D505" t="n">
        <v>0</v>
      </c>
      <c r="E505" t="n">
        <v>6566.04</v>
      </c>
      <c r="F505" s="6" t="n">
        <v>0</v>
      </c>
      <c r="G505" t="inlineStr">
        <is>
          <t>DIVINA TERRA</t>
        </is>
      </c>
      <c r="H505" t="inlineStr">
        <is>
          <t>SP</t>
        </is>
      </c>
      <c r="I505" t="n">
        <v>11941321414</v>
      </c>
      <c r="J505" t="inlineStr">
        <is>
          <t>Inativo</t>
        </is>
      </c>
      <c r="K505" t="inlineStr">
        <is>
          <t>DIVINA TERRA</t>
        </is>
      </c>
      <c r="L505" t="inlineStr">
        <is>
          <t>SP</t>
        </is>
      </c>
      <c r="M505" t="n">
        <v>11941321414</v>
      </c>
      <c r="N505" t="n">
        <v>0</v>
      </c>
      <c r="O505" t="n">
        <v>547.17</v>
      </c>
      <c r="P505" t="inlineStr">
        <is>
          <t>03 - NACIONAL</t>
        </is>
      </c>
      <c r="Q505" t="inlineStr">
        <is>
          <t>DAIANE STAVICKI</t>
        </is>
      </c>
      <c r="S505" t="inlineStr">
        <is>
          <t>ZR - NAO APLICAVEL</t>
        </is>
      </c>
      <c r="T505" t="inlineStr">
        <is>
          <t>ZV - NAO APLICAVEL</t>
        </is>
      </c>
      <c r="V505" t="inlineStr">
        <is>
          <t>demais</t>
        </is>
      </c>
      <c r="W505" t="inlineStr">
        <is>
          <t>REDES E FRANQUIAS</t>
        </is>
      </c>
    </row>
    <row r="506" ht="15" customHeight="1">
      <c r="A506" t="n">
        <v>0</v>
      </c>
      <c r="B506" t="inlineStr">
        <is>
          <t>ROXO</t>
        </is>
      </c>
      <c r="C506" t="n">
        <v>10875</v>
      </c>
      <c r="D506" t="n">
        <v>0</v>
      </c>
      <c r="E506" t="n">
        <v>10875</v>
      </c>
      <c r="F506" s="6" t="n">
        <v>0</v>
      </c>
      <c r="G506" t="inlineStr">
        <is>
          <t>CIA DA SAUDE</t>
        </is>
      </c>
      <c r="H506" t="inlineStr">
        <is>
          <t>SP</t>
        </is>
      </c>
      <c r="I506" t="n">
        <v>11357121111</v>
      </c>
      <c r="J506" t="inlineStr">
        <is>
          <t>Inativo</t>
        </is>
      </c>
      <c r="K506" t="inlineStr">
        <is>
          <t>CIA DA SAUDE</t>
        </is>
      </c>
      <c r="L506" t="inlineStr">
        <is>
          <t>SP</t>
        </is>
      </c>
      <c r="M506" t="n">
        <v>11357121111</v>
      </c>
      <c r="N506" t="n">
        <v>0</v>
      </c>
      <c r="O506" t="n">
        <v>906.25</v>
      </c>
      <c r="P506" t="inlineStr">
        <is>
          <t>03 - NACIONAL</t>
        </is>
      </c>
      <c r="Q506" t="inlineStr">
        <is>
          <t>JULIO GADRET</t>
        </is>
      </c>
      <c r="S506" t="inlineStr">
        <is>
          <t>ZR - NAO APLICAVEL</t>
        </is>
      </c>
      <c r="T506" t="inlineStr">
        <is>
          <t>ZV - NAO APLICAVEL</t>
        </is>
      </c>
      <c r="V506" t="inlineStr">
        <is>
          <t>demais</t>
        </is>
      </c>
      <c r="W506" t="inlineStr">
        <is>
          <t>REDES E FRANQUIAS</t>
        </is>
      </c>
    </row>
    <row r="507" ht="15" customHeight="1">
      <c r="A507" t="n">
        <v>0</v>
      </c>
      <c r="B507" t="inlineStr">
        <is>
          <t>ROXO</t>
        </is>
      </c>
      <c r="C507" t="n">
        <v>11700</v>
      </c>
      <c r="D507" t="n">
        <v>0</v>
      </c>
      <c r="E507" t="n">
        <v>11700</v>
      </c>
      <c r="F507" s="6" t="n">
        <v>0</v>
      </c>
      <c r="G507" t="inlineStr">
        <is>
          <t>MUNDO VERDE</t>
        </is>
      </c>
      <c r="H507" t="inlineStr">
        <is>
          <t>RJ</t>
        </is>
      </c>
      <c r="I507" t="n">
        <v>21968863000</v>
      </c>
      <c r="J507" t="inlineStr">
        <is>
          <t>Inativo</t>
        </is>
      </c>
      <c r="K507" t="inlineStr">
        <is>
          <t>MUNDO VERDE</t>
        </is>
      </c>
      <c r="L507" t="inlineStr">
        <is>
          <t>RJ</t>
        </is>
      </c>
      <c r="M507" t="n">
        <v>21968863000</v>
      </c>
      <c r="N507" t="n">
        <v>0</v>
      </c>
      <c r="O507" t="n">
        <v>975</v>
      </c>
      <c r="P507" t="inlineStr">
        <is>
          <t>03 - NACIONAL</t>
        </is>
      </c>
      <c r="Q507" t="inlineStr">
        <is>
          <t>DAIANE STAVICKI</t>
        </is>
      </c>
      <c r="S507" t="inlineStr">
        <is>
          <t>ZR - NAO APLICAVEL</t>
        </is>
      </c>
      <c r="T507" t="inlineStr">
        <is>
          <t>ZV - NAO APLICAVEL</t>
        </is>
      </c>
      <c r="V507" t="inlineStr">
        <is>
          <t>demais</t>
        </is>
      </c>
      <c r="W507" t="inlineStr">
        <is>
          <t>REDES E FRANQUIAS</t>
        </is>
      </c>
    </row>
    <row r="508" ht="15" customHeight="1">
      <c r="A508" t="n">
        <v>0</v>
      </c>
      <c r="B508" t="inlineStr">
        <is>
          <t>ROXO</t>
        </is>
      </c>
      <c r="C508" t="n">
        <v>6566.04</v>
      </c>
      <c r="D508" t="n">
        <v>0</v>
      </c>
      <c r="E508" t="n">
        <v>6566.04</v>
      </c>
      <c r="F508" s="6" t="n">
        <v>0</v>
      </c>
      <c r="G508" t="inlineStr">
        <is>
          <t>DIVINA TERRA</t>
        </is>
      </c>
      <c r="H508" t="inlineStr">
        <is>
          <t>SP</t>
        </is>
      </c>
      <c r="I508" t="n">
        <v>11953598017</v>
      </c>
      <c r="J508" t="inlineStr">
        <is>
          <t>Inativo</t>
        </is>
      </c>
      <c r="K508" t="inlineStr">
        <is>
          <t>DIVINA TERRA</t>
        </is>
      </c>
      <c r="L508" t="inlineStr">
        <is>
          <t>SP</t>
        </is>
      </c>
      <c r="M508" t="n">
        <v>11953598017</v>
      </c>
      <c r="N508" t="n">
        <v>0</v>
      </c>
      <c r="O508" t="n">
        <v>547.17</v>
      </c>
      <c r="P508" t="inlineStr">
        <is>
          <t>03 - NACIONAL</t>
        </is>
      </c>
      <c r="Q508" t="inlineStr">
        <is>
          <t>DAIANE STAVICKI</t>
        </is>
      </c>
      <c r="S508" t="inlineStr">
        <is>
          <t>ZR - NAO APLICAVEL</t>
        </is>
      </c>
      <c r="T508" t="inlineStr">
        <is>
          <t>ZV - NAO APLICAVEL</t>
        </is>
      </c>
      <c r="V508" t="inlineStr">
        <is>
          <t>demais</t>
        </is>
      </c>
      <c r="W508" t="inlineStr">
        <is>
          <t>REDES E FRANQUIAS</t>
        </is>
      </c>
    </row>
    <row r="509" ht="15" customHeight="1">
      <c r="A509" t="n">
        <v>0</v>
      </c>
      <c r="B509" t="inlineStr">
        <is>
          <t>ROXO</t>
        </is>
      </c>
      <c r="C509" t="n">
        <v>10875</v>
      </c>
      <c r="D509" t="n">
        <v>0</v>
      </c>
      <c r="E509" t="n">
        <v>10875</v>
      </c>
      <c r="F509" s="6" t="n">
        <v>0</v>
      </c>
      <c r="G509" t="inlineStr">
        <is>
          <t>CIA DA SAUDE</t>
        </is>
      </c>
      <c r="H509" t="inlineStr">
        <is>
          <t>SC</t>
        </is>
      </c>
      <c r="I509" t="n">
        <v>4896982817</v>
      </c>
      <c r="J509" t="inlineStr">
        <is>
          <t>Inativo</t>
        </is>
      </c>
      <c r="K509" t="inlineStr">
        <is>
          <t>CIA DA SAUDE</t>
        </is>
      </c>
      <c r="L509" t="inlineStr">
        <is>
          <t>SC</t>
        </is>
      </c>
      <c r="M509" t="n">
        <v>4896982817</v>
      </c>
      <c r="N509" t="n">
        <v>0</v>
      </c>
      <c r="O509" t="n">
        <v>906.25</v>
      </c>
      <c r="P509" t="inlineStr">
        <is>
          <t>03 - NACIONAL</t>
        </is>
      </c>
      <c r="Q509" t="inlineStr">
        <is>
          <t>JULIO GADRET</t>
        </is>
      </c>
      <c r="S509" t="inlineStr">
        <is>
          <t>LG REPRESENTACOES LTDA - EPP</t>
        </is>
      </c>
      <c r="T509" t="inlineStr">
        <is>
          <t>ZV - NAO APLICAVEL</t>
        </is>
      </c>
      <c r="V509" t="inlineStr">
        <is>
          <t>demais</t>
        </is>
      </c>
      <c r="W509" t="inlineStr">
        <is>
          <t>REDES E FRANQUIAS</t>
        </is>
      </c>
    </row>
    <row r="510" ht="15" customHeight="1">
      <c r="A510" t="n">
        <v>0</v>
      </c>
      <c r="B510" t="inlineStr">
        <is>
          <t>ROXO</t>
        </is>
      </c>
      <c r="C510" t="n">
        <v>10875</v>
      </c>
      <c r="D510" t="n">
        <v>0</v>
      </c>
      <c r="E510" t="n">
        <v>10875</v>
      </c>
      <c r="F510" s="6" t="n">
        <v>0</v>
      </c>
      <c r="G510" t="inlineStr">
        <is>
          <t>CIA DA SAUDE</t>
        </is>
      </c>
      <c r="H510" t="inlineStr">
        <is>
          <t>SC</t>
        </is>
      </c>
      <c r="I510" t="n">
        <v>48364434974</v>
      </c>
      <c r="J510" t="inlineStr">
        <is>
          <t>Inativo</t>
        </is>
      </c>
      <c r="K510" t="inlineStr">
        <is>
          <t>CIA DA SAUDE</t>
        </is>
      </c>
      <c r="L510" t="inlineStr">
        <is>
          <t>SC</t>
        </is>
      </c>
      <c r="M510" t="n">
        <v>48364434974</v>
      </c>
      <c r="N510" t="n">
        <v>0</v>
      </c>
      <c r="O510" t="n">
        <v>906.25</v>
      </c>
      <c r="P510" t="inlineStr">
        <is>
          <t>03 - NACIONAL</t>
        </is>
      </c>
      <c r="Q510" t="inlineStr">
        <is>
          <t>JULIO GADRET</t>
        </is>
      </c>
      <c r="S510" t="inlineStr">
        <is>
          <t>LG REPRESENTACOES LTDA - EPP</t>
        </is>
      </c>
      <c r="T510" t="inlineStr">
        <is>
          <t>ZV - NAO APLICAVEL</t>
        </is>
      </c>
      <c r="V510" t="inlineStr">
        <is>
          <t>demais</t>
        </is>
      </c>
      <c r="W510" t="inlineStr">
        <is>
          <t>REDES E FRANQUIAS</t>
        </is>
      </c>
    </row>
    <row r="511" ht="15" customHeight="1">
      <c r="A511" t="n">
        <v>0</v>
      </c>
      <c r="B511" t="inlineStr">
        <is>
          <t>ROXO</t>
        </is>
      </c>
      <c r="C511" t="n">
        <v>10875</v>
      </c>
      <c r="D511" t="n">
        <v>0</v>
      </c>
      <c r="E511" t="n">
        <v>10875</v>
      </c>
      <c r="F511" s="6" t="n">
        <v>0</v>
      </c>
      <c r="G511" t="inlineStr">
        <is>
          <t>CIA DA SAUDE</t>
        </is>
      </c>
      <c r="H511" t="inlineStr">
        <is>
          <t>SC</t>
        </is>
      </c>
      <c r="I511" t="n">
        <v>4896065937</v>
      </c>
      <c r="J511" t="inlineStr">
        <is>
          <t>Inativo</t>
        </is>
      </c>
      <c r="K511" t="inlineStr">
        <is>
          <t>CIA DA SAUDE</t>
        </is>
      </c>
      <c r="L511" t="inlineStr">
        <is>
          <t>SC</t>
        </is>
      </c>
      <c r="M511" t="n">
        <v>4896065937</v>
      </c>
      <c r="N511" t="n">
        <v>0</v>
      </c>
      <c r="O511" t="n">
        <v>906.25</v>
      </c>
      <c r="P511" t="inlineStr">
        <is>
          <t>03 - NACIONAL</t>
        </is>
      </c>
      <c r="Q511" t="inlineStr">
        <is>
          <t>JULIO GADRET</t>
        </is>
      </c>
      <c r="S511" t="inlineStr">
        <is>
          <t>LG REPRESENTACOES LTDA - EPP</t>
        </is>
      </c>
      <c r="T511" t="inlineStr">
        <is>
          <t>ZV - NAO APLICAVEL</t>
        </is>
      </c>
      <c r="V511" t="inlineStr">
        <is>
          <t>demais</t>
        </is>
      </c>
      <c r="W511" t="inlineStr">
        <is>
          <t>REDES E FRANQUIAS</t>
        </is>
      </c>
    </row>
    <row r="512" ht="15" customHeight="1">
      <c r="A512" t="n">
        <v>0</v>
      </c>
      <c r="B512" t="inlineStr">
        <is>
          <t>ROXO</t>
        </is>
      </c>
      <c r="C512" t="n">
        <v>10875</v>
      </c>
      <c r="D512" t="n">
        <v>0</v>
      </c>
      <c r="E512" t="n">
        <v>10875</v>
      </c>
      <c r="F512" s="6" t="n">
        <v>0</v>
      </c>
      <c r="G512" t="inlineStr">
        <is>
          <t>CIA DA SAUDE</t>
        </is>
      </c>
      <c r="H512" t="inlineStr">
        <is>
          <t>SC</t>
        </is>
      </c>
      <c r="I512" t="n">
        <v>4896065937</v>
      </c>
      <c r="J512" t="inlineStr">
        <is>
          <t>Inativo</t>
        </is>
      </c>
      <c r="K512" t="inlineStr">
        <is>
          <t>CIA DA SAUDE</t>
        </is>
      </c>
      <c r="L512" t="inlineStr">
        <is>
          <t>SC</t>
        </is>
      </c>
      <c r="M512" t="n">
        <v>4896065937</v>
      </c>
      <c r="N512" t="n">
        <v>0</v>
      </c>
      <c r="O512" t="n">
        <v>906.25</v>
      </c>
      <c r="P512" t="inlineStr">
        <is>
          <t>03 - NACIONAL</t>
        </is>
      </c>
      <c r="Q512" t="inlineStr">
        <is>
          <t>JULIO GADRET</t>
        </is>
      </c>
      <c r="S512" t="inlineStr">
        <is>
          <t>LG REPRESENTACOES LTDA - EPP</t>
        </is>
      </c>
      <c r="T512" t="inlineStr">
        <is>
          <t>ZV - NAO APLICAVEL</t>
        </is>
      </c>
      <c r="V512" t="inlineStr">
        <is>
          <t>demais</t>
        </is>
      </c>
      <c r="W512" t="inlineStr">
        <is>
          <t>REDES E FRANQUIAS</t>
        </is>
      </c>
    </row>
    <row r="513" ht="15" customHeight="1">
      <c r="A513" t="n">
        <v>0</v>
      </c>
      <c r="B513" t="inlineStr">
        <is>
          <t>ROXO</t>
        </is>
      </c>
      <c r="C513" t="n">
        <v>10706.9</v>
      </c>
      <c r="D513" t="n">
        <v>0</v>
      </c>
      <c r="E513" t="n">
        <v>10706.9</v>
      </c>
      <c r="F513" s="6" t="n">
        <v>0</v>
      </c>
      <c r="G513" t="inlineStr">
        <is>
          <t>FITLAND</t>
        </is>
      </c>
      <c r="H513" t="inlineStr">
        <is>
          <t>SC</t>
        </is>
      </c>
      <c r="I513" t="n">
        <v>55479932148</v>
      </c>
      <c r="J513" t="inlineStr">
        <is>
          <t>Inativo</t>
        </is>
      </c>
      <c r="K513" t="inlineStr">
        <is>
          <t>FITLAND</t>
        </is>
      </c>
      <c r="L513" t="inlineStr">
        <is>
          <t>SC</t>
        </is>
      </c>
      <c r="M513" t="n">
        <v>55479932148</v>
      </c>
      <c r="N513" t="n">
        <v>0</v>
      </c>
      <c r="O513" t="n">
        <v>892.24</v>
      </c>
      <c r="P513" t="inlineStr">
        <is>
          <t>03 - NACIONAL</t>
        </is>
      </c>
      <c r="Q513" t="inlineStr">
        <is>
          <t>JULIO GADRET</t>
        </is>
      </c>
      <c r="S513" t="inlineStr">
        <is>
          <t>ZR - NAO APLICAVEL</t>
        </is>
      </c>
      <c r="T513" t="inlineStr">
        <is>
          <t>ZV - NAO APLICAVEL</t>
        </is>
      </c>
      <c r="V513" t="inlineStr">
        <is>
          <t>demais</t>
        </is>
      </c>
      <c r="W513" t="inlineStr">
        <is>
          <t>REDES E FRANQUIAS</t>
        </is>
      </c>
    </row>
    <row r="514" ht="15" customHeight="1">
      <c r="A514" t="n">
        <v>0</v>
      </c>
      <c r="B514" t="inlineStr">
        <is>
          <t>ROXO</t>
        </is>
      </c>
      <c r="C514" t="n">
        <v>10875</v>
      </c>
      <c r="D514" t="n">
        <v>0</v>
      </c>
      <c r="E514" t="n">
        <v>10875</v>
      </c>
      <c r="F514" s="6" t="n">
        <v>0</v>
      </c>
      <c r="G514" t="inlineStr">
        <is>
          <t>CIA DA SAUDE</t>
        </is>
      </c>
      <c r="H514" t="inlineStr">
        <is>
          <t>SC</t>
        </is>
      </c>
      <c r="I514" t="n">
        <v>48996462635</v>
      </c>
      <c r="J514" t="inlineStr">
        <is>
          <t>Inativo</t>
        </is>
      </c>
      <c r="K514" t="inlineStr">
        <is>
          <t>CIA DA SAUDE</t>
        </is>
      </c>
      <c r="L514" t="inlineStr">
        <is>
          <t>SC</t>
        </is>
      </c>
      <c r="M514" t="n">
        <v>48996462635</v>
      </c>
      <c r="N514" t="n">
        <v>0</v>
      </c>
      <c r="O514" t="n">
        <v>906.25</v>
      </c>
      <c r="P514" t="inlineStr">
        <is>
          <t>03 - NACIONAL</t>
        </is>
      </c>
      <c r="Q514" t="inlineStr">
        <is>
          <t>JULIO GADRET</t>
        </is>
      </c>
      <c r="S514" t="inlineStr">
        <is>
          <t>LG REPRESENTACOES LTDA - EPP</t>
        </is>
      </c>
      <c r="T514" t="inlineStr">
        <is>
          <t>ZV - NAO APLICAVEL</t>
        </is>
      </c>
      <c r="V514" t="inlineStr">
        <is>
          <t>demais</t>
        </is>
      </c>
      <c r="W514" t="inlineStr">
        <is>
          <t>REDES E FRANQUIAS</t>
        </is>
      </c>
    </row>
    <row r="515" ht="15" customHeight="1">
      <c r="A515" t="n">
        <v>0</v>
      </c>
      <c r="B515" t="inlineStr">
        <is>
          <t>ROXO</t>
        </is>
      </c>
      <c r="C515" t="n">
        <v>10875</v>
      </c>
      <c r="D515" t="n">
        <v>0</v>
      </c>
      <c r="E515" t="n">
        <v>10875</v>
      </c>
      <c r="F515" s="6" t="n">
        <v>0</v>
      </c>
      <c r="G515" t="inlineStr">
        <is>
          <t>CIA DA SAUDE</t>
        </is>
      </c>
      <c r="H515" t="inlineStr">
        <is>
          <t>SC</t>
        </is>
      </c>
      <c r="I515" t="n">
        <v>4891607118</v>
      </c>
      <c r="J515" t="inlineStr">
        <is>
          <t>Inativo</t>
        </is>
      </c>
      <c r="K515" t="inlineStr">
        <is>
          <t>CIA DA SAUDE</t>
        </is>
      </c>
      <c r="L515" t="inlineStr">
        <is>
          <t>SC</t>
        </is>
      </c>
      <c r="M515" t="n">
        <v>4891607118</v>
      </c>
      <c r="N515" t="n">
        <v>0</v>
      </c>
      <c r="O515" t="n">
        <v>906.25</v>
      </c>
      <c r="P515" t="inlineStr">
        <is>
          <t>03 - NACIONAL</t>
        </is>
      </c>
      <c r="Q515" t="inlineStr">
        <is>
          <t>JULIO GADRET</t>
        </is>
      </c>
      <c r="S515" t="inlineStr">
        <is>
          <t>LG REPRESENTACOES LTDA - EPP</t>
        </is>
      </c>
      <c r="T515" t="inlineStr">
        <is>
          <t>ZV - NAO APLICAVEL</t>
        </is>
      </c>
      <c r="V515" t="inlineStr">
        <is>
          <t>demais</t>
        </is>
      </c>
      <c r="W515" t="inlineStr">
        <is>
          <t>REDES E FRANQUIAS</t>
        </is>
      </c>
    </row>
    <row r="516" ht="15" customHeight="1">
      <c r="A516" t="n">
        <v>0</v>
      </c>
      <c r="B516" t="inlineStr">
        <is>
          <t>ROXO</t>
        </is>
      </c>
      <c r="C516" t="n">
        <v>10706.9</v>
      </c>
      <c r="D516" t="n">
        <v>0</v>
      </c>
      <c r="E516" t="n">
        <v>10706.9</v>
      </c>
      <c r="F516" s="6" t="n">
        <v>0</v>
      </c>
      <c r="G516" t="inlineStr">
        <is>
          <t>FITLAND</t>
        </is>
      </c>
      <c r="H516" t="inlineStr">
        <is>
          <t>SC</t>
        </is>
      </c>
      <c r="I516" t="n">
        <v>4899570928</v>
      </c>
      <c r="J516" t="inlineStr">
        <is>
          <t>Inativo</t>
        </is>
      </c>
      <c r="K516" t="inlineStr">
        <is>
          <t>FITLAND</t>
        </is>
      </c>
      <c r="L516" t="inlineStr">
        <is>
          <t>SC</t>
        </is>
      </c>
      <c r="M516" t="n">
        <v>4899570928</v>
      </c>
      <c r="N516" t="n">
        <v>0</v>
      </c>
      <c r="O516" t="n">
        <v>892.24</v>
      </c>
      <c r="P516" t="inlineStr">
        <is>
          <t>03 - NACIONAL</t>
        </is>
      </c>
      <c r="Q516" t="inlineStr">
        <is>
          <t>JULIO GADRET</t>
        </is>
      </c>
      <c r="S516" t="inlineStr">
        <is>
          <t>ZR - NAO APLICAVEL</t>
        </is>
      </c>
      <c r="T516" t="inlineStr">
        <is>
          <t>ZV - NAO APLICAVEL</t>
        </is>
      </c>
      <c r="V516" t="inlineStr">
        <is>
          <t>demais</t>
        </is>
      </c>
      <c r="W516" t="inlineStr">
        <is>
          <t>REDES E FRANQUIAS</t>
        </is>
      </c>
    </row>
    <row r="517" ht="15" customHeight="1">
      <c r="A517" t="n">
        <v>0</v>
      </c>
      <c r="B517" t="inlineStr">
        <is>
          <t>ROXO</t>
        </is>
      </c>
      <c r="C517" t="n">
        <v>10875</v>
      </c>
      <c r="D517" t="n">
        <v>0</v>
      </c>
      <c r="E517" t="n">
        <v>10875</v>
      </c>
      <c r="F517" s="6" t="n">
        <v>0</v>
      </c>
      <c r="G517" t="inlineStr">
        <is>
          <t>CIA DA SAUDE</t>
        </is>
      </c>
      <c r="H517" t="inlineStr">
        <is>
          <t>SC</t>
        </is>
      </c>
      <c r="I517" t="n">
        <v>49352109454</v>
      </c>
      <c r="J517" t="inlineStr">
        <is>
          <t>Inativo</t>
        </is>
      </c>
      <c r="K517" t="inlineStr">
        <is>
          <t>CIA DA SAUDE</t>
        </is>
      </c>
      <c r="L517" t="inlineStr">
        <is>
          <t>SC</t>
        </is>
      </c>
      <c r="M517" t="n">
        <v>49352109454</v>
      </c>
      <c r="N517" t="n">
        <v>0</v>
      </c>
      <c r="O517" t="n">
        <v>906.25</v>
      </c>
      <c r="P517" t="inlineStr">
        <is>
          <t>03 - NACIONAL</t>
        </is>
      </c>
      <c r="Q517" t="inlineStr">
        <is>
          <t>JULIO GADRET</t>
        </is>
      </c>
      <c r="S517" t="inlineStr">
        <is>
          <t>LG REPRESENTACOES LTDA - EPP</t>
        </is>
      </c>
      <c r="T517" t="inlineStr">
        <is>
          <t>ZV - NAO APLICAVEL</t>
        </is>
      </c>
      <c r="V517" t="inlineStr">
        <is>
          <t>demais</t>
        </is>
      </c>
      <c r="W517" t="inlineStr">
        <is>
          <t>REDES E FRANQUIAS</t>
        </is>
      </c>
    </row>
    <row r="518" ht="15" customHeight="1">
      <c r="A518" t="n">
        <v>0</v>
      </c>
      <c r="B518" t="inlineStr">
        <is>
          <t>ROXO</t>
        </is>
      </c>
      <c r="C518" t="n">
        <v>10875</v>
      </c>
      <c r="D518" t="n">
        <v>0</v>
      </c>
      <c r="E518" t="n">
        <v>10875</v>
      </c>
      <c r="F518" s="6" t="n">
        <v>0</v>
      </c>
      <c r="G518" t="inlineStr">
        <is>
          <t>CIA DA SAUDE</t>
        </is>
      </c>
      <c r="H518" t="inlineStr">
        <is>
          <t>SC</t>
        </is>
      </c>
      <c r="I518" t="n">
        <v>49355518064</v>
      </c>
      <c r="J518" t="inlineStr">
        <is>
          <t>Inativo</t>
        </is>
      </c>
      <c r="K518" t="inlineStr">
        <is>
          <t>CIA DA SAUDE</t>
        </is>
      </c>
      <c r="L518" t="inlineStr">
        <is>
          <t>SC</t>
        </is>
      </c>
      <c r="M518" t="n">
        <v>49355518064</v>
      </c>
      <c r="N518" t="n">
        <v>0</v>
      </c>
      <c r="O518" t="n">
        <v>906.25</v>
      </c>
      <c r="P518" t="inlineStr">
        <is>
          <t>03 - NACIONAL</t>
        </is>
      </c>
      <c r="Q518" t="inlineStr">
        <is>
          <t>JULIO GADRET</t>
        </is>
      </c>
      <c r="S518" t="inlineStr">
        <is>
          <t>LG REPRESENTACOES LTDA - EPP</t>
        </is>
      </c>
      <c r="T518" t="inlineStr">
        <is>
          <t>ZV - NAO APLICAVEL</t>
        </is>
      </c>
      <c r="V518" t="inlineStr">
        <is>
          <t>demais</t>
        </is>
      </c>
      <c r="W518" t="inlineStr">
        <is>
          <t>REDES E FRANQUIAS</t>
        </is>
      </c>
    </row>
    <row r="519" ht="15" customHeight="1">
      <c r="A519" t="n">
        <v>0</v>
      </c>
      <c r="B519" t="inlineStr">
        <is>
          <t>ROXO</t>
        </is>
      </c>
      <c r="C519" t="n">
        <v>6566.04</v>
      </c>
      <c r="D519" t="n">
        <v>0</v>
      </c>
      <c r="E519" t="n">
        <v>6566.04</v>
      </c>
      <c r="F519" s="6" t="n">
        <v>0</v>
      </c>
      <c r="G519" t="inlineStr">
        <is>
          <t>DIVINA TERRA</t>
        </is>
      </c>
      <c r="H519" t="inlineStr">
        <is>
          <t>SC</t>
        </is>
      </c>
      <c r="I519" t="n">
        <v>49991380807</v>
      </c>
      <c r="J519" t="inlineStr">
        <is>
          <t>Inativo</t>
        </is>
      </c>
      <c r="K519" t="inlineStr">
        <is>
          <t>DIVINA TERRA</t>
        </is>
      </c>
      <c r="L519" t="inlineStr">
        <is>
          <t>SC</t>
        </is>
      </c>
      <c r="M519" t="n">
        <v>49991380807</v>
      </c>
      <c r="N519" t="n">
        <v>0</v>
      </c>
      <c r="O519" t="n">
        <v>547.17</v>
      </c>
      <c r="P519" t="inlineStr">
        <is>
          <t>03 - NACIONAL</t>
        </is>
      </c>
      <c r="Q519" t="inlineStr">
        <is>
          <t>DAIANE STAVICKI</t>
        </is>
      </c>
      <c r="S519" t="inlineStr">
        <is>
          <t>ZR - NAO APLICAVEL</t>
        </is>
      </c>
      <c r="T519" t="inlineStr">
        <is>
          <t>ZV - NAO APLICAVEL</t>
        </is>
      </c>
      <c r="V519" t="inlineStr">
        <is>
          <t>demais</t>
        </is>
      </c>
      <c r="W519" t="inlineStr">
        <is>
          <t>REDES E FRANQUIAS</t>
        </is>
      </c>
    </row>
    <row r="520" ht="15" customHeight="1">
      <c r="A520" t="n">
        <v>0</v>
      </c>
      <c r="B520" t="inlineStr">
        <is>
          <t>ROXO</t>
        </is>
      </c>
      <c r="C520" t="n">
        <v>10875</v>
      </c>
      <c r="D520" t="n">
        <v>0</v>
      </c>
      <c r="E520" t="n">
        <v>10875</v>
      </c>
      <c r="F520" s="6" t="n">
        <v>0</v>
      </c>
      <c r="G520" t="inlineStr">
        <is>
          <t>CIA DA SAUDE</t>
        </is>
      </c>
      <c r="H520" t="inlineStr">
        <is>
          <t>SC</t>
        </is>
      </c>
      <c r="I520" t="n">
        <v>48353315324</v>
      </c>
      <c r="J520" t="inlineStr">
        <is>
          <t>Inativo</t>
        </is>
      </c>
      <c r="K520" t="inlineStr">
        <is>
          <t>CIA DA SAUDE</t>
        </is>
      </c>
      <c r="L520" t="inlineStr">
        <is>
          <t>SC</t>
        </is>
      </c>
      <c r="M520" t="n">
        <v>48353315324</v>
      </c>
      <c r="N520" t="n">
        <v>0</v>
      </c>
      <c r="O520" t="n">
        <v>906.25</v>
      </c>
      <c r="P520" t="inlineStr">
        <is>
          <t>03 - NACIONAL</t>
        </is>
      </c>
      <c r="Q520" t="inlineStr">
        <is>
          <t>JULIO GADRET</t>
        </is>
      </c>
      <c r="S520" t="inlineStr">
        <is>
          <t>LG REPRESENTACOES LTDA - EPP</t>
        </is>
      </c>
      <c r="T520" t="inlineStr">
        <is>
          <t>ZV - NAO APLICAVEL</t>
        </is>
      </c>
      <c r="V520" t="inlineStr">
        <is>
          <t>demais</t>
        </is>
      </c>
      <c r="W520" t="inlineStr">
        <is>
          <t>REDES E FRANQUIAS</t>
        </is>
      </c>
    </row>
    <row r="521" ht="15" customHeight="1">
      <c r="A521" t="n">
        <v>0</v>
      </c>
      <c r="B521" t="inlineStr">
        <is>
          <t>ROXO</t>
        </is>
      </c>
      <c r="C521" t="n">
        <v>10875</v>
      </c>
      <c r="D521" t="n">
        <v>0</v>
      </c>
      <c r="E521" t="n">
        <v>10875</v>
      </c>
      <c r="F521" s="6" t="n">
        <v>0</v>
      </c>
      <c r="G521" t="inlineStr">
        <is>
          <t>CIA DA SAUDE</t>
        </is>
      </c>
      <c r="H521" t="inlineStr">
        <is>
          <t>SC</t>
        </is>
      </c>
      <c r="I521" t="n">
        <v>48999933386</v>
      </c>
      <c r="J521" t="inlineStr">
        <is>
          <t>Inativo</t>
        </is>
      </c>
      <c r="K521" t="inlineStr">
        <is>
          <t>CIA DA SAUDE</t>
        </is>
      </c>
      <c r="L521" t="inlineStr">
        <is>
          <t>SC</t>
        </is>
      </c>
      <c r="M521" t="n">
        <v>48999933386</v>
      </c>
      <c r="N521" t="n">
        <v>0</v>
      </c>
      <c r="O521" t="n">
        <v>906.25</v>
      </c>
      <c r="P521" t="inlineStr">
        <is>
          <t>03 - NACIONAL</t>
        </is>
      </c>
      <c r="Q521" t="inlineStr">
        <is>
          <t>JULIO GADRET</t>
        </is>
      </c>
      <c r="S521" t="inlineStr">
        <is>
          <t>LG REPRESENTACOES LTDA - EPP</t>
        </is>
      </c>
      <c r="T521" t="inlineStr">
        <is>
          <t>ZV - NAO APLICAVEL</t>
        </is>
      </c>
      <c r="V521" t="inlineStr">
        <is>
          <t>demais</t>
        </is>
      </c>
      <c r="W521" t="inlineStr">
        <is>
          <t>REDES E FRANQUIAS</t>
        </is>
      </c>
    </row>
    <row r="522" ht="15" customHeight="1">
      <c r="A522" t="n">
        <v>0</v>
      </c>
      <c r="B522" t="inlineStr">
        <is>
          <t>ROXO</t>
        </is>
      </c>
      <c r="C522" t="n">
        <v>10875</v>
      </c>
      <c r="D522" t="n">
        <v>0</v>
      </c>
      <c r="E522" t="n">
        <v>10875</v>
      </c>
      <c r="F522" s="6" t="n">
        <v>0</v>
      </c>
      <c r="G522" t="inlineStr">
        <is>
          <t>CIA DA SAUDE</t>
        </is>
      </c>
      <c r="H522" t="inlineStr">
        <is>
          <t>SC</t>
        </is>
      </c>
      <c r="I522" t="n">
        <v>4834365126</v>
      </c>
      <c r="J522" t="inlineStr">
        <is>
          <t>Inativo</t>
        </is>
      </c>
      <c r="K522" t="inlineStr">
        <is>
          <t>CIA DA SAUDE</t>
        </is>
      </c>
      <c r="L522" t="inlineStr">
        <is>
          <t>SC</t>
        </is>
      </c>
      <c r="M522" t="n">
        <v>4834365126</v>
      </c>
      <c r="N522" t="n">
        <v>0</v>
      </c>
      <c r="O522" t="n">
        <v>906.25</v>
      </c>
      <c r="P522" t="inlineStr">
        <is>
          <t>03 - NACIONAL</t>
        </is>
      </c>
      <c r="Q522" t="inlineStr">
        <is>
          <t>HEMANUELE DITZEL (MANU)</t>
        </is>
      </c>
      <c r="S522" t="inlineStr">
        <is>
          <t>ZR - NAO APLICAVEL</t>
        </is>
      </c>
      <c r="T522" t="inlineStr">
        <is>
          <t>HEMANUELE ROSA DITZEL</t>
        </is>
      </c>
      <c r="V522" t="inlineStr">
        <is>
          <t>demais</t>
        </is>
      </c>
      <c r="W522" t="inlineStr">
        <is>
          <t>REDES E FRANQUIAS</t>
        </is>
      </c>
    </row>
    <row r="523" ht="15" customHeight="1">
      <c r="A523" t="n">
        <v>0</v>
      </c>
      <c r="B523" t="inlineStr">
        <is>
          <t>ROXO</t>
        </is>
      </c>
      <c r="C523" t="n">
        <v>10875</v>
      </c>
      <c r="D523" t="n">
        <v>0</v>
      </c>
      <c r="E523" t="n">
        <v>10875</v>
      </c>
      <c r="F523" s="6" t="n">
        <v>0</v>
      </c>
      <c r="G523" t="inlineStr">
        <is>
          <t>CIA DA SAUDE</t>
        </is>
      </c>
      <c r="H523" t="inlineStr">
        <is>
          <t>SC</t>
        </is>
      </c>
      <c r="I523" t="n">
        <v>32458714489</v>
      </c>
      <c r="J523" t="inlineStr">
        <is>
          <t>Inativo</t>
        </is>
      </c>
      <c r="K523" t="inlineStr">
        <is>
          <t>CIA DA SAUDE</t>
        </is>
      </c>
      <c r="L523" t="inlineStr">
        <is>
          <t>SC</t>
        </is>
      </c>
      <c r="M523" t="n">
        <v>32458714489</v>
      </c>
      <c r="N523" t="n">
        <v>0</v>
      </c>
      <c r="O523" t="n">
        <v>906.25</v>
      </c>
      <c r="P523" t="inlineStr">
        <is>
          <t>03 - NACIONAL</t>
        </is>
      </c>
      <c r="Q523" t="inlineStr">
        <is>
          <t>JULIO GADRET</t>
        </is>
      </c>
      <c r="S523" t="inlineStr">
        <is>
          <t>LG REPRESENTACOES LTDA - EPP</t>
        </is>
      </c>
      <c r="T523" t="inlineStr">
        <is>
          <t>ZV - NAO APLICAVEL</t>
        </is>
      </c>
      <c r="V523" t="inlineStr">
        <is>
          <t>demais</t>
        </is>
      </c>
      <c r="W523" t="inlineStr">
        <is>
          <t>REDES E FRANQUIAS</t>
        </is>
      </c>
    </row>
    <row r="524" ht="15" customHeight="1">
      <c r="A524" t="n">
        <v>0</v>
      </c>
      <c r="B524" t="inlineStr">
        <is>
          <t>ROXO</t>
        </is>
      </c>
      <c r="C524" t="n">
        <v>10875</v>
      </c>
      <c r="D524" t="n">
        <v>0</v>
      </c>
      <c r="E524" t="n">
        <v>10875</v>
      </c>
      <c r="F524" s="6" t="n">
        <v>0</v>
      </c>
      <c r="G524" t="inlineStr">
        <is>
          <t>CIA DA SAUDE</t>
        </is>
      </c>
      <c r="H524" t="inlineStr">
        <is>
          <t>SC</t>
        </is>
      </c>
      <c r="I524" t="n">
        <v>48328541974</v>
      </c>
      <c r="J524" t="inlineStr">
        <is>
          <t>Inativo</t>
        </is>
      </c>
      <c r="K524" t="inlineStr">
        <is>
          <t>CIA DA SAUDE</t>
        </is>
      </c>
      <c r="L524" t="inlineStr">
        <is>
          <t>SC</t>
        </is>
      </c>
      <c r="M524" t="n">
        <v>48328541974</v>
      </c>
      <c r="N524" t="n">
        <v>0</v>
      </c>
      <c r="O524" t="n">
        <v>906.25</v>
      </c>
      <c r="P524" t="inlineStr">
        <is>
          <t>03 - NACIONAL</t>
        </is>
      </c>
      <c r="Q524" t="inlineStr">
        <is>
          <t>JULIO GADRET</t>
        </is>
      </c>
      <c r="S524" t="inlineStr">
        <is>
          <t>LG REPRESENTACOES LTDA - EPP</t>
        </is>
      </c>
      <c r="T524" t="inlineStr">
        <is>
          <t>ZV - NAO APLICAVEL</t>
        </is>
      </c>
      <c r="V524" t="inlineStr">
        <is>
          <t>demais</t>
        </is>
      </c>
      <c r="W524" t="inlineStr">
        <is>
          <t>REDES E FRANQUIAS</t>
        </is>
      </c>
    </row>
    <row r="525" ht="15" customHeight="1">
      <c r="A525" t="n">
        <v>0</v>
      </c>
      <c r="B525" t="inlineStr">
        <is>
          <t>ROXO</t>
        </is>
      </c>
      <c r="C525" t="n">
        <v>10875</v>
      </c>
      <c r="D525" t="n">
        <v>0</v>
      </c>
      <c r="E525" t="n">
        <v>10875</v>
      </c>
      <c r="F525" s="6" t="n">
        <v>0</v>
      </c>
      <c r="G525" t="inlineStr">
        <is>
          <t>CIA DA SAUDE</t>
        </is>
      </c>
      <c r="H525" t="inlineStr">
        <is>
          <t>SC</t>
        </is>
      </c>
      <c r="I525" t="n">
        <v>49301843424</v>
      </c>
      <c r="J525" t="inlineStr">
        <is>
          <t>Inativo</t>
        </is>
      </c>
      <c r="K525" t="inlineStr">
        <is>
          <t>CIA DA SAUDE</t>
        </is>
      </c>
      <c r="L525" t="inlineStr">
        <is>
          <t>SC</t>
        </is>
      </c>
      <c r="M525" t="n">
        <v>49301843424</v>
      </c>
      <c r="N525" t="n">
        <v>0</v>
      </c>
      <c r="O525" t="n">
        <v>906.25</v>
      </c>
      <c r="P525" t="inlineStr">
        <is>
          <t>03 - NACIONAL</t>
        </is>
      </c>
      <c r="Q525" t="inlineStr">
        <is>
          <t>JULIO GADRET</t>
        </is>
      </c>
      <c r="S525" t="inlineStr">
        <is>
          <t>LG REPRESENTACOES LTDA - EPP</t>
        </is>
      </c>
      <c r="T525" t="inlineStr">
        <is>
          <t>ZV - NAO APLICAVEL</t>
        </is>
      </c>
      <c r="V525" t="inlineStr">
        <is>
          <t>demais</t>
        </is>
      </c>
      <c r="W525" t="inlineStr">
        <is>
          <t>REDES E FRANQUIAS</t>
        </is>
      </c>
    </row>
    <row r="526" ht="15" customHeight="1">
      <c r="A526" t="n">
        <v>0</v>
      </c>
      <c r="B526" t="inlineStr">
        <is>
          <t>ROXO</t>
        </is>
      </c>
      <c r="C526" t="n">
        <v>10706.9</v>
      </c>
      <c r="D526" t="n">
        <v>0</v>
      </c>
      <c r="E526" t="n">
        <v>10706.9</v>
      </c>
      <c r="F526" s="6" t="n">
        <v>0</v>
      </c>
      <c r="G526" t="inlineStr">
        <is>
          <t>FITLAND</t>
        </is>
      </c>
      <c r="H526" t="inlineStr">
        <is>
          <t>SC</t>
        </is>
      </c>
      <c r="I526" t="n">
        <v>4899208020</v>
      </c>
      <c r="J526" t="inlineStr">
        <is>
          <t>Inativo</t>
        </is>
      </c>
      <c r="K526" t="inlineStr">
        <is>
          <t>FITLAND</t>
        </is>
      </c>
      <c r="L526" t="inlineStr">
        <is>
          <t>SC</t>
        </is>
      </c>
      <c r="M526" t="n">
        <v>4899208020</v>
      </c>
      <c r="N526" t="n">
        <v>0</v>
      </c>
      <c r="O526" t="n">
        <v>892.24</v>
      </c>
      <c r="P526" t="inlineStr">
        <is>
          <t>03 - NACIONAL</t>
        </is>
      </c>
      <c r="Q526" t="inlineStr">
        <is>
          <t>JULIO GADRET</t>
        </is>
      </c>
      <c r="S526" t="inlineStr">
        <is>
          <t>ZR - NAO APLICAVEL</t>
        </is>
      </c>
      <c r="T526" t="inlineStr">
        <is>
          <t>ZV - NAO APLICAVEL</t>
        </is>
      </c>
      <c r="V526" t="inlineStr">
        <is>
          <t>demais</t>
        </is>
      </c>
      <c r="W526" t="inlineStr">
        <is>
          <t>REDES E FRANQUIAS</t>
        </is>
      </c>
    </row>
    <row r="527" ht="15" customHeight="1">
      <c r="A527" t="n">
        <v>0</v>
      </c>
      <c r="B527" t="inlineStr">
        <is>
          <t>ROXO</t>
        </is>
      </c>
      <c r="C527" t="n">
        <v>10875</v>
      </c>
      <c r="D527" t="n">
        <v>0</v>
      </c>
      <c r="E527" t="n">
        <v>10875</v>
      </c>
      <c r="F527" s="6" t="n">
        <v>0</v>
      </c>
      <c r="G527" t="inlineStr">
        <is>
          <t>CIA DA SAUDE</t>
        </is>
      </c>
      <c r="H527" t="inlineStr">
        <is>
          <t>SC</t>
        </is>
      </c>
      <c r="I527" t="n">
        <v>48999471457</v>
      </c>
      <c r="J527" t="inlineStr">
        <is>
          <t>Inativo</t>
        </is>
      </c>
      <c r="K527" t="inlineStr">
        <is>
          <t>CIA DA SAUDE</t>
        </is>
      </c>
      <c r="L527" t="inlineStr">
        <is>
          <t>SC</t>
        </is>
      </c>
      <c r="M527" t="n">
        <v>48999471457</v>
      </c>
      <c r="N527" t="n">
        <v>0</v>
      </c>
      <c r="O527" t="n">
        <v>906.25</v>
      </c>
      <c r="P527" t="inlineStr">
        <is>
          <t>03 - NACIONAL</t>
        </is>
      </c>
      <c r="Q527" t="inlineStr">
        <is>
          <t>JULIO GADRET</t>
        </is>
      </c>
      <c r="S527" t="inlineStr">
        <is>
          <t>LG REPRESENTACOES LTDA - EPP</t>
        </is>
      </c>
      <c r="T527" t="inlineStr">
        <is>
          <t>ZV - NAO APLICAVEL</t>
        </is>
      </c>
      <c r="V527" t="inlineStr">
        <is>
          <t>demais</t>
        </is>
      </c>
      <c r="W527" t="inlineStr">
        <is>
          <t>REDES E FRANQUIAS</t>
        </is>
      </c>
    </row>
    <row r="528" ht="15" customHeight="1">
      <c r="A528" t="n">
        <v>0</v>
      </c>
      <c r="B528" t="inlineStr">
        <is>
          <t>ROXO</t>
        </is>
      </c>
      <c r="C528" t="n">
        <v>10875</v>
      </c>
      <c r="D528" t="n">
        <v>0</v>
      </c>
      <c r="E528" t="n">
        <v>10875</v>
      </c>
      <c r="F528" s="6" t="n">
        <v>0</v>
      </c>
      <c r="G528" t="inlineStr">
        <is>
          <t>CIA DA SAUDE</t>
        </is>
      </c>
      <c r="H528" t="inlineStr">
        <is>
          <t>SC</t>
        </is>
      </c>
      <c r="I528" t="n">
        <v>4834330546</v>
      </c>
      <c r="J528" t="inlineStr">
        <is>
          <t>Inativo</t>
        </is>
      </c>
      <c r="K528" t="inlineStr">
        <is>
          <t>CIA DA SAUDE</t>
        </is>
      </c>
      <c r="L528" t="inlineStr">
        <is>
          <t>SC</t>
        </is>
      </c>
      <c r="M528" t="n">
        <v>4834330546</v>
      </c>
      <c r="N528" t="n">
        <v>0</v>
      </c>
      <c r="O528" t="n">
        <v>906.25</v>
      </c>
      <c r="P528" t="inlineStr">
        <is>
          <t>03 - NACIONAL</t>
        </is>
      </c>
      <c r="Q528" t="inlineStr">
        <is>
          <t>JULIO GADRET</t>
        </is>
      </c>
      <c r="S528" t="inlineStr">
        <is>
          <t>LG REPRESENTACOES LTDA - EPP</t>
        </is>
      </c>
      <c r="T528" t="inlineStr">
        <is>
          <t>ZV - NAO APLICAVEL</t>
        </is>
      </c>
      <c r="V528" t="inlineStr">
        <is>
          <t>demais</t>
        </is>
      </c>
      <c r="W528" t="inlineStr">
        <is>
          <t>REDES E FRANQUIAS</t>
        </is>
      </c>
    </row>
    <row r="529" ht="15" customHeight="1">
      <c r="A529" t="n">
        <v>0</v>
      </c>
      <c r="B529" t="inlineStr">
        <is>
          <t>ROXO</t>
        </is>
      </c>
      <c r="C529" t="n">
        <v>10875</v>
      </c>
      <c r="D529" t="n">
        <v>0</v>
      </c>
      <c r="E529" t="n">
        <v>10875</v>
      </c>
      <c r="F529" s="6" t="n">
        <v>0</v>
      </c>
      <c r="G529" t="inlineStr">
        <is>
          <t>CIA DA SAUDE</t>
        </is>
      </c>
      <c r="H529" t="inlineStr">
        <is>
          <t>CE</t>
        </is>
      </c>
      <c r="I529" t="n">
        <v>5588993612</v>
      </c>
      <c r="J529" t="inlineStr">
        <is>
          <t>Inativo</t>
        </is>
      </c>
      <c r="K529" t="inlineStr">
        <is>
          <t>CIA DA SAUDE</t>
        </is>
      </c>
      <c r="L529" t="inlineStr">
        <is>
          <t>CE</t>
        </is>
      </c>
      <c r="M529" t="n">
        <v>5588993612</v>
      </c>
      <c r="N529" t="n">
        <v>0</v>
      </c>
      <c r="O529" t="n">
        <v>906.25</v>
      </c>
      <c r="P529" t="inlineStr">
        <is>
          <t>03 - NACIONAL</t>
        </is>
      </c>
      <c r="Q529" t="inlineStr">
        <is>
          <t>JULIO GADRET</t>
        </is>
      </c>
      <c r="S529" t="inlineStr">
        <is>
          <t>ZR - NAO APLICAVEL</t>
        </is>
      </c>
      <c r="T529" t="inlineStr">
        <is>
          <t>ZV - NAO APLICAVEL</t>
        </is>
      </c>
      <c r="V529" t="inlineStr">
        <is>
          <t>demais</t>
        </is>
      </c>
      <c r="W529" t="inlineStr">
        <is>
          <t>REDES E FRANQUIAS</t>
        </is>
      </c>
    </row>
    <row r="530" ht="15" customHeight="1">
      <c r="A530" t="n">
        <v>0</v>
      </c>
      <c r="B530" t="inlineStr">
        <is>
          <t>ROXO</t>
        </is>
      </c>
      <c r="C530" t="n">
        <v>10200</v>
      </c>
      <c r="D530" t="n">
        <v>0</v>
      </c>
      <c r="E530" t="n">
        <v>10200</v>
      </c>
      <c r="F530" s="6" t="n">
        <v>0</v>
      </c>
      <c r="G530" t="inlineStr">
        <is>
          <t>VIDA LEVE</t>
        </is>
      </c>
      <c r="H530" t="inlineStr">
        <is>
          <t>BA</t>
        </is>
      </c>
      <c r="I530" t="n">
        <v>71999623033</v>
      </c>
      <c r="J530" t="inlineStr">
        <is>
          <t>Inativo</t>
        </is>
      </c>
      <c r="K530" t="inlineStr">
        <is>
          <t>VIDA LEVE</t>
        </is>
      </c>
      <c r="L530" t="inlineStr">
        <is>
          <t>BA</t>
        </is>
      </c>
      <c r="M530" t="n">
        <v>71999623033</v>
      </c>
      <c r="N530" t="n">
        <v>0</v>
      </c>
      <c r="O530" t="n">
        <v>850</v>
      </c>
      <c r="P530" t="inlineStr">
        <is>
          <t>03 - NACIONAL</t>
        </is>
      </c>
      <c r="Q530" t="inlineStr">
        <is>
          <t>DAIANE STAVICKI</t>
        </is>
      </c>
      <c r="S530" t="inlineStr">
        <is>
          <t>ZR - NAO APLICAVEL</t>
        </is>
      </c>
      <c r="T530" t="inlineStr">
        <is>
          <t>ZV - NAO APLICAVEL</t>
        </is>
      </c>
      <c r="V530" t="inlineStr">
        <is>
          <t>demais</t>
        </is>
      </c>
      <c r="W530" t="inlineStr">
        <is>
          <t>REDES E FRANQUIAS</t>
        </is>
      </c>
    </row>
    <row r="531" ht="15" customHeight="1">
      <c r="A531" t="n">
        <v>0</v>
      </c>
      <c r="B531" t="inlineStr">
        <is>
          <t>ROXO</t>
        </is>
      </c>
      <c r="C531" t="n">
        <v>10200</v>
      </c>
      <c r="D531" t="n">
        <v>0</v>
      </c>
      <c r="E531" t="n">
        <v>10200</v>
      </c>
      <c r="F531" s="6" t="n">
        <v>0</v>
      </c>
      <c r="G531" t="inlineStr">
        <is>
          <t>VIDA LEVE</t>
        </is>
      </c>
      <c r="H531" t="inlineStr">
        <is>
          <t>BA</t>
        </is>
      </c>
      <c r="I531" t="n">
        <v>45998168921</v>
      </c>
      <c r="J531" t="inlineStr">
        <is>
          <t>Inativo</t>
        </is>
      </c>
      <c r="K531" t="inlineStr">
        <is>
          <t>VIDA LEVE</t>
        </is>
      </c>
      <c r="L531" t="inlineStr">
        <is>
          <t>BA</t>
        </is>
      </c>
      <c r="M531" t="n">
        <v>45998168921</v>
      </c>
      <c r="N531" t="n">
        <v>0</v>
      </c>
      <c r="O531" t="n">
        <v>850</v>
      </c>
      <c r="P531" t="inlineStr">
        <is>
          <t>03 - NACIONAL</t>
        </is>
      </c>
      <c r="Q531" t="inlineStr">
        <is>
          <t>DAIANE STAVICKI</t>
        </is>
      </c>
      <c r="S531" t="inlineStr">
        <is>
          <t>ZR - NAO APLICAVEL</t>
        </is>
      </c>
      <c r="T531" t="inlineStr">
        <is>
          <t>ZV - NAO APLICAVEL</t>
        </is>
      </c>
      <c r="V531" t="inlineStr">
        <is>
          <t>demais</t>
        </is>
      </c>
      <c r="W531" t="inlineStr">
        <is>
          <t>REDES E FRANQUIAS</t>
        </is>
      </c>
    </row>
    <row r="532" ht="15" customHeight="1">
      <c r="A532" t="n">
        <v>0</v>
      </c>
      <c r="B532" t="inlineStr">
        <is>
          <t>ROXO</t>
        </is>
      </c>
      <c r="C532" t="n">
        <v>6566.04</v>
      </c>
      <c r="D532" t="n">
        <v>0</v>
      </c>
      <c r="E532" t="n">
        <v>6566.04</v>
      </c>
      <c r="F532" s="6" t="n">
        <v>0</v>
      </c>
      <c r="G532" t="inlineStr">
        <is>
          <t>DIVINA TERRA</t>
        </is>
      </c>
      <c r="H532" t="inlineStr">
        <is>
          <t>ES</t>
        </is>
      </c>
      <c r="I532" t="n">
        <v>27999646131</v>
      </c>
      <c r="J532" t="inlineStr">
        <is>
          <t>Inativo</t>
        </is>
      </c>
      <c r="K532" t="inlineStr">
        <is>
          <t>DIVINA TERRA</t>
        </is>
      </c>
      <c r="L532" t="inlineStr">
        <is>
          <t>ES</t>
        </is>
      </c>
      <c r="M532" t="n">
        <v>27999646131</v>
      </c>
      <c r="N532" t="n">
        <v>0</v>
      </c>
      <c r="O532" t="n">
        <v>547.17</v>
      </c>
      <c r="P532" t="inlineStr">
        <is>
          <t>03 - NACIONAL</t>
        </is>
      </c>
      <c r="Q532" t="inlineStr">
        <is>
          <t>DAIANE STAVICKI</t>
        </is>
      </c>
      <c r="S532" t="inlineStr">
        <is>
          <t>ZR - NAO APLICAVEL</t>
        </is>
      </c>
      <c r="T532" t="inlineStr">
        <is>
          <t>ZV - NAO APLICAVEL</t>
        </is>
      </c>
      <c r="V532" t="inlineStr">
        <is>
          <t>demais</t>
        </is>
      </c>
      <c r="W532" t="inlineStr">
        <is>
          <t>REDES E FRANQUIAS</t>
        </is>
      </c>
    </row>
    <row r="533" ht="15" customHeight="1">
      <c r="A533" t="n">
        <v>0</v>
      </c>
      <c r="B533" t="inlineStr">
        <is>
          <t>ROXO</t>
        </is>
      </c>
      <c r="C533" t="n">
        <v>6566.04</v>
      </c>
      <c r="D533" t="n">
        <v>0</v>
      </c>
      <c r="E533" t="n">
        <v>6566.04</v>
      </c>
      <c r="F533" s="6" t="n">
        <v>0</v>
      </c>
      <c r="G533" t="inlineStr">
        <is>
          <t>DIVINA TERRA</t>
        </is>
      </c>
      <c r="H533" t="inlineStr">
        <is>
          <t>ES</t>
        </is>
      </c>
      <c r="I533" t="n">
        <v>2799241766</v>
      </c>
      <c r="J533" t="inlineStr">
        <is>
          <t>Inativo</t>
        </is>
      </c>
      <c r="K533" t="inlineStr">
        <is>
          <t>DIVINA TERRA</t>
        </is>
      </c>
      <c r="L533" t="inlineStr">
        <is>
          <t>ES</t>
        </is>
      </c>
      <c r="M533" t="n">
        <v>2799241766</v>
      </c>
      <c r="N533" t="n">
        <v>0</v>
      </c>
      <c r="O533" t="n">
        <v>547.17</v>
      </c>
      <c r="P533" t="inlineStr">
        <is>
          <t>03 - NACIONAL</t>
        </is>
      </c>
      <c r="Q533" t="inlineStr">
        <is>
          <t>LARISSA PADILHA</t>
        </is>
      </c>
      <c r="S533" t="inlineStr">
        <is>
          <t>42.149.466 LARISSA DA SILVA PADILHA - ME</t>
        </is>
      </c>
      <c r="T533" t="inlineStr">
        <is>
          <t>ZV - NAO APLICAVEL</t>
        </is>
      </c>
      <c r="V533" t="inlineStr">
        <is>
          <t>demais</t>
        </is>
      </c>
      <c r="W533" t="inlineStr">
        <is>
          <t>REDES E FRANQUIAS</t>
        </is>
      </c>
    </row>
    <row r="534" ht="15" customHeight="1">
      <c r="A534" t="n">
        <v>0</v>
      </c>
      <c r="B534" t="inlineStr">
        <is>
          <t>ROXO</t>
        </is>
      </c>
      <c r="C534" t="n">
        <v>8833.33</v>
      </c>
      <c r="D534" t="n">
        <v>0</v>
      </c>
      <c r="E534" t="n">
        <v>8833.33</v>
      </c>
      <c r="F534" s="6" t="n">
        <v>0</v>
      </c>
      <c r="G534" t="inlineStr">
        <is>
          <t>TUDO EM GRAOS / VGA</t>
        </is>
      </c>
      <c r="H534" t="inlineStr">
        <is>
          <t>DF</t>
        </is>
      </c>
      <c r="I534" t="n">
        <v>61921777496</v>
      </c>
      <c r="J534" t="inlineStr">
        <is>
          <t>Inativo</t>
        </is>
      </c>
      <c r="K534" t="inlineStr">
        <is>
          <t>TUDO EM GRAOS</t>
        </is>
      </c>
      <c r="L534" t="inlineStr">
        <is>
          <t>DF</t>
        </is>
      </c>
      <c r="M534" t="n">
        <v>61921777496</v>
      </c>
      <c r="N534" t="n">
        <v>0</v>
      </c>
      <c r="O534" t="n">
        <v>736.11</v>
      </c>
      <c r="P534" t="inlineStr">
        <is>
          <t>03 - NACIONAL</t>
        </is>
      </c>
      <c r="Q534" t="inlineStr">
        <is>
          <t>DAIANE STAVICKI</t>
        </is>
      </c>
      <c r="S534" t="inlineStr">
        <is>
          <t>ZR - NAO APLICAVEL</t>
        </is>
      </c>
      <c r="T534" t="inlineStr">
        <is>
          <t>ZV - NAO APLICAVEL</t>
        </is>
      </c>
      <c r="V534" t="inlineStr">
        <is>
          <t>demais</t>
        </is>
      </c>
      <c r="W534" t="inlineStr">
        <is>
          <t>REDES E FRANQUIAS</t>
        </is>
      </c>
    </row>
    <row r="535" ht="15" customHeight="1">
      <c r="A535" t="n">
        <v>0</v>
      </c>
      <c r="B535" t="inlineStr">
        <is>
          <t>ROXO</t>
        </is>
      </c>
      <c r="C535" t="n">
        <v>6281.25</v>
      </c>
      <c r="D535" t="n">
        <v>0</v>
      </c>
      <c r="E535" t="n">
        <v>6281.25</v>
      </c>
      <c r="F535" s="6" t="n">
        <v>0</v>
      </c>
      <c r="G535" t="inlineStr">
        <is>
          <t>BIO MUNDO</t>
        </is>
      </c>
      <c r="H535" t="inlineStr">
        <is>
          <t>DF</t>
        </is>
      </c>
      <c r="I535" t="n">
        <v>61986344434</v>
      </c>
      <c r="J535" t="inlineStr">
        <is>
          <t>Inativo</t>
        </is>
      </c>
      <c r="K535" t="inlineStr">
        <is>
          <t>BIO MUNDO</t>
        </is>
      </c>
      <c r="L535" t="inlineStr">
        <is>
          <t>DF</t>
        </is>
      </c>
      <c r="M535" t="n">
        <v>61986344434</v>
      </c>
      <c r="N535" t="n">
        <v>0</v>
      </c>
      <c r="O535" t="n">
        <v>523.4400000000001</v>
      </c>
      <c r="P535" t="inlineStr">
        <is>
          <t>03 - NACIONAL</t>
        </is>
      </c>
      <c r="Q535" t="inlineStr">
        <is>
          <t>LARISSA PADILHA</t>
        </is>
      </c>
      <c r="S535" t="inlineStr">
        <is>
          <t>42.149.466 LARISSA DA SILVA PADILHA - ME</t>
        </is>
      </c>
      <c r="T535" t="inlineStr">
        <is>
          <t>ZV - NAO APLICAVEL</t>
        </is>
      </c>
      <c r="V535" t="inlineStr">
        <is>
          <t>demais</t>
        </is>
      </c>
      <c r="W535" t="inlineStr">
        <is>
          <t>REDES E FRANQUIAS</t>
        </is>
      </c>
    </row>
    <row r="536" ht="15" customHeight="1">
      <c r="A536" t="n">
        <v>0</v>
      </c>
      <c r="B536" t="inlineStr">
        <is>
          <t>ROXO</t>
        </is>
      </c>
      <c r="C536" t="n">
        <v>7200</v>
      </c>
      <c r="D536" t="n">
        <v>0</v>
      </c>
      <c r="E536" t="n">
        <v>7200</v>
      </c>
      <c r="F536" s="6" t="n">
        <v>0</v>
      </c>
      <c r="G536" t="inlineStr">
        <is>
          <t>ARMAZEM FIT STORE</t>
        </is>
      </c>
      <c r="H536" t="inlineStr">
        <is>
          <t>MA</t>
        </is>
      </c>
      <c r="I536" t="n">
        <v>9981318177</v>
      </c>
      <c r="J536" t="inlineStr">
        <is>
          <t>Inativo</t>
        </is>
      </c>
      <c r="K536" t="inlineStr">
        <is>
          <t>ARMAZEM FIT STORE</t>
        </is>
      </c>
      <c r="L536" t="inlineStr">
        <is>
          <t>MA</t>
        </is>
      </c>
      <c r="M536" t="n">
        <v>9981318177</v>
      </c>
      <c r="N536" t="n">
        <v>0</v>
      </c>
      <c r="O536" t="n">
        <v>600</v>
      </c>
      <c r="P536" t="inlineStr">
        <is>
          <t>03 - NORTE + MA</t>
        </is>
      </c>
      <c r="Q536" t="inlineStr">
        <is>
          <t>LARISSA PADILHA</t>
        </is>
      </c>
      <c r="S536" t="inlineStr">
        <is>
          <t>42.149.466 LARISSA DA SILVA PADILHA - ME</t>
        </is>
      </c>
      <c r="T536" t="inlineStr">
        <is>
          <t>ZV - NAO APLICAVEL</t>
        </is>
      </c>
      <c r="V536" t="inlineStr">
        <is>
          <t>demais</t>
        </is>
      </c>
      <c r="W536" t="inlineStr">
        <is>
          <t>REDES E FRANQUIAS</t>
        </is>
      </c>
    </row>
    <row r="537" ht="15" customHeight="1">
      <c r="A537" t="n">
        <v>0</v>
      </c>
      <c r="B537" t="inlineStr">
        <is>
          <t>ROXO</t>
        </is>
      </c>
      <c r="C537" t="n">
        <v>6566.04</v>
      </c>
      <c r="D537" t="n">
        <v>0</v>
      </c>
      <c r="E537" t="n">
        <v>6566.04</v>
      </c>
      <c r="F537" s="6" t="n">
        <v>0</v>
      </c>
      <c r="G537" t="inlineStr">
        <is>
          <t>DIVINA TERRA</t>
        </is>
      </c>
      <c r="H537" t="inlineStr">
        <is>
          <t>TO</t>
        </is>
      </c>
      <c r="I537" t="n">
        <v>6384306000</v>
      </c>
      <c r="J537" t="inlineStr">
        <is>
          <t>Inativo</t>
        </is>
      </c>
      <c r="K537" t="inlineStr">
        <is>
          <t>DIVINA TERRA</t>
        </is>
      </c>
      <c r="L537" t="inlineStr">
        <is>
          <t>TO</t>
        </is>
      </c>
      <c r="M537" t="n">
        <v>6384306000</v>
      </c>
      <c r="N537" t="n">
        <v>0</v>
      </c>
      <c r="O537" t="n">
        <v>547.17</v>
      </c>
      <c r="P537" t="inlineStr">
        <is>
          <t>03 - NACIONAL</t>
        </is>
      </c>
      <c r="Q537" t="inlineStr">
        <is>
          <t>DAIANE STAVICKI</t>
        </is>
      </c>
      <c r="S537" t="inlineStr">
        <is>
          <t>ZR - NAO APLICAVEL</t>
        </is>
      </c>
      <c r="T537" t="inlineStr">
        <is>
          <t>ZV - NAO APLICAVEL</t>
        </is>
      </c>
      <c r="V537" t="inlineStr">
        <is>
          <t>demais</t>
        </is>
      </c>
      <c r="W537" t="inlineStr">
        <is>
          <t>REDES E FRANQUIAS</t>
        </is>
      </c>
    </row>
    <row r="538" ht="15" customHeight="1">
      <c r="A538" t="n">
        <v>0</v>
      </c>
      <c r="B538" t="inlineStr">
        <is>
          <t>ROXO</t>
        </is>
      </c>
      <c r="C538" t="n">
        <v>10706.9</v>
      </c>
      <c r="D538" t="n">
        <v>0</v>
      </c>
      <c r="E538" t="n">
        <v>10706.9</v>
      </c>
      <c r="F538" s="6" t="n">
        <v>0</v>
      </c>
      <c r="G538" t="inlineStr">
        <is>
          <t>FITLAND</t>
        </is>
      </c>
      <c r="H538" t="inlineStr">
        <is>
          <t>PI</t>
        </is>
      </c>
      <c r="I538" t="n">
        <v>86998504191</v>
      </c>
      <c r="J538" t="inlineStr">
        <is>
          <t>Inativo</t>
        </is>
      </c>
      <c r="K538" t="inlineStr">
        <is>
          <t>FITLAND</t>
        </is>
      </c>
      <c r="L538" t="inlineStr">
        <is>
          <t>PI</t>
        </is>
      </c>
      <c r="M538" t="n">
        <v>86998504191</v>
      </c>
      <c r="N538" t="n">
        <v>0</v>
      </c>
      <c r="O538" t="n">
        <v>892.24</v>
      </c>
      <c r="P538" t="inlineStr">
        <is>
          <t>03 - NACIONAL</t>
        </is>
      </c>
      <c r="Q538" t="inlineStr">
        <is>
          <t>JULIO GADRET</t>
        </is>
      </c>
      <c r="S538" t="inlineStr">
        <is>
          <t>ZR - NAO APLICAVEL</t>
        </is>
      </c>
      <c r="T538" t="inlineStr">
        <is>
          <t>ZV - NAO APLICAVEL</t>
        </is>
      </c>
      <c r="V538" t="inlineStr">
        <is>
          <t>demais</t>
        </is>
      </c>
      <c r="W538" t="inlineStr">
        <is>
          <t>REDES E FRANQUIAS</t>
        </is>
      </c>
    </row>
    <row r="539" ht="15" customHeight="1">
      <c r="A539" t="n">
        <v>0</v>
      </c>
      <c r="B539" t="inlineStr">
        <is>
          <t>ROXO</t>
        </is>
      </c>
      <c r="C539" t="n">
        <v>6281.25</v>
      </c>
      <c r="D539" t="n">
        <v>0</v>
      </c>
      <c r="E539" t="n">
        <v>6281.25</v>
      </c>
      <c r="F539" s="6" t="n">
        <v>0</v>
      </c>
      <c r="G539" t="inlineStr">
        <is>
          <t>BIO MUNDO</t>
        </is>
      </c>
      <c r="H539" t="inlineStr">
        <is>
          <t>PI</t>
        </is>
      </c>
      <c r="I539" t="n">
        <v>9996311517</v>
      </c>
      <c r="J539" t="inlineStr">
        <is>
          <t>Inativo</t>
        </is>
      </c>
      <c r="K539" t="inlineStr">
        <is>
          <t>BIO MUNDO</t>
        </is>
      </c>
      <c r="L539" t="inlineStr">
        <is>
          <t>PI</t>
        </is>
      </c>
      <c r="M539" t="n">
        <v>9996311517</v>
      </c>
      <c r="N539" t="n">
        <v>0</v>
      </c>
      <c r="O539" t="n">
        <v>523.4400000000001</v>
      </c>
      <c r="P539" t="inlineStr">
        <is>
          <t>03 - NACIONAL</t>
        </is>
      </c>
      <c r="Q539" t="inlineStr">
        <is>
          <t>DAIANE STAVICKI</t>
        </is>
      </c>
      <c r="S539" t="inlineStr">
        <is>
          <t>ZR - NAO APLICAVEL</t>
        </is>
      </c>
      <c r="T539" t="inlineStr">
        <is>
          <t>ZV - NAO APLICAVEL</t>
        </is>
      </c>
      <c r="V539" t="inlineStr">
        <is>
          <t>demais</t>
        </is>
      </c>
      <c r="W539" t="inlineStr">
        <is>
          <t>REDES E FRANQUIAS</t>
        </is>
      </c>
    </row>
    <row r="540" ht="15" customHeight="1">
      <c r="A540" t="n">
        <v>0</v>
      </c>
      <c r="B540" t="inlineStr">
        <is>
          <t>ROXO</t>
        </is>
      </c>
      <c r="C540" t="n">
        <v>8833.33</v>
      </c>
      <c r="D540" t="n">
        <v>0</v>
      </c>
      <c r="E540" t="n">
        <v>8833.33</v>
      </c>
      <c r="F540" s="6" t="n">
        <v>0</v>
      </c>
      <c r="G540" t="inlineStr">
        <is>
          <t>TUDO EM GRAOS / VGA</t>
        </is>
      </c>
      <c r="H540" t="inlineStr">
        <is>
          <t>PR</t>
        </is>
      </c>
      <c r="I540" t="n">
        <v>47666666666</v>
      </c>
      <c r="J540" t="inlineStr">
        <is>
          <t>Inativo</t>
        </is>
      </c>
      <c r="K540" t="inlineStr">
        <is>
          <t>TUDO EM GRAOS</t>
        </is>
      </c>
      <c r="L540" t="inlineStr">
        <is>
          <t>PR</t>
        </is>
      </c>
      <c r="M540" t="n">
        <v>47666666666</v>
      </c>
      <c r="N540" t="n">
        <v>0</v>
      </c>
      <c r="O540" t="n">
        <v>736.11</v>
      </c>
      <c r="P540" t="inlineStr">
        <is>
          <t>03 - NACIONAL</t>
        </is>
      </c>
      <c r="Q540" t="inlineStr">
        <is>
          <t>DAIANE STAVICKI</t>
        </is>
      </c>
      <c r="S540" t="inlineStr">
        <is>
          <t>ZR - NAO APLICAVEL</t>
        </is>
      </c>
      <c r="T540" t="inlineStr">
        <is>
          <t>ZV - NAO APLICAVEL</t>
        </is>
      </c>
      <c r="V540" t="inlineStr">
        <is>
          <t>demais</t>
        </is>
      </c>
      <c r="W540" t="inlineStr">
        <is>
          <t>REDES E FRANQUIAS</t>
        </is>
      </c>
    </row>
    <row r="541" ht="15" customHeight="1">
      <c r="A541" t="n">
        <v>0</v>
      </c>
      <c r="B541" t="inlineStr">
        <is>
          <t>ROXO</t>
        </is>
      </c>
      <c r="C541" t="n">
        <v>6566.04</v>
      </c>
      <c r="D541" t="n">
        <v>0</v>
      </c>
      <c r="E541" t="n">
        <v>6566.04</v>
      </c>
      <c r="F541" s="6" t="n">
        <v>0</v>
      </c>
      <c r="G541" t="inlineStr">
        <is>
          <t>DIVINA TERRA</t>
        </is>
      </c>
      <c r="H541" t="inlineStr">
        <is>
          <t>PR</t>
        </is>
      </c>
      <c r="I541" t="n">
        <v>46999156565</v>
      </c>
      <c r="J541" t="inlineStr">
        <is>
          <t>Inativo</t>
        </is>
      </c>
      <c r="K541" t="inlineStr">
        <is>
          <t>DIVINA TERRA</t>
        </is>
      </c>
      <c r="L541" t="inlineStr">
        <is>
          <t>PR</t>
        </is>
      </c>
      <c r="M541" t="n">
        <v>46999156565</v>
      </c>
      <c r="N541" t="n">
        <v>0</v>
      </c>
      <c r="O541" t="n">
        <v>547.17</v>
      </c>
      <c r="P541" t="inlineStr">
        <is>
          <t>03 - NACIONAL</t>
        </is>
      </c>
      <c r="Q541" t="inlineStr">
        <is>
          <t>DAIANE STAVICKI</t>
        </is>
      </c>
      <c r="S541" t="inlineStr">
        <is>
          <t>ZR - NAO APLICAVEL</t>
        </is>
      </c>
      <c r="T541" t="inlineStr">
        <is>
          <t>ZV - NAO APLICAVEL</t>
        </is>
      </c>
      <c r="V541" t="inlineStr">
        <is>
          <t>demais</t>
        </is>
      </c>
      <c r="W541" t="inlineStr">
        <is>
          <t>REDES E FRANQUIAS</t>
        </is>
      </c>
    </row>
    <row r="542" ht="15" customHeight="1">
      <c r="A542" t="n">
        <v>0</v>
      </c>
      <c r="B542" t="inlineStr">
        <is>
          <t>ROXO</t>
        </is>
      </c>
      <c r="C542" t="n">
        <v>6281.25</v>
      </c>
      <c r="D542" t="n">
        <v>0</v>
      </c>
      <c r="E542" t="n">
        <v>6281.25</v>
      </c>
      <c r="F542" s="6" t="n">
        <v>0</v>
      </c>
      <c r="G542" t="inlineStr">
        <is>
          <t>BIO MUNDO</t>
        </is>
      </c>
      <c r="H542" t="inlineStr">
        <is>
          <t>PA</t>
        </is>
      </c>
      <c r="I542" t="n">
        <v>6192861144</v>
      </c>
      <c r="J542" t="inlineStr">
        <is>
          <t>Inativo</t>
        </is>
      </c>
      <c r="K542" t="inlineStr">
        <is>
          <t>BIO MUNDO</t>
        </is>
      </c>
      <c r="L542" t="inlineStr">
        <is>
          <t>PA</t>
        </is>
      </c>
      <c r="M542" t="n">
        <v>6192861144</v>
      </c>
      <c r="N542" t="n">
        <v>0</v>
      </c>
      <c r="O542" t="n">
        <v>523.4400000000001</v>
      </c>
      <c r="P542" t="inlineStr">
        <is>
          <t>03 - NACIONAL</t>
        </is>
      </c>
      <c r="Q542" t="inlineStr">
        <is>
          <t>DAIANE STAVICKI</t>
        </is>
      </c>
      <c r="S542" t="inlineStr">
        <is>
          <t>ZR - NAO APLICAVEL</t>
        </is>
      </c>
      <c r="T542" t="inlineStr">
        <is>
          <t>ZV - NAO APLICAVEL</t>
        </is>
      </c>
      <c r="V542" t="inlineStr">
        <is>
          <t>demais</t>
        </is>
      </c>
      <c r="W542" t="inlineStr">
        <is>
          <t>REDES E FRANQUIAS</t>
        </is>
      </c>
    </row>
    <row r="543" ht="15" customHeight="1">
      <c r="A543" t="n">
        <v>0</v>
      </c>
      <c r="B543" t="inlineStr">
        <is>
          <t>ROXO</t>
        </is>
      </c>
      <c r="C543" t="n">
        <v>10200</v>
      </c>
      <c r="D543" t="n">
        <v>0</v>
      </c>
      <c r="E543" t="n">
        <v>10200</v>
      </c>
      <c r="F543" s="6" t="n">
        <v>0</v>
      </c>
      <c r="G543" t="inlineStr">
        <is>
          <t>VIDA LEVE</t>
        </is>
      </c>
      <c r="H543" t="inlineStr">
        <is>
          <t>PA</t>
        </is>
      </c>
      <c r="I543" t="n">
        <v>91920064409</v>
      </c>
      <c r="J543" t="inlineStr">
        <is>
          <t>Inativo</t>
        </is>
      </c>
      <c r="K543" t="inlineStr">
        <is>
          <t>VIDA LEVE</t>
        </is>
      </c>
      <c r="L543" t="inlineStr">
        <is>
          <t>PA</t>
        </is>
      </c>
      <c r="M543" t="n">
        <v>91920064409</v>
      </c>
      <c r="N543" t="n">
        <v>0</v>
      </c>
      <c r="O543" t="n">
        <v>850</v>
      </c>
      <c r="P543" t="inlineStr">
        <is>
          <t>03 - NACIONAL</t>
        </is>
      </c>
      <c r="Q543" t="inlineStr">
        <is>
          <t>LARISSA PADILHA</t>
        </is>
      </c>
      <c r="S543" t="inlineStr">
        <is>
          <t>42.149.466 LARISSA DA SILVA PADILHA - ME</t>
        </is>
      </c>
      <c r="T543" t="inlineStr">
        <is>
          <t>ZV - NAO APLICAVEL</t>
        </is>
      </c>
      <c r="V543" t="inlineStr">
        <is>
          <t>demais</t>
        </is>
      </c>
      <c r="W543" t="inlineStr">
        <is>
          <t>REDES E FRANQUIAS</t>
        </is>
      </c>
    </row>
    <row r="544" ht="15" customHeight="1">
      <c r="A544" t="n">
        <v>0</v>
      </c>
      <c r="B544" t="inlineStr">
        <is>
          <t>ROXO</t>
        </is>
      </c>
      <c r="C544" t="n">
        <v>10200</v>
      </c>
      <c r="D544" t="n">
        <v>0</v>
      </c>
      <c r="E544" t="n">
        <v>10200</v>
      </c>
      <c r="F544" s="6" t="n">
        <v>0</v>
      </c>
      <c r="G544" t="inlineStr">
        <is>
          <t>VIDA LEVE</t>
        </is>
      </c>
      <c r="H544" t="inlineStr">
        <is>
          <t>PA</t>
        </is>
      </c>
      <c r="I544" t="n">
        <v>91982018463</v>
      </c>
      <c r="J544" t="inlineStr">
        <is>
          <t>Inativo</t>
        </is>
      </c>
      <c r="K544" t="inlineStr">
        <is>
          <t>VIDA LEVE</t>
        </is>
      </c>
      <c r="L544" t="inlineStr">
        <is>
          <t>PA</t>
        </is>
      </c>
      <c r="M544" t="n">
        <v>91982018463</v>
      </c>
      <c r="N544" t="n">
        <v>0</v>
      </c>
      <c r="O544" t="n">
        <v>850</v>
      </c>
      <c r="P544" t="inlineStr">
        <is>
          <t>03 - NACIONAL</t>
        </is>
      </c>
      <c r="Q544" t="inlineStr">
        <is>
          <t>LARISSA PADILHA</t>
        </is>
      </c>
      <c r="S544" t="inlineStr">
        <is>
          <t>42.149.466 LARISSA DA SILVA PADILHA - ME</t>
        </is>
      </c>
      <c r="T544" t="inlineStr">
        <is>
          <t>ZV - NAO APLICAVEL</t>
        </is>
      </c>
      <c r="V544" t="inlineStr">
        <is>
          <t>demais</t>
        </is>
      </c>
      <c r="W544" t="inlineStr">
        <is>
          <t>REDES E FRANQUIAS</t>
        </is>
      </c>
    </row>
    <row r="545" ht="15" customHeight="1">
      <c r="A545" t="n">
        <v>0</v>
      </c>
      <c r="B545" t="inlineStr">
        <is>
          <t>ROXO</t>
        </is>
      </c>
      <c r="C545" t="n">
        <v>6566.04</v>
      </c>
      <c r="D545" t="n">
        <v>0</v>
      </c>
      <c r="E545" t="n">
        <v>6566.04</v>
      </c>
      <c r="F545" s="6" t="n">
        <v>0</v>
      </c>
      <c r="G545" t="inlineStr">
        <is>
          <t>DIVINA TERRA</t>
        </is>
      </c>
      <c r="H545" t="inlineStr">
        <is>
          <t>PA</t>
        </is>
      </c>
      <c r="I545" t="n">
        <v>9199937313</v>
      </c>
      <c r="J545" t="inlineStr">
        <is>
          <t>Inativo</t>
        </is>
      </c>
      <c r="K545" t="inlineStr">
        <is>
          <t>DIVINA TERRA</t>
        </is>
      </c>
      <c r="L545" t="inlineStr">
        <is>
          <t>PA</t>
        </is>
      </c>
      <c r="M545" t="n">
        <v>9199937313</v>
      </c>
      <c r="N545" t="n">
        <v>0</v>
      </c>
      <c r="O545" t="n">
        <v>547.17</v>
      </c>
      <c r="P545" t="inlineStr">
        <is>
          <t>03 - NACIONAL</t>
        </is>
      </c>
      <c r="Q545" t="inlineStr">
        <is>
          <t>DAIANE STAVICKI</t>
        </is>
      </c>
      <c r="S545" t="inlineStr">
        <is>
          <t>ZR - NAO APLICAVEL</t>
        </is>
      </c>
      <c r="T545" t="inlineStr">
        <is>
          <t>ZV - NAO APLICAVEL</t>
        </is>
      </c>
      <c r="V545" t="inlineStr">
        <is>
          <t>demais</t>
        </is>
      </c>
      <c r="W545" t="inlineStr">
        <is>
          <t>REDES E FRANQUIAS</t>
        </is>
      </c>
    </row>
    <row r="546" ht="15" customHeight="1">
      <c r="A546" t="n">
        <v>0</v>
      </c>
      <c r="B546" t="inlineStr">
        <is>
          <t>ROXO</t>
        </is>
      </c>
      <c r="C546" t="n">
        <v>10875</v>
      </c>
      <c r="D546" t="n">
        <v>0</v>
      </c>
      <c r="E546" t="n">
        <v>10875</v>
      </c>
      <c r="F546" s="6" t="n">
        <v>0</v>
      </c>
      <c r="G546" t="inlineStr">
        <is>
          <t>CIA DA SAUDE</t>
        </is>
      </c>
      <c r="H546" t="inlineStr">
        <is>
          <t>SC</t>
        </is>
      </c>
      <c r="I546" t="n">
        <v>4899181526</v>
      </c>
      <c r="J546" t="inlineStr">
        <is>
          <t>Inativo</t>
        </is>
      </c>
      <c r="K546" t="inlineStr">
        <is>
          <t>CIA DA SAUDE</t>
        </is>
      </c>
      <c r="L546" t="inlineStr">
        <is>
          <t>SC</t>
        </is>
      </c>
      <c r="M546" t="n">
        <v>4899181526</v>
      </c>
      <c r="N546" t="n">
        <v>0</v>
      </c>
      <c r="O546" t="n">
        <v>906.25</v>
      </c>
      <c r="P546" t="inlineStr">
        <is>
          <t>03 - NACIONAL</t>
        </is>
      </c>
      <c r="Q546" t="inlineStr">
        <is>
          <t>HEMANUELE DITZEL (MANU)</t>
        </is>
      </c>
      <c r="S546" t="inlineStr">
        <is>
          <t>ZR - NAO APLICAVEL</t>
        </is>
      </c>
      <c r="T546" t="inlineStr">
        <is>
          <t>HEMANUELE ROSA DITZEL</t>
        </is>
      </c>
      <c r="V546" t="inlineStr">
        <is>
          <t>demais</t>
        </is>
      </c>
      <c r="W546" t="inlineStr">
        <is>
          <t>REDES E FRANQUIAS</t>
        </is>
      </c>
    </row>
    <row r="547" ht="15" customHeight="1">
      <c r="A547" t="n">
        <v>0</v>
      </c>
      <c r="B547" t="inlineStr">
        <is>
          <t>ROXO</t>
        </is>
      </c>
      <c r="C547" t="n">
        <v>6566.04</v>
      </c>
      <c r="D547" t="n">
        <v>0</v>
      </c>
      <c r="E547" t="n">
        <v>6566.04</v>
      </c>
      <c r="F547" s="6" t="n">
        <v>0</v>
      </c>
      <c r="G547" t="inlineStr">
        <is>
          <t>DIVINA TERRA</t>
        </is>
      </c>
      <c r="H547" t="inlineStr">
        <is>
          <t>SP</t>
        </is>
      </c>
      <c r="I547" t="n">
        <v>19991984564</v>
      </c>
      <c r="J547" t="inlineStr">
        <is>
          <t>Inativo</t>
        </is>
      </c>
      <c r="K547" t="inlineStr">
        <is>
          <t>DIVINA TERRA</t>
        </is>
      </c>
      <c r="L547" t="inlineStr">
        <is>
          <t>SP</t>
        </is>
      </c>
      <c r="M547" t="n">
        <v>19991984564</v>
      </c>
      <c r="N547" t="n">
        <v>0</v>
      </c>
      <c r="O547" t="n">
        <v>547.17</v>
      </c>
      <c r="P547" t="inlineStr">
        <is>
          <t>03 - NACIONAL</t>
        </is>
      </c>
      <c r="Q547" t="inlineStr">
        <is>
          <t>LARISSA PADILHA</t>
        </is>
      </c>
      <c r="S547" t="inlineStr">
        <is>
          <t>42.149.466 LARISSA DA SILVA PADILHA - ME</t>
        </is>
      </c>
      <c r="T547" t="inlineStr">
        <is>
          <t>ZV - NAO APLICAVEL</t>
        </is>
      </c>
      <c r="V547" t="inlineStr">
        <is>
          <t>demais</t>
        </is>
      </c>
      <c r="W547" t="inlineStr">
        <is>
          <t>REDES E FRANQUIAS</t>
        </is>
      </c>
    </row>
    <row r="548" ht="15" customHeight="1">
      <c r="A548" t="n">
        <v>0</v>
      </c>
      <c r="B548" t="inlineStr">
        <is>
          <t>ROXO</t>
        </is>
      </c>
      <c r="C548" t="n">
        <v>6566.04</v>
      </c>
      <c r="D548" t="n">
        <v>0</v>
      </c>
      <c r="E548" t="n">
        <v>6566.04</v>
      </c>
      <c r="F548" s="6" t="n">
        <v>0</v>
      </c>
      <c r="G548" t="inlineStr">
        <is>
          <t>DIVINA TERRA</t>
        </is>
      </c>
      <c r="H548" t="inlineStr">
        <is>
          <t>SP</t>
        </is>
      </c>
      <c r="I548" t="n">
        <v>11994431674</v>
      </c>
      <c r="J548" t="inlineStr">
        <is>
          <t>Inativo</t>
        </is>
      </c>
      <c r="K548" t="inlineStr">
        <is>
          <t>DIVINA TERRA</t>
        </is>
      </c>
      <c r="L548" t="inlineStr">
        <is>
          <t>SP</t>
        </is>
      </c>
      <c r="M548" t="n">
        <v>11994431674</v>
      </c>
      <c r="N548" t="n">
        <v>0</v>
      </c>
      <c r="O548" t="n">
        <v>547.17</v>
      </c>
      <c r="P548" t="inlineStr">
        <is>
          <t>03 - NACIONAL</t>
        </is>
      </c>
      <c r="Q548" t="inlineStr">
        <is>
          <t>LARISSA PADILHA</t>
        </is>
      </c>
      <c r="S548" t="inlineStr">
        <is>
          <t>42.149.466 LARISSA DA SILVA PADILHA - ME</t>
        </is>
      </c>
      <c r="T548" t="inlineStr">
        <is>
          <t>ZV - NAO APLICAVEL</t>
        </is>
      </c>
      <c r="V548" t="inlineStr">
        <is>
          <t>demais</t>
        </is>
      </c>
      <c r="W548" t="inlineStr">
        <is>
          <t>REDES E FRANQUIAS</t>
        </is>
      </c>
    </row>
    <row r="549" ht="15" customHeight="1">
      <c r="A549" t="n">
        <v>0</v>
      </c>
      <c r="B549" t="inlineStr">
        <is>
          <t>ROXO</t>
        </is>
      </c>
      <c r="C549" t="n">
        <v>6566.04</v>
      </c>
      <c r="D549" t="n">
        <v>0</v>
      </c>
      <c r="E549" t="n">
        <v>6566.04</v>
      </c>
      <c r="F549" s="6" t="n">
        <v>0</v>
      </c>
      <c r="G549" t="inlineStr">
        <is>
          <t>DIVINA TERRA</t>
        </is>
      </c>
      <c r="H549" t="inlineStr">
        <is>
          <t>SP</t>
        </is>
      </c>
      <c r="I549" t="n">
        <v>12992291837</v>
      </c>
      <c r="J549" t="inlineStr">
        <is>
          <t>Inativo</t>
        </is>
      </c>
      <c r="K549" t="inlineStr">
        <is>
          <t>DIVINA TERRA</t>
        </is>
      </c>
      <c r="L549" t="inlineStr">
        <is>
          <t>SP</t>
        </is>
      </c>
      <c r="M549" t="n">
        <v>12992291837</v>
      </c>
      <c r="N549" t="n">
        <v>0</v>
      </c>
      <c r="O549" t="n">
        <v>547.17</v>
      </c>
      <c r="P549" t="inlineStr">
        <is>
          <t>03 - NACIONAL</t>
        </is>
      </c>
      <c r="Q549" t="inlineStr">
        <is>
          <t>LARISSA PADILHA</t>
        </is>
      </c>
      <c r="S549" t="inlineStr">
        <is>
          <t>42.149.466 LARISSA DA SILVA PADILHA - ME</t>
        </is>
      </c>
      <c r="T549" t="inlineStr">
        <is>
          <t>ZV - NAO APLICAVEL</t>
        </is>
      </c>
      <c r="V549" t="inlineStr">
        <is>
          <t>demais</t>
        </is>
      </c>
      <c r="W549" t="inlineStr">
        <is>
          <t>REDES E FRANQUIAS</t>
        </is>
      </c>
    </row>
    <row r="550" ht="15" customHeight="1">
      <c r="A550" t="n">
        <v>0</v>
      </c>
      <c r="B550" t="inlineStr">
        <is>
          <t>ROXO</t>
        </is>
      </c>
      <c r="C550" t="n">
        <v>6566.04</v>
      </c>
      <c r="D550" t="n">
        <v>0</v>
      </c>
      <c r="E550" t="n">
        <v>6566.04</v>
      </c>
      <c r="F550" s="6" t="n">
        <v>0</v>
      </c>
      <c r="G550" t="inlineStr">
        <is>
          <t>DIVINA TERRA</t>
        </is>
      </c>
      <c r="H550" t="inlineStr">
        <is>
          <t>RS</t>
        </is>
      </c>
      <c r="I550" t="n">
        <v>51991322184</v>
      </c>
      <c r="J550" t="inlineStr">
        <is>
          <t>Inativo</t>
        </is>
      </c>
      <c r="K550" t="inlineStr">
        <is>
          <t>DIVINA TERRA</t>
        </is>
      </c>
      <c r="L550" t="inlineStr">
        <is>
          <t>RS</t>
        </is>
      </c>
      <c r="M550" t="n">
        <v>51991322184</v>
      </c>
      <c r="N550" t="n">
        <v>0</v>
      </c>
      <c r="O550" t="n">
        <v>547.17</v>
      </c>
      <c r="P550" t="inlineStr">
        <is>
          <t>03 - NACIONAL</t>
        </is>
      </c>
      <c r="Q550" t="inlineStr">
        <is>
          <t>HEMANUELE DITZEL (MANU)</t>
        </is>
      </c>
      <c r="S550" t="inlineStr">
        <is>
          <t>ZR - NAO APLICAVEL</t>
        </is>
      </c>
      <c r="T550" t="inlineStr">
        <is>
          <t>HEMANUELE ROSA DITZEL</t>
        </is>
      </c>
      <c r="V550" t="inlineStr">
        <is>
          <t>demais</t>
        </is>
      </c>
      <c r="W550" t="inlineStr">
        <is>
          <t>REDES E FRANQUIAS</t>
        </is>
      </c>
    </row>
    <row r="551" ht="15" customHeight="1">
      <c r="A551" t="n">
        <v>0</v>
      </c>
      <c r="B551" t="inlineStr">
        <is>
          <t>ROXO</t>
        </is>
      </c>
      <c r="C551" t="n">
        <v>6566.04</v>
      </c>
      <c r="D551" t="n">
        <v>0</v>
      </c>
      <c r="E551" t="n">
        <v>6566.04</v>
      </c>
      <c r="F551" s="6" t="n">
        <v>0</v>
      </c>
      <c r="G551" t="inlineStr">
        <is>
          <t>DIVINA TERRA</t>
        </is>
      </c>
      <c r="H551" t="inlineStr">
        <is>
          <t>RS</t>
        </is>
      </c>
      <c r="I551" t="n">
        <v>5198650320</v>
      </c>
      <c r="J551" t="inlineStr">
        <is>
          <t>Inativo</t>
        </is>
      </c>
      <c r="K551" t="inlineStr">
        <is>
          <t>DIVINA TERRA</t>
        </is>
      </c>
      <c r="L551" t="inlineStr">
        <is>
          <t>RS</t>
        </is>
      </c>
      <c r="M551" t="n">
        <v>5198650320</v>
      </c>
      <c r="N551" t="n">
        <v>0</v>
      </c>
      <c r="O551" t="n">
        <v>547.17</v>
      </c>
      <c r="P551" t="inlineStr">
        <is>
          <t>03 - NACIONAL</t>
        </is>
      </c>
      <c r="Q551" t="inlineStr">
        <is>
          <t>DAIANE STAVICKI</t>
        </is>
      </c>
      <c r="S551" t="inlineStr">
        <is>
          <t>ZR - NAO APLICAVEL</t>
        </is>
      </c>
      <c r="T551" t="inlineStr">
        <is>
          <t>ZV - NAO APLICAVEL</t>
        </is>
      </c>
      <c r="V551" t="inlineStr">
        <is>
          <t>demais</t>
        </is>
      </c>
      <c r="W551" t="inlineStr">
        <is>
          <t>REDES E FRANQUIAS</t>
        </is>
      </c>
    </row>
    <row r="552" ht="15" customHeight="1">
      <c r="A552" t="n">
        <v>0</v>
      </c>
      <c r="B552" t="inlineStr">
        <is>
          <t>ROXO</t>
        </is>
      </c>
      <c r="C552" t="n">
        <v>6566.04</v>
      </c>
      <c r="D552" t="n">
        <v>0</v>
      </c>
      <c r="E552" t="n">
        <v>6566.04</v>
      </c>
      <c r="F552" s="6" t="n">
        <v>0</v>
      </c>
      <c r="G552" t="inlineStr">
        <is>
          <t>DIVINA TERRA</t>
        </is>
      </c>
      <c r="H552" t="inlineStr">
        <is>
          <t>RS</t>
        </is>
      </c>
      <c r="I552" t="n">
        <v>51997348809</v>
      </c>
      <c r="J552" t="inlineStr">
        <is>
          <t>Inativo</t>
        </is>
      </c>
      <c r="K552" t="inlineStr">
        <is>
          <t>DIVINA TERRA</t>
        </is>
      </c>
      <c r="L552" t="inlineStr">
        <is>
          <t>RS</t>
        </is>
      </c>
      <c r="M552" t="n">
        <v>51997348809</v>
      </c>
      <c r="N552" t="n">
        <v>0</v>
      </c>
      <c r="O552" t="n">
        <v>547.17</v>
      </c>
      <c r="P552" t="inlineStr">
        <is>
          <t>03 - NACIONAL</t>
        </is>
      </c>
      <c r="Q552" t="inlineStr">
        <is>
          <t>HEMANUELE DITZEL (MANU)</t>
        </is>
      </c>
      <c r="S552" t="inlineStr">
        <is>
          <t>ZR - NAO APLICAVEL</t>
        </is>
      </c>
      <c r="T552" t="inlineStr">
        <is>
          <t>HEMANUELE ROSA DITZEL</t>
        </is>
      </c>
      <c r="V552" t="inlineStr">
        <is>
          <t>demais</t>
        </is>
      </c>
      <c r="W552" t="inlineStr">
        <is>
          <t>REDES E FRANQUIAS</t>
        </is>
      </c>
    </row>
    <row r="553" ht="15" customHeight="1">
      <c r="A553" t="n">
        <v>0</v>
      </c>
      <c r="B553" t="inlineStr">
        <is>
          <t>ROXO</t>
        </is>
      </c>
      <c r="C553" t="n">
        <v>7200</v>
      </c>
      <c r="D553" t="n">
        <v>0</v>
      </c>
      <c r="E553" t="n">
        <v>7200</v>
      </c>
      <c r="F553" s="6" t="n">
        <v>0</v>
      </c>
      <c r="G553" t="inlineStr">
        <is>
          <t>ARMAZEM FIT STORE</t>
        </is>
      </c>
      <c r="H553" t="inlineStr">
        <is>
          <t>RS</t>
        </is>
      </c>
      <c r="I553" t="n">
        <v>5436986665</v>
      </c>
      <c r="J553" t="inlineStr">
        <is>
          <t>Inativo</t>
        </is>
      </c>
      <c r="K553" t="inlineStr">
        <is>
          <t>ARMAZEM FIT STORE</t>
        </is>
      </c>
      <c r="L553" t="inlineStr">
        <is>
          <t>RS</t>
        </is>
      </c>
      <c r="M553" t="n">
        <v>5436986665</v>
      </c>
      <c r="N553" t="n">
        <v>0</v>
      </c>
      <c r="O553" t="n">
        <v>600</v>
      </c>
      <c r="P553" t="inlineStr">
        <is>
          <t>03 - SUL</t>
        </is>
      </c>
      <c r="Q553" t="inlineStr">
        <is>
          <t>HEMANUELE DITZEL (MANU)</t>
        </is>
      </c>
      <c r="S553" t="inlineStr">
        <is>
          <t>ZR - NAO APLICAVEL</t>
        </is>
      </c>
      <c r="T553" t="inlineStr">
        <is>
          <t>HEMANUELE ROSA DITZEL</t>
        </is>
      </c>
      <c r="V553" t="inlineStr">
        <is>
          <t>demais</t>
        </is>
      </c>
      <c r="W553" t="inlineStr">
        <is>
          <t>REDES E FRANQUIAS</t>
        </is>
      </c>
    </row>
    <row r="554" ht="15" customHeight="1">
      <c r="A554" t="n">
        <v>0</v>
      </c>
      <c r="B554" t="inlineStr">
        <is>
          <t>ROXO</t>
        </is>
      </c>
      <c r="C554" t="n">
        <v>8833.33</v>
      </c>
      <c r="D554" t="n">
        <v>0</v>
      </c>
      <c r="E554" t="n">
        <v>8833.33</v>
      </c>
      <c r="F554" s="6" t="n">
        <v>0</v>
      </c>
      <c r="G554" t="inlineStr">
        <is>
          <t>TUDO EM GRAOS / VGA</t>
        </is>
      </c>
      <c r="H554" t="inlineStr">
        <is>
          <t>RS</t>
        </is>
      </c>
      <c r="I554" t="n">
        <v>5181315857</v>
      </c>
      <c r="J554" t="inlineStr">
        <is>
          <t>Inativo</t>
        </is>
      </c>
      <c r="K554" t="inlineStr">
        <is>
          <t>TUDO EM GRAOS</t>
        </is>
      </c>
      <c r="L554" t="inlineStr">
        <is>
          <t>RS</t>
        </is>
      </c>
      <c r="M554" t="n">
        <v>5181315857</v>
      </c>
      <c r="N554" t="n">
        <v>0</v>
      </c>
      <c r="O554" t="n">
        <v>736.11</v>
      </c>
      <c r="P554" t="inlineStr">
        <is>
          <t>03 - NACIONAL</t>
        </is>
      </c>
      <c r="Q554" t="inlineStr">
        <is>
          <t>DAIANE STAVICKI</t>
        </is>
      </c>
      <c r="S554" t="inlineStr">
        <is>
          <t>ZR - NAO APLICAVEL</t>
        </is>
      </c>
      <c r="T554" t="inlineStr">
        <is>
          <t>ZV - NAO APLICAVEL</t>
        </is>
      </c>
      <c r="V554" t="inlineStr">
        <is>
          <t>demais</t>
        </is>
      </c>
      <c r="W554" t="inlineStr">
        <is>
          <t>REDES E FRANQUIAS</t>
        </is>
      </c>
    </row>
    <row r="555" ht="15" customHeight="1">
      <c r="A555" t="n">
        <v>0</v>
      </c>
      <c r="B555" t="inlineStr">
        <is>
          <t>ROXO</t>
        </is>
      </c>
      <c r="C555" t="n">
        <v>8833.33</v>
      </c>
      <c r="D555" t="n">
        <v>0</v>
      </c>
      <c r="E555" t="n">
        <v>8833.33</v>
      </c>
      <c r="F555" s="6" t="n">
        <v>0</v>
      </c>
      <c r="G555" t="inlineStr">
        <is>
          <t>TUDO EM GRAOS / VGA</t>
        </is>
      </c>
      <c r="H555" t="inlineStr">
        <is>
          <t>RS</t>
        </is>
      </c>
      <c r="I555" t="n">
        <v>5399432620</v>
      </c>
      <c r="J555" t="inlineStr">
        <is>
          <t>Inativo</t>
        </is>
      </c>
      <c r="K555" t="inlineStr">
        <is>
          <t>TUDO EM GRAOS</t>
        </is>
      </c>
      <c r="L555" t="inlineStr">
        <is>
          <t>RS</t>
        </is>
      </c>
      <c r="M555" t="n">
        <v>5399432620</v>
      </c>
      <c r="N555" t="n">
        <v>0</v>
      </c>
      <c r="O555" t="n">
        <v>736.11</v>
      </c>
      <c r="P555" t="inlineStr">
        <is>
          <t>03 - NACIONAL</t>
        </is>
      </c>
      <c r="Q555" t="inlineStr">
        <is>
          <t>DAIANE STAVICKI</t>
        </is>
      </c>
      <c r="S555" t="inlineStr">
        <is>
          <t>ZR - NAO APLICAVEL</t>
        </is>
      </c>
      <c r="T555" t="inlineStr">
        <is>
          <t>ZV - NAO APLICAVEL</t>
        </is>
      </c>
      <c r="V555" t="inlineStr">
        <is>
          <t>demais</t>
        </is>
      </c>
      <c r="W555" t="inlineStr">
        <is>
          <t>REDES E FRANQUIAS</t>
        </is>
      </c>
    </row>
    <row r="556" ht="15" customHeight="1">
      <c r="A556" t="n">
        <v>0</v>
      </c>
      <c r="B556" t="inlineStr">
        <is>
          <t>ROXO</t>
        </is>
      </c>
      <c r="C556" t="n">
        <v>6566.04</v>
      </c>
      <c r="D556" t="n">
        <v>0</v>
      </c>
      <c r="E556" t="n">
        <v>6566.04</v>
      </c>
      <c r="F556" s="6" t="n">
        <v>0</v>
      </c>
      <c r="G556" t="inlineStr">
        <is>
          <t>DIVINA TERRA</t>
        </is>
      </c>
      <c r="H556" t="inlineStr">
        <is>
          <t>RS</t>
        </is>
      </c>
      <c r="I556" t="n">
        <v>5182698275</v>
      </c>
      <c r="J556" t="inlineStr">
        <is>
          <t>Inativo</t>
        </is>
      </c>
      <c r="K556" t="inlineStr">
        <is>
          <t>DIVINA TERRA</t>
        </is>
      </c>
      <c r="L556" t="inlineStr">
        <is>
          <t>RS</t>
        </is>
      </c>
      <c r="M556" t="n">
        <v>5182698275</v>
      </c>
      <c r="N556" t="n">
        <v>0</v>
      </c>
      <c r="O556" t="n">
        <v>547.17</v>
      </c>
      <c r="P556" t="inlineStr">
        <is>
          <t>03 - NACIONAL</t>
        </is>
      </c>
      <c r="Q556" t="inlineStr">
        <is>
          <t>HEMANUELE DITZEL (MANU)</t>
        </is>
      </c>
      <c r="S556" t="inlineStr">
        <is>
          <t>ZR - NAO APLICAVEL</t>
        </is>
      </c>
      <c r="T556" t="inlineStr">
        <is>
          <t>HEMANUELE ROSA DITZEL</t>
        </is>
      </c>
      <c r="V556" t="inlineStr">
        <is>
          <t>demais</t>
        </is>
      </c>
      <c r="W556" t="inlineStr">
        <is>
          <t>REDES E FRANQUIAS</t>
        </is>
      </c>
    </row>
    <row r="557" ht="15" customHeight="1">
      <c r="A557" t="n">
        <v>0</v>
      </c>
      <c r="B557" t="inlineStr">
        <is>
          <t>ROXO</t>
        </is>
      </c>
      <c r="C557" t="n">
        <v>6566.04</v>
      </c>
      <c r="D557" t="n">
        <v>0</v>
      </c>
      <c r="E557" t="n">
        <v>6566.04</v>
      </c>
      <c r="F557" s="6" t="n">
        <v>0</v>
      </c>
      <c r="G557" t="inlineStr">
        <is>
          <t>DIVINA TERRA</t>
        </is>
      </c>
      <c r="H557" t="inlineStr">
        <is>
          <t>RS</t>
        </is>
      </c>
      <c r="I557" t="n">
        <v>5198650320</v>
      </c>
      <c r="J557" t="inlineStr">
        <is>
          <t>Inativo</t>
        </is>
      </c>
      <c r="K557" t="inlineStr">
        <is>
          <t>DIVINA TERRA</t>
        </is>
      </c>
      <c r="L557" t="inlineStr">
        <is>
          <t>RS</t>
        </is>
      </c>
      <c r="M557" t="n">
        <v>5198650320</v>
      </c>
      <c r="N557" t="n">
        <v>0</v>
      </c>
      <c r="O557" t="n">
        <v>547.17</v>
      </c>
      <c r="P557" t="inlineStr">
        <is>
          <t>03 - NACIONAL</t>
        </is>
      </c>
      <c r="Q557" t="inlineStr">
        <is>
          <t>HEMANUELE DITZEL (MANU)</t>
        </is>
      </c>
      <c r="S557" t="inlineStr">
        <is>
          <t>ZR - NAO APLICAVEL</t>
        </is>
      </c>
      <c r="T557" t="inlineStr">
        <is>
          <t>HEMANUELE ROSA DITZEL</t>
        </is>
      </c>
      <c r="V557" t="inlineStr">
        <is>
          <t>demais</t>
        </is>
      </c>
      <c r="W557" t="inlineStr">
        <is>
          <t>REDES E FRANQUIAS</t>
        </is>
      </c>
    </row>
    <row r="558" ht="15" customHeight="1">
      <c r="A558" t="n">
        <v>0</v>
      </c>
      <c r="B558" t="inlineStr">
        <is>
          <t>ROXO</t>
        </is>
      </c>
      <c r="C558" t="n">
        <v>6566.04</v>
      </c>
      <c r="D558" t="n">
        <v>0</v>
      </c>
      <c r="E558" t="n">
        <v>6566.04</v>
      </c>
      <c r="F558" s="6" t="n">
        <v>0</v>
      </c>
      <c r="G558" t="inlineStr">
        <is>
          <t>DIVINA TERRA</t>
        </is>
      </c>
      <c r="H558" t="inlineStr">
        <is>
          <t>RS</t>
        </is>
      </c>
      <c r="I558" t="n">
        <v>51981162558</v>
      </c>
      <c r="J558" t="inlineStr">
        <is>
          <t>Inativo</t>
        </is>
      </c>
      <c r="K558" t="inlineStr">
        <is>
          <t>DIVINA TERRA</t>
        </is>
      </c>
      <c r="L558" t="inlineStr">
        <is>
          <t>RS</t>
        </is>
      </c>
      <c r="M558" t="n">
        <v>51981162558</v>
      </c>
      <c r="N558" t="n">
        <v>0</v>
      </c>
      <c r="O558" t="n">
        <v>547.17</v>
      </c>
      <c r="P558" t="inlineStr">
        <is>
          <t>03 - NACIONAL</t>
        </is>
      </c>
      <c r="Q558" t="inlineStr">
        <is>
          <t>HEMANUELE DITZEL (MANU)</t>
        </is>
      </c>
      <c r="S558" t="inlineStr">
        <is>
          <t>ZR - NAO APLICAVEL</t>
        </is>
      </c>
      <c r="T558" t="inlineStr">
        <is>
          <t>HEMANUELE ROSA DITZEL</t>
        </is>
      </c>
      <c r="V558" t="inlineStr">
        <is>
          <t>demais</t>
        </is>
      </c>
      <c r="W558" t="inlineStr">
        <is>
          <t>REDES E FRANQUIAS</t>
        </is>
      </c>
    </row>
    <row r="559" ht="15" customHeight="1">
      <c r="A559" t="n">
        <v>0</v>
      </c>
      <c r="B559" t="inlineStr">
        <is>
          <t>ROXO</t>
        </is>
      </c>
      <c r="C559" t="n">
        <v>6566.04</v>
      </c>
      <c r="D559" t="n">
        <v>0</v>
      </c>
      <c r="E559" t="n">
        <v>6566.04</v>
      </c>
      <c r="F559" s="6" t="n">
        <v>0</v>
      </c>
      <c r="G559" t="inlineStr">
        <is>
          <t>DIVINA TERRA</t>
        </is>
      </c>
      <c r="H559" t="inlineStr">
        <is>
          <t>RS</t>
        </is>
      </c>
      <c r="I559" t="n">
        <v>5499389135</v>
      </c>
      <c r="J559" t="inlineStr">
        <is>
          <t>Inativo</t>
        </is>
      </c>
      <c r="K559" t="inlineStr">
        <is>
          <t>DIVINA TERRA</t>
        </is>
      </c>
      <c r="L559" t="inlineStr">
        <is>
          <t>RS</t>
        </is>
      </c>
      <c r="M559" t="n">
        <v>5499389135</v>
      </c>
      <c r="N559" t="n">
        <v>0</v>
      </c>
      <c r="O559" t="n">
        <v>547.17</v>
      </c>
      <c r="P559" t="inlineStr">
        <is>
          <t>03 - NACIONAL</t>
        </is>
      </c>
      <c r="Q559" t="inlineStr">
        <is>
          <t>DAIANE STAVICKI</t>
        </is>
      </c>
      <c r="S559" t="inlineStr">
        <is>
          <t>ZR - NAO APLICAVEL</t>
        </is>
      </c>
      <c r="T559" t="inlineStr">
        <is>
          <t>ZV - NAO APLICAVEL</t>
        </is>
      </c>
      <c r="V559" t="inlineStr">
        <is>
          <t>demais</t>
        </is>
      </c>
      <c r="W559" t="inlineStr">
        <is>
          <t>REDES E FRANQUIAS</t>
        </is>
      </c>
    </row>
    <row r="560" ht="15" customHeight="1">
      <c r="A560" t="n">
        <v>0</v>
      </c>
      <c r="B560" t="inlineStr">
        <is>
          <t>ROXO</t>
        </is>
      </c>
      <c r="C560" t="n">
        <v>10200</v>
      </c>
      <c r="D560" t="n">
        <v>0</v>
      </c>
      <c r="E560" t="n">
        <v>10200</v>
      </c>
      <c r="F560" s="6" t="n">
        <v>0</v>
      </c>
      <c r="G560" t="inlineStr">
        <is>
          <t>VIDA LEVE</t>
        </is>
      </c>
      <c r="H560" t="inlineStr">
        <is>
          <t>RS</t>
        </is>
      </c>
      <c r="I560" t="n">
        <v>51978432995</v>
      </c>
      <c r="J560" t="inlineStr">
        <is>
          <t>Inativo</t>
        </is>
      </c>
      <c r="K560" t="inlineStr">
        <is>
          <t>VIDA LEVE</t>
        </is>
      </c>
      <c r="L560" t="inlineStr">
        <is>
          <t>RS</t>
        </is>
      </c>
      <c r="M560" t="n">
        <v>51978432995</v>
      </c>
      <c r="N560" t="n">
        <v>0</v>
      </c>
      <c r="O560" t="n">
        <v>850</v>
      </c>
      <c r="P560" t="inlineStr">
        <is>
          <t>03 - NACIONAL</t>
        </is>
      </c>
      <c r="Q560" t="inlineStr">
        <is>
          <t>HEMANUELE DITZEL (MANU)</t>
        </is>
      </c>
      <c r="S560" t="inlineStr">
        <is>
          <t>ZR - NAO APLICAVEL</t>
        </is>
      </c>
      <c r="T560" t="inlineStr">
        <is>
          <t>HEMANUELE ROSA DITZEL</t>
        </is>
      </c>
      <c r="V560" t="inlineStr">
        <is>
          <t>demais</t>
        </is>
      </c>
      <c r="W560" t="inlineStr">
        <is>
          <t>REDES E FRANQUIAS</t>
        </is>
      </c>
    </row>
    <row r="561" ht="15" customHeight="1">
      <c r="A561" t="n">
        <v>0</v>
      </c>
      <c r="B561" t="inlineStr">
        <is>
          <t>ROXO</t>
        </is>
      </c>
      <c r="C561" t="n">
        <v>6566.04</v>
      </c>
      <c r="D561" t="n">
        <v>0</v>
      </c>
      <c r="E561" t="n">
        <v>6566.04</v>
      </c>
      <c r="F561" s="6" t="n">
        <v>0</v>
      </c>
      <c r="G561" t="inlineStr">
        <is>
          <t>DIVINA TERRA</t>
        </is>
      </c>
      <c r="H561" t="inlineStr">
        <is>
          <t>RS</t>
        </is>
      </c>
      <c r="I561" t="n">
        <v>5130881170</v>
      </c>
      <c r="J561" t="inlineStr">
        <is>
          <t>Inativo</t>
        </is>
      </c>
      <c r="K561" t="inlineStr">
        <is>
          <t>DIVINA TERRA</t>
        </is>
      </c>
      <c r="L561" t="inlineStr">
        <is>
          <t>RS</t>
        </is>
      </c>
      <c r="M561" t="n">
        <v>5130881170</v>
      </c>
      <c r="N561" t="n">
        <v>0</v>
      </c>
      <c r="O561" t="n">
        <v>547.17</v>
      </c>
      <c r="P561" t="inlineStr">
        <is>
          <t>03 - NACIONAL</t>
        </is>
      </c>
      <c r="Q561" t="inlineStr">
        <is>
          <t>HEMANUELE DITZEL (MANU)</t>
        </is>
      </c>
      <c r="S561" t="inlineStr">
        <is>
          <t>ZR - NAO APLICAVEL</t>
        </is>
      </c>
      <c r="T561" t="inlineStr">
        <is>
          <t>HEMANUELE ROSA DITZEL</t>
        </is>
      </c>
      <c r="V561" t="inlineStr">
        <is>
          <t>demais</t>
        </is>
      </c>
      <c r="W561" t="inlineStr">
        <is>
          <t>REDES E FRANQUIAS</t>
        </is>
      </c>
    </row>
    <row r="562" ht="15" customHeight="1">
      <c r="A562" t="n">
        <v>0</v>
      </c>
      <c r="B562" t="inlineStr">
        <is>
          <t>ROXO</t>
        </is>
      </c>
      <c r="C562" t="n">
        <v>10875</v>
      </c>
      <c r="D562" t="n">
        <v>0</v>
      </c>
      <c r="E562" t="n">
        <v>10875</v>
      </c>
      <c r="F562" s="6" t="n">
        <v>0</v>
      </c>
      <c r="G562" t="inlineStr">
        <is>
          <t>CIA DA SAUDE</t>
        </is>
      </c>
      <c r="H562" t="inlineStr">
        <is>
          <t>RS</t>
        </is>
      </c>
      <c r="I562" t="n">
        <v>5198326810</v>
      </c>
      <c r="J562" t="inlineStr">
        <is>
          <t>Inativo</t>
        </is>
      </c>
      <c r="K562" t="inlineStr">
        <is>
          <t>CIA DA SAUDE</t>
        </is>
      </c>
      <c r="L562" t="inlineStr">
        <is>
          <t>RS</t>
        </is>
      </c>
      <c r="M562" t="n">
        <v>5198326810</v>
      </c>
      <c r="N562" t="n">
        <v>0</v>
      </c>
      <c r="O562" t="n">
        <v>906.25</v>
      </c>
      <c r="P562" t="inlineStr">
        <is>
          <t>03 - NACIONAL</t>
        </is>
      </c>
      <c r="Q562" t="inlineStr">
        <is>
          <t>HEMANUELE DITZEL (MANU)</t>
        </is>
      </c>
      <c r="S562" t="inlineStr">
        <is>
          <t>ZR - NAO APLICAVEL</t>
        </is>
      </c>
      <c r="T562" t="inlineStr">
        <is>
          <t>HEMANUELE ROSA DITZEL</t>
        </is>
      </c>
      <c r="V562" t="inlineStr">
        <is>
          <t>demais</t>
        </is>
      </c>
      <c r="W562" t="inlineStr">
        <is>
          <t>REDES E FRANQUIAS</t>
        </is>
      </c>
    </row>
    <row r="563" ht="15" customHeight="1">
      <c r="A563" t="n">
        <v>0</v>
      </c>
      <c r="B563" t="inlineStr">
        <is>
          <t>ROXO</t>
        </is>
      </c>
      <c r="C563" t="n">
        <v>6566.04</v>
      </c>
      <c r="D563" t="n">
        <v>0</v>
      </c>
      <c r="E563" t="n">
        <v>6566.04</v>
      </c>
      <c r="F563" s="6" t="n">
        <v>0</v>
      </c>
      <c r="G563" t="inlineStr">
        <is>
          <t>DIVINA TERRA</t>
        </is>
      </c>
      <c r="H563" t="inlineStr">
        <is>
          <t>RS</t>
        </is>
      </c>
      <c r="I563" t="n">
        <v>5198059537</v>
      </c>
      <c r="J563" t="inlineStr">
        <is>
          <t>Inativo</t>
        </is>
      </c>
      <c r="K563" t="inlineStr">
        <is>
          <t>DIVINA TERRA</t>
        </is>
      </c>
      <c r="L563" t="inlineStr">
        <is>
          <t>RS</t>
        </is>
      </c>
      <c r="M563" t="n">
        <v>5198059537</v>
      </c>
      <c r="N563" t="n">
        <v>0</v>
      </c>
      <c r="O563" t="n">
        <v>547.17</v>
      </c>
      <c r="P563" t="inlineStr">
        <is>
          <t>03 - NACIONAL</t>
        </is>
      </c>
      <c r="Q563" t="inlineStr">
        <is>
          <t>HEMANUELE DITZEL (MANU)</t>
        </is>
      </c>
      <c r="S563" t="inlineStr">
        <is>
          <t>ZR - NAO APLICAVEL</t>
        </is>
      </c>
      <c r="T563" t="inlineStr">
        <is>
          <t>HEMANUELE ROSA DITZEL</t>
        </is>
      </c>
      <c r="V563" t="inlineStr">
        <is>
          <t>demais</t>
        </is>
      </c>
      <c r="W563" t="inlineStr">
        <is>
          <t>REDES E FRANQUIAS</t>
        </is>
      </c>
    </row>
    <row r="564" ht="15" customHeight="1">
      <c r="A564" t="n">
        <v>0</v>
      </c>
      <c r="B564" t="inlineStr">
        <is>
          <t>ROXO</t>
        </is>
      </c>
      <c r="C564" t="n">
        <v>6566.04</v>
      </c>
      <c r="D564" t="n">
        <v>0</v>
      </c>
      <c r="E564" t="n">
        <v>6566.04</v>
      </c>
      <c r="F564" s="6" t="n">
        <v>0</v>
      </c>
      <c r="G564" t="inlineStr">
        <is>
          <t>DIVINA TERRA</t>
        </is>
      </c>
      <c r="H564" t="inlineStr">
        <is>
          <t>RS</t>
        </is>
      </c>
      <c r="I564" t="n">
        <v>5121605809</v>
      </c>
      <c r="J564" t="inlineStr">
        <is>
          <t>Inativo</t>
        </is>
      </c>
      <c r="K564" t="inlineStr">
        <is>
          <t>DIVINA TERRA</t>
        </is>
      </c>
      <c r="L564" t="inlineStr">
        <is>
          <t>RS</t>
        </is>
      </c>
      <c r="M564" t="n">
        <v>5121605809</v>
      </c>
      <c r="N564" t="n">
        <v>0</v>
      </c>
      <c r="O564" t="n">
        <v>547.17</v>
      </c>
      <c r="P564" t="inlineStr">
        <is>
          <t>03 - NACIONAL</t>
        </is>
      </c>
      <c r="Q564" t="inlineStr">
        <is>
          <t>HEMANUELE DITZEL (MANU)</t>
        </is>
      </c>
      <c r="S564" t="inlineStr">
        <is>
          <t>ZR - NAO APLICAVEL</t>
        </is>
      </c>
      <c r="T564" t="inlineStr">
        <is>
          <t>HEMANUELE ROSA DITZEL</t>
        </is>
      </c>
      <c r="V564" t="inlineStr">
        <is>
          <t>demais</t>
        </is>
      </c>
      <c r="W564" t="inlineStr">
        <is>
          <t>REDES E FRANQUIAS</t>
        </is>
      </c>
    </row>
    <row r="565" ht="15" customHeight="1">
      <c r="A565" t="n">
        <v>0</v>
      </c>
      <c r="B565" t="inlineStr">
        <is>
          <t>ROXO</t>
        </is>
      </c>
      <c r="C565" t="n">
        <v>6566.04</v>
      </c>
      <c r="D565" t="n">
        <v>0</v>
      </c>
      <c r="E565" t="n">
        <v>6566.04</v>
      </c>
      <c r="F565" s="6" t="n">
        <v>0</v>
      </c>
      <c r="G565" t="inlineStr">
        <is>
          <t>DIVINA TERRA</t>
        </is>
      </c>
      <c r="H565" t="inlineStr">
        <is>
          <t>RS</t>
        </is>
      </c>
      <c r="I565" t="n">
        <v>54911206035</v>
      </c>
      <c r="J565" t="inlineStr">
        <is>
          <t>Inativo</t>
        </is>
      </c>
      <c r="K565" t="inlineStr">
        <is>
          <t>DIVINA TERRA</t>
        </is>
      </c>
      <c r="L565" t="inlineStr">
        <is>
          <t>RS</t>
        </is>
      </c>
      <c r="M565" t="n">
        <v>54911206035</v>
      </c>
      <c r="N565" t="n">
        <v>0</v>
      </c>
      <c r="O565" t="n">
        <v>547.17</v>
      </c>
      <c r="P565" t="inlineStr">
        <is>
          <t>03 - NACIONAL</t>
        </is>
      </c>
      <c r="Q565" t="inlineStr">
        <is>
          <t>HEMANUELE DITZEL (MANU)</t>
        </is>
      </c>
      <c r="S565" t="inlineStr">
        <is>
          <t>ZR - NAO APLICAVEL</t>
        </is>
      </c>
      <c r="T565" t="inlineStr">
        <is>
          <t>HEMANUELE ROSA DITZEL</t>
        </is>
      </c>
      <c r="V565" t="inlineStr">
        <is>
          <t>demais</t>
        </is>
      </c>
      <c r="W565" t="inlineStr">
        <is>
          <t>REDES E FRANQUIAS</t>
        </is>
      </c>
    </row>
    <row r="566" ht="15" customHeight="1">
      <c r="A566" t="n">
        <v>0</v>
      </c>
      <c r="B566" t="inlineStr">
        <is>
          <t>ROXO</t>
        </is>
      </c>
      <c r="C566" t="n">
        <v>6566.04</v>
      </c>
      <c r="D566" t="n">
        <v>0</v>
      </c>
      <c r="E566" t="n">
        <v>6566.04</v>
      </c>
      <c r="F566" s="6" t="n">
        <v>0</v>
      </c>
      <c r="G566" t="inlineStr">
        <is>
          <t>DIVINA TERRA</t>
        </is>
      </c>
      <c r="H566" t="inlineStr">
        <is>
          <t>RS</t>
        </is>
      </c>
      <c r="I566" t="n">
        <v>51999060096</v>
      </c>
      <c r="J566" t="inlineStr">
        <is>
          <t>Inativo</t>
        </is>
      </c>
      <c r="K566" t="inlineStr">
        <is>
          <t>DIVINA TERRA</t>
        </is>
      </c>
      <c r="L566" t="inlineStr">
        <is>
          <t>RS</t>
        </is>
      </c>
      <c r="M566" t="n">
        <v>51999060096</v>
      </c>
      <c r="N566" t="n">
        <v>0</v>
      </c>
      <c r="O566" t="n">
        <v>547.17</v>
      </c>
      <c r="P566" t="inlineStr">
        <is>
          <t>03 - NACIONAL</t>
        </is>
      </c>
      <c r="Q566" t="inlineStr">
        <is>
          <t>DAIANE STAVICKI</t>
        </is>
      </c>
      <c r="S566" t="inlineStr">
        <is>
          <t>ZR - NAO APLICAVEL</t>
        </is>
      </c>
      <c r="T566" t="inlineStr">
        <is>
          <t>ZV - NAO APLICAVEL</t>
        </is>
      </c>
      <c r="V566" t="inlineStr">
        <is>
          <t>demais</t>
        </is>
      </c>
      <c r="W566" t="inlineStr">
        <is>
          <t>REDES E FRANQUIAS</t>
        </is>
      </c>
    </row>
    <row r="567" ht="15" customHeight="1">
      <c r="A567" t="n">
        <v>0</v>
      </c>
      <c r="B567" t="inlineStr">
        <is>
          <t>ROXO</t>
        </is>
      </c>
      <c r="C567" t="n">
        <v>6566.04</v>
      </c>
      <c r="D567" t="n">
        <v>0</v>
      </c>
      <c r="E567" t="n">
        <v>6566.04</v>
      </c>
      <c r="F567" s="6" t="n">
        <v>0</v>
      </c>
      <c r="G567" t="inlineStr">
        <is>
          <t>DIVINA TERRA</t>
        </is>
      </c>
      <c r="H567" t="inlineStr">
        <is>
          <t>RS</t>
        </is>
      </c>
      <c r="I567" t="n">
        <v>51999868288</v>
      </c>
      <c r="J567" t="inlineStr">
        <is>
          <t>Inativo</t>
        </is>
      </c>
      <c r="K567" t="inlineStr">
        <is>
          <t>DIVINA TERRA</t>
        </is>
      </c>
      <c r="L567" t="inlineStr">
        <is>
          <t>RS</t>
        </is>
      </c>
      <c r="M567" t="n">
        <v>51999868288</v>
      </c>
      <c r="N567" t="n">
        <v>0</v>
      </c>
      <c r="O567" t="n">
        <v>547.17</v>
      </c>
      <c r="P567" t="inlineStr">
        <is>
          <t>03 - NACIONAL</t>
        </is>
      </c>
      <c r="Q567" t="inlineStr">
        <is>
          <t>DAIANE STAVICKI</t>
        </is>
      </c>
      <c r="S567" t="inlineStr">
        <is>
          <t>ZR - NAO APLICAVEL</t>
        </is>
      </c>
      <c r="T567" t="inlineStr">
        <is>
          <t>ZV - NAO APLICAVEL</t>
        </is>
      </c>
      <c r="V567" t="inlineStr">
        <is>
          <t>demais</t>
        </is>
      </c>
      <c r="W567" t="inlineStr">
        <is>
          <t>REDES E FRANQUIAS</t>
        </is>
      </c>
    </row>
    <row r="568" ht="15" customHeight="1">
      <c r="A568" t="n">
        <v>0</v>
      </c>
      <c r="B568" t="inlineStr">
        <is>
          <t>ROXO</t>
        </is>
      </c>
      <c r="C568" t="n">
        <v>6566.04</v>
      </c>
      <c r="D568" t="n">
        <v>0</v>
      </c>
      <c r="E568" t="n">
        <v>6566.04</v>
      </c>
      <c r="F568" s="6" t="n">
        <v>0</v>
      </c>
      <c r="G568" t="inlineStr">
        <is>
          <t>DIVINA TERRA</t>
        </is>
      </c>
      <c r="H568" t="inlineStr">
        <is>
          <t>RS</t>
        </is>
      </c>
      <c r="I568" t="n">
        <v>54341205505</v>
      </c>
      <c r="J568" t="inlineStr">
        <is>
          <t>Inativo</t>
        </is>
      </c>
      <c r="K568" t="inlineStr">
        <is>
          <t>DIVINA TERRA</t>
        </is>
      </c>
      <c r="L568" t="inlineStr">
        <is>
          <t>RS</t>
        </is>
      </c>
      <c r="M568" t="n">
        <v>54341205505</v>
      </c>
      <c r="N568" t="n">
        <v>0</v>
      </c>
      <c r="O568" t="n">
        <v>547.17</v>
      </c>
      <c r="P568" t="inlineStr">
        <is>
          <t>03 - NACIONAL</t>
        </is>
      </c>
      <c r="Q568" t="inlineStr">
        <is>
          <t>DAIANE STAVICKI</t>
        </is>
      </c>
      <c r="S568" t="inlineStr">
        <is>
          <t>ZR - NAO APLICAVEL</t>
        </is>
      </c>
      <c r="T568" t="inlineStr">
        <is>
          <t>ZV - NAO APLICAVEL</t>
        </is>
      </c>
      <c r="V568" t="inlineStr">
        <is>
          <t>demais</t>
        </is>
      </c>
      <c r="W568" t="inlineStr">
        <is>
          <t>REDES E FRANQUIAS</t>
        </is>
      </c>
    </row>
    <row r="569" ht="15" customHeight="1">
      <c r="A569" t="n">
        <v>0</v>
      </c>
      <c r="B569" t="inlineStr">
        <is>
          <t>ROXO</t>
        </is>
      </c>
      <c r="C569" t="n">
        <v>6566.04</v>
      </c>
      <c r="D569" t="n">
        <v>0</v>
      </c>
      <c r="E569" t="n">
        <v>6566.04</v>
      </c>
      <c r="F569" s="6" t="n">
        <v>0</v>
      </c>
      <c r="G569" t="inlineStr">
        <is>
          <t>DIVINA TERRA</t>
        </is>
      </c>
      <c r="H569" t="inlineStr">
        <is>
          <t>RS</t>
        </is>
      </c>
      <c r="I569" t="n">
        <v>5481337313</v>
      </c>
      <c r="J569" t="inlineStr">
        <is>
          <t>Inativo</t>
        </is>
      </c>
      <c r="K569" t="inlineStr">
        <is>
          <t>DIVINA TERRA</t>
        </is>
      </c>
      <c r="L569" t="inlineStr">
        <is>
          <t>RS</t>
        </is>
      </c>
      <c r="M569" t="n">
        <v>5481337313</v>
      </c>
      <c r="N569" t="n">
        <v>0</v>
      </c>
      <c r="O569" t="n">
        <v>547.17</v>
      </c>
      <c r="P569" t="inlineStr">
        <is>
          <t>03 - NACIONAL</t>
        </is>
      </c>
      <c r="Q569" t="inlineStr">
        <is>
          <t>HEMANUELE DITZEL (MANU)</t>
        </is>
      </c>
      <c r="S569" t="inlineStr">
        <is>
          <t>ZR - NAO APLICAVEL</t>
        </is>
      </c>
      <c r="T569" t="inlineStr">
        <is>
          <t>HEMANUELE ROSA DITZEL</t>
        </is>
      </c>
      <c r="V569" t="inlineStr">
        <is>
          <t>demais</t>
        </is>
      </c>
      <c r="W569" t="inlineStr">
        <is>
          <t>REDES E FRANQUIAS</t>
        </is>
      </c>
    </row>
    <row r="570" ht="15" customHeight="1">
      <c r="A570" t="n">
        <v>0</v>
      </c>
      <c r="B570" t="inlineStr">
        <is>
          <t>ROXO</t>
        </is>
      </c>
      <c r="C570" t="n">
        <v>6566.04</v>
      </c>
      <c r="D570" t="n">
        <v>0</v>
      </c>
      <c r="E570" t="n">
        <v>6566.04</v>
      </c>
      <c r="F570" s="6" t="n">
        <v>0</v>
      </c>
      <c r="G570" t="inlineStr">
        <is>
          <t>DIVINA TERRA</t>
        </is>
      </c>
      <c r="H570" t="inlineStr">
        <is>
          <t>RS</t>
        </is>
      </c>
      <c r="I570" t="n">
        <v>4791983912</v>
      </c>
      <c r="J570" t="inlineStr">
        <is>
          <t>Inativo</t>
        </is>
      </c>
      <c r="K570" t="inlineStr">
        <is>
          <t>DIVINA TERRA</t>
        </is>
      </c>
      <c r="L570" t="inlineStr">
        <is>
          <t>RS</t>
        </is>
      </c>
      <c r="M570" t="n">
        <v>4791983912</v>
      </c>
      <c r="N570" t="n">
        <v>0</v>
      </c>
      <c r="O570" t="n">
        <v>547.17</v>
      </c>
      <c r="P570" t="inlineStr">
        <is>
          <t>03 - NACIONAL</t>
        </is>
      </c>
      <c r="Q570" t="inlineStr">
        <is>
          <t>DAIANE STAVICKI</t>
        </is>
      </c>
      <c r="S570" t="inlineStr">
        <is>
          <t>ZR - NAO APLICAVEL</t>
        </is>
      </c>
      <c r="T570" t="inlineStr">
        <is>
          <t>ZV - NAO APLICAVEL</t>
        </is>
      </c>
      <c r="V570" t="inlineStr">
        <is>
          <t>demais</t>
        </is>
      </c>
      <c r="W570" t="inlineStr">
        <is>
          <t>REDES E FRANQUIAS</t>
        </is>
      </c>
    </row>
    <row r="571" ht="15" customHeight="1">
      <c r="A571" t="n">
        <v>0</v>
      </c>
      <c r="B571" t="inlineStr">
        <is>
          <t>ROXO</t>
        </is>
      </c>
      <c r="C571" t="n">
        <v>7200</v>
      </c>
      <c r="D571" t="n">
        <v>0</v>
      </c>
      <c r="E571" t="n">
        <v>7200</v>
      </c>
      <c r="F571" s="6" t="n">
        <v>0</v>
      </c>
      <c r="G571" t="inlineStr">
        <is>
          <t>ARMAZEM FIT STORE</t>
        </is>
      </c>
      <c r="H571" t="inlineStr">
        <is>
          <t>RS</t>
        </is>
      </c>
      <c r="I571" t="n">
        <v>54996971028</v>
      </c>
      <c r="J571" t="inlineStr">
        <is>
          <t>Inativo</t>
        </is>
      </c>
      <c r="K571" t="inlineStr">
        <is>
          <t>ARMAZEM FIT STORE</t>
        </is>
      </c>
      <c r="L571" t="inlineStr">
        <is>
          <t>RS</t>
        </is>
      </c>
      <c r="M571" t="n">
        <v>54996971028</v>
      </c>
      <c r="N571" t="n">
        <v>0</v>
      </c>
      <c r="O571" t="n">
        <v>600</v>
      </c>
      <c r="P571" t="inlineStr">
        <is>
          <t>03 - SUL</t>
        </is>
      </c>
      <c r="Q571" t="inlineStr">
        <is>
          <t>HEMANUELE DITZEL (MANU)</t>
        </is>
      </c>
      <c r="S571" t="inlineStr">
        <is>
          <t>ZR - NAO APLICAVEL</t>
        </is>
      </c>
      <c r="T571" t="inlineStr">
        <is>
          <t>HEMANUELE ROSA DITZEL</t>
        </is>
      </c>
      <c r="V571" t="inlineStr">
        <is>
          <t>demais</t>
        </is>
      </c>
      <c r="W571" t="inlineStr">
        <is>
          <t>REDES E FRANQUIAS</t>
        </is>
      </c>
    </row>
    <row r="572" ht="15" customHeight="1">
      <c r="A572" t="n">
        <v>0</v>
      </c>
      <c r="B572" t="inlineStr">
        <is>
          <t>ROXO</t>
        </is>
      </c>
      <c r="C572" t="n">
        <v>8833.33</v>
      </c>
      <c r="D572" t="n">
        <v>0</v>
      </c>
      <c r="E572" t="n">
        <v>8833.33</v>
      </c>
      <c r="F572" s="6" t="n">
        <v>0</v>
      </c>
      <c r="G572" t="inlineStr">
        <is>
          <t>TUDO EM GRAOS / VGA</t>
        </is>
      </c>
      <c r="H572" t="inlineStr">
        <is>
          <t>SC</t>
        </is>
      </c>
      <c r="I572" t="n">
        <v>48991032636</v>
      </c>
      <c r="J572" t="inlineStr">
        <is>
          <t>Inativo</t>
        </is>
      </c>
      <c r="K572" t="inlineStr">
        <is>
          <t>TUDO EM GRAOS</t>
        </is>
      </c>
      <c r="L572" t="inlineStr">
        <is>
          <t>SC</t>
        </is>
      </c>
      <c r="M572" t="n">
        <v>48991032636</v>
      </c>
      <c r="N572" t="n">
        <v>0</v>
      </c>
      <c r="O572" t="n">
        <v>736.11</v>
      </c>
      <c r="P572" t="inlineStr">
        <is>
          <t>03 - NACIONAL</t>
        </is>
      </c>
      <c r="Q572" t="inlineStr">
        <is>
          <t>DAIANE STAVICKI</t>
        </is>
      </c>
      <c r="S572" t="inlineStr">
        <is>
          <t>ZR - NAO APLICAVEL</t>
        </is>
      </c>
      <c r="T572" t="inlineStr">
        <is>
          <t>ZV - NAO APLICAVEL</t>
        </is>
      </c>
      <c r="V572" t="inlineStr">
        <is>
          <t>demais</t>
        </is>
      </c>
      <c r="W572" t="inlineStr">
        <is>
          <t>REDES E FRANQUIAS</t>
        </is>
      </c>
    </row>
    <row r="573" ht="15" customHeight="1">
      <c r="A573" t="n">
        <v>0</v>
      </c>
      <c r="B573" t="inlineStr">
        <is>
          <t>ROXO</t>
        </is>
      </c>
      <c r="C573" t="n">
        <v>10875</v>
      </c>
      <c r="D573" t="n">
        <v>0</v>
      </c>
      <c r="E573" t="n">
        <v>10875</v>
      </c>
      <c r="F573" s="6" t="n">
        <v>0</v>
      </c>
      <c r="G573" t="inlineStr">
        <is>
          <t>CIA DA SAUDE</t>
        </is>
      </c>
      <c r="H573" t="inlineStr">
        <is>
          <t>SC</t>
        </is>
      </c>
      <c r="I573" t="n">
        <v>48306564114</v>
      </c>
      <c r="J573" t="inlineStr">
        <is>
          <t>Inativo</t>
        </is>
      </c>
      <c r="K573" t="inlineStr">
        <is>
          <t>CIA DA SAUDE</t>
        </is>
      </c>
      <c r="L573" t="inlineStr">
        <is>
          <t>SC</t>
        </is>
      </c>
      <c r="M573" t="n">
        <v>48306564114</v>
      </c>
      <c r="N573" t="n">
        <v>0</v>
      </c>
      <c r="O573" t="n">
        <v>906.25</v>
      </c>
      <c r="P573" t="inlineStr">
        <is>
          <t>03 - NACIONAL</t>
        </is>
      </c>
      <c r="Q573" t="inlineStr">
        <is>
          <t>JULIO GADRET</t>
        </is>
      </c>
      <c r="S573" t="inlineStr">
        <is>
          <t>LG REPRESENTACOES LTDA - EPP</t>
        </is>
      </c>
      <c r="T573" t="inlineStr">
        <is>
          <t>ZV - NAO APLICAVEL</t>
        </is>
      </c>
      <c r="V573" t="inlineStr">
        <is>
          <t>demais</t>
        </is>
      </c>
      <c r="W573" t="inlineStr">
        <is>
          <t>REDES E FRANQUIAS</t>
        </is>
      </c>
    </row>
    <row r="574" ht="15" customHeight="1">
      <c r="A574" t="n">
        <v>0</v>
      </c>
      <c r="B574" t="inlineStr">
        <is>
          <t>ROXO</t>
        </is>
      </c>
      <c r="C574" t="n">
        <v>10706.9</v>
      </c>
      <c r="D574" t="n">
        <v>0</v>
      </c>
      <c r="E574" t="n">
        <v>10706.9</v>
      </c>
      <c r="F574" s="6" t="n">
        <v>0</v>
      </c>
      <c r="G574" t="inlineStr">
        <is>
          <t>FITLAND</t>
        </is>
      </c>
      <c r="H574" t="inlineStr">
        <is>
          <t>SC</t>
        </is>
      </c>
      <c r="I574" t="n">
        <v>4899454161</v>
      </c>
      <c r="J574" t="inlineStr">
        <is>
          <t>Inativo</t>
        </is>
      </c>
      <c r="K574" t="inlineStr">
        <is>
          <t>FITLAND</t>
        </is>
      </c>
      <c r="L574" t="inlineStr">
        <is>
          <t>SC</t>
        </is>
      </c>
      <c r="M574" t="n">
        <v>4899454161</v>
      </c>
      <c r="N574" t="n">
        <v>0</v>
      </c>
      <c r="O574" t="n">
        <v>892.24</v>
      </c>
      <c r="P574" t="inlineStr">
        <is>
          <t>03 - NACIONAL</t>
        </is>
      </c>
      <c r="Q574" t="inlineStr">
        <is>
          <t>JULIO GADRET</t>
        </is>
      </c>
      <c r="S574" t="inlineStr">
        <is>
          <t>ZR - NAO APLICAVEL</t>
        </is>
      </c>
      <c r="T574" t="inlineStr">
        <is>
          <t>ZV - NAO APLICAVEL</t>
        </is>
      </c>
      <c r="V574" t="inlineStr">
        <is>
          <t>demais</t>
        </is>
      </c>
      <c r="W574" t="inlineStr">
        <is>
          <t>REDES E FRANQUIAS</t>
        </is>
      </c>
    </row>
    <row r="575" ht="15" customHeight="1">
      <c r="A575" t="n">
        <v>0</v>
      </c>
      <c r="B575" t="inlineStr">
        <is>
          <t>ROXO</t>
        </is>
      </c>
      <c r="C575" t="n">
        <v>10875</v>
      </c>
      <c r="D575" t="n">
        <v>0</v>
      </c>
      <c r="E575" t="n">
        <v>10875</v>
      </c>
      <c r="F575" s="6" t="n">
        <v>0</v>
      </c>
      <c r="G575" t="inlineStr">
        <is>
          <t>CIA DA SAUDE</t>
        </is>
      </c>
      <c r="H575" t="inlineStr">
        <is>
          <t>SC</t>
        </is>
      </c>
      <c r="I575" t="n">
        <v>48991945703</v>
      </c>
      <c r="J575" t="inlineStr">
        <is>
          <t>Inativo</t>
        </is>
      </c>
      <c r="K575" t="inlineStr">
        <is>
          <t>CIA DA SAUDE</t>
        </is>
      </c>
      <c r="L575" t="inlineStr">
        <is>
          <t>SC</t>
        </is>
      </c>
      <c r="M575" t="n">
        <v>48991945703</v>
      </c>
      <c r="N575" t="n">
        <v>0</v>
      </c>
      <c r="O575" t="n">
        <v>906.25</v>
      </c>
      <c r="P575" t="inlineStr">
        <is>
          <t>03 - NACIONAL</t>
        </is>
      </c>
      <c r="Q575" t="inlineStr">
        <is>
          <t>JULIO GADRET</t>
        </is>
      </c>
      <c r="S575" t="inlineStr">
        <is>
          <t>LG REPRESENTACOES LTDA - EPP</t>
        </is>
      </c>
      <c r="T575" t="inlineStr">
        <is>
          <t>ZV - NAO APLICAVEL</t>
        </is>
      </c>
      <c r="V575" t="inlineStr">
        <is>
          <t>demais</t>
        </is>
      </c>
      <c r="W575" t="inlineStr">
        <is>
          <t>REDES E FRANQUIAS</t>
        </is>
      </c>
    </row>
    <row r="576" ht="15" customHeight="1">
      <c r="A576" t="n">
        <v>0</v>
      </c>
      <c r="B576" t="inlineStr">
        <is>
          <t>ROXO</t>
        </is>
      </c>
      <c r="C576" t="n">
        <v>6566.04</v>
      </c>
      <c r="D576" t="n">
        <v>0</v>
      </c>
      <c r="E576" t="n">
        <v>6566.04</v>
      </c>
      <c r="F576" s="6" t="n">
        <v>0</v>
      </c>
      <c r="G576" t="inlineStr">
        <is>
          <t>DIVINA TERRA</t>
        </is>
      </c>
      <c r="H576" t="inlineStr">
        <is>
          <t>SC</t>
        </is>
      </c>
      <c r="I576" t="n">
        <v>48991619107</v>
      </c>
      <c r="J576" t="inlineStr">
        <is>
          <t>Inativo</t>
        </is>
      </c>
      <c r="K576" t="inlineStr">
        <is>
          <t>DIVINA TERRA</t>
        </is>
      </c>
      <c r="L576" t="inlineStr">
        <is>
          <t>SC</t>
        </is>
      </c>
      <c r="M576" t="n">
        <v>48991619107</v>
      </c>
      <c r="N576" t="n">
        <v>0</v>
      </c>
      <c r="O576" t="n">
        <v>547.17</v>
      </c>
      <c r="P576" t="inlineStr">
        <is>
          <t>03 - NACIONAL</t>
        </is>
      </c>
      <c r="Q576" t="inlineStr">
        <is>
          <t>JULIO GADRET</t>
        </is>
      </c>
      <c r="S576" t="inlineStr">
        <is>
          <t>LG REPRESENTACOES LTDA - EPP</t>
        </is>
      </c>
      <c r="T576" t="inlineStr">
        <is>
          <t>ZV - NAO APLICAVEL</t>
        </is>
      </c>
      <c r="V576" t="inlineStr">
        <is>
          <t>demais</t>
        </is>
      </c>
      <c r="W576" t="inlineStr">
        <is>
          <t>REDES E FRANQUIAS</t>
        </is>
      </c>
    </row>
    <row r="577" ht="15" customHeight="1">
      <c r="A577" t="n">
        <v>0</v>
      </c>
      <c r="B577" t="inlineStr">
        <is>
          <t>ROXO</t>
        </is>
      </c>
      <c r="C577" t="n">
        <v>6566.04</v>
      </c>
      <c r="D577" t="n">
        <v>0</v>
      </c>
      <c r="E577" t="n">
        <v>6566.04</v>
      </c>
      <c r="F577" s="6" t="n">
        <v>0</v>
      </c>
      <c r="G577" t="inlineStr">
        <is>
          <t>DIVINA TERRA</t>
        </is>
      </c>
      <c r="H577" t="inlineStr">
        <is>
          <t>PR</t>
        </is>
      </c>
      <c r="I577" t="n">
        <v>0</v>
      </c>
      <c r="J577" t="inlineStr">
        <is>
          <t>Inativo</t>
        </is>
      </c>
      <c r="K577" t="inlineStr">
        <is>
          <t>DIVINA TERRA</t>
        </is>
      </c>
      <c r="L577" t="inlineStr">
        <is>
          <t>PR</t>
        </is>
      </c>
      <c r="M577" t="n">
        <v>0</v>
      </c>
      <c r="N577" t="n">
        <v>0</v>
      </c>
      <c r="O577" t="n">
        <v>547.17</v>
      </c>
      <c r="P577" t="inlineStr">
        <is>
          <t>03 - NACIONAL</t>
        </is>
      </c>
      <c r="Q577" t="inlineStr">
        <is>
          <t>HEMANUELE DITZEL (MANU)</t>
        </is>
      </c>
      <c r="S577" t="inlineStr">
        <is>
          <t>ZR - NAO APLICAVEL</t>
        </is>
      </c>
      <c r="T577" t="inlineStr">
        <is>
          <t>HEMANUELE ROSA DITZEL</t>
        </is>
      </c>
      <c r="V577" t="inlineStr">
        <is>
          <t>demais</t>
        </is>
      </c>
      <c r="W577" t="inlineStr">
        <is>
          <t>REDES E FRANQUIAS</t>
        </is>
      </c>
    </row>
    <row r="578" ht="15" customHeight="1">
      <c r="A578" t="n">
        <v>0</v>
      </c>
      <c r="B578" t="inlineStr">
        <is>
          <t>ROXO</t>
        </is>
      </c>
      <c r="C578" t="n">
        <v>10875</v>
      </c>
      <c r="D578" t="n">
        <v>0</v>
      </c>
      <c r="E578" t="n">
        <v>10875</v>
      </c>
      <c r="F578" s="6" t="n">
        <v>0</v>
      </c>
      <c r="G578" t="inlineStr">
        <is>
          <t>CIA DA SAUDE</t>
        </is>
      </c>
      <c r="H578" t="inlineStr">
        <is>
          <t>PR</t>
        </is>
      </c>
      <c r="I578" t="n">
        <v>4195595101</v>
      </c>
      <c r="J578" t="inlineStr">
        <is>
          <t>Inativo</t>
        </is>
      </c>
      <c r="K578" t="inlineStr">
        <is>
          <t>CIA DA SAUDE</t>
        </is>
      </c>
      <c r="L578" t="inlineStr">
        <is>
          <t>PR</t>
        </is>
      </c>
      <c r="M578" t="n">
        <v>4195595101</v>
      </c>
      <c r="N578" t="n">
        <v>0</v>
      </c>
      <c r="O578" t="n">
        <v>906.25</v>
      </c>
      <c r="P578" t="inlineStr">
        <is>
          <t>03 - NACIONAL</t>
        </is>
      </c>
      <c r="Q578" t="inlineStr">
        <is>
          <t>JULIO GADRET</t>
        </is>
      </c>
      <c r="S578" t="inlineStr">
        <is>
          <t>LG REPRESENTACOES LTDA - EPP</t>
        </is>
      </c>
      <c r="T578" t="inlineStr">
        <is>
          <t>ZV - NAO APLICAVEL</t>
        </is>
      </c>
      <c r="V578" t="inlineStr">
        <is>
          <t>demais</t>
        </is>
      </c>
      <c r="W578" t="inlineStr">
        <is>
          <t>REDES E FRANQUIAS</t>
        </is>
      </c>
    </row>
    <row r="579" ht="15" customHeight="1">
      <c r="A579" t="n">
        <v>0</v>
      </c>
      <c r="B579" t="inlineStr">
        <is>
          <t>ROXO</t>
        </is>
      </c>
      <c r="C579" t="n">
        <v>6566.04</v>
      </c>
      <c r="D579" t="n">
        <v>0</v>
      </c>
      <c r="E579" t="n">
        <v>6566.04</v>
      </c>
      <c r="F579" s="6" t="n">
        <v>0</v>
      </c>
      <c r="G579" t="inlineStr">
        <is>
          <t>DIVINA TERRA</t>
        </is>
      </c>
      <c r="H579" t="inlineStr">
        <is>
          <t>SC</t>
        </is>
      </c>
      <c r="I579" t="n">
        <v>51997011934</v>
      </c>
      <c r="J579" t="inlineStr">
        <is>
          <t>Inativo</t>
        </is>
      </c>
      <c r="K579" t="inlineStr">
        <is>
          <t>DIVINA TERRA</t>
        </is>
      </c>
      <c r="L579" t="inlineStr">
        <is>
          <t>SC</t>
        </is>
      </c>
      <c r="M579" t="n">
        <v>51997011934</v>
      </c>
      <c r="N579" t="n">
        <v>0</v>
      </c>
      <c r="O579" t="n">
        <v>547.17</v>
      </c>
      <c r="P579" t="inlineStr">
        <is>
          <t>03 - NACIONAL</t>
        </is>
      </c>
      <c r="Q579" t="inlineStr">
        <is>
          <t>HEMANUELE DITZEL (MANU)</t>
        </is>
      </c>
      <c r="S579" t="inlineStr">
        <is>
          <t>ZR - NAO APLICAVEL</t>
        </is>
      </c>
      <c r="T579" t="inlineStr">
        <is>
          <t>HEMANUELE ROSA DITZEL</t>
        </is>
      </c>
      <c r="V579" t="inlineStr">
        <is>
          <t>demais</t>
        </is>
      </c>
      <c r="W579" t="inlineStr">
        <is>
          <t>REDES E FRANQUIAS</t>
        </is>
      </c>
    </row>
    <row r="580" ht="15" customHeight="1">
      <c r="A580" t="n">
        <v>0</v>
      </c>
      <c r="B580" t="inlineStr">
        <is>
          <t>ROXO</t>
        </is>
      </c>
      <c r="C580" t="n">
        <v>10875</v>
      </c>
      <c r="D580" t="n">
        <v>0</v>
      </c>
      <c r="E580" t="n">
        <v>10875</v>
      </c>
      <c r="F580" s="6" t="n">
        <v>0</v>
      </c>
      <c r="G580" t="inlineStr">
        <is>
          <t>CIA DA SAUDE</t>
        </is>
      </c>
      <c r="H580" t="inlineStr">
        <is>
          <t>SC</t>
        </is>
      </c>
      <c r="I580" t="n">
        <v>47984460123</v>
      </c>
      <c r="J580" t="inlineStr">
        <is>
          <t>Inativo</t>
        </is>
      </c>
      <c r="K580" t="inlineStr">
        <is>
          <t>CIA DA SAUDE</t>
        </is>
      </c>
      <c r="L580" t="inlineStr">
        <is>
          <t>SC</t>
        </is>
      </c>
      <c r="M580" t="n">
        <v>47984460123</v>
      </c>
      <c r="N580" t="n">
        <v>0</v>
      </c>
      <c r="O580" t="n">
        <v>906.25</v>
      </c>
      <c r="P580" t="inlineStr">
        <is>
          <t>03 - NACIONAL</t>
        </is>
      </c>
      <c r="Q580" t="inlineStr">
        <is>
          <t>JULIO GADRET</t>
        </is>
      </c>
      <c r="S580" t="inlineStr">
        <is>
          <t>LG REPRESENTACOES LTDA - EPP</t>
        </is>
      </c>
      <c r="T580" t="inlineStr">
        <is>
          <t>ZV - NAO APLICAVEL</t>
        </is>
      </c>
      <c r="V580" t="inlineStr">
        <is>
          <t>demais</t>
        </is>
      </c>
      <c r="W580" t="inlineStr">
        <is>
          <t>REDES E FRANQUIAS</t>
        </is>
      </c>
    </row>
    <row r="581" ht="15" customHeight="1">
      <c r="A581" t="n">
        <v>0</v>
      </c>
      <c r="B581" t="inlineStr">
        <is>
          <t>ROXO</t>
        </is>
      </c>
      <c r="C581" t="n">
        <v>10875</v>
      </c>
      <c r="D581" t="n">
        <v>0</v>
      </c>
      <c r="E581" t="n">
        <v>10875</v>
      </c>
      <c r="F581" s="6" t="n">
        <v>0</v>
      </c>
      <c r="G581" t="inlineStr">
        <is>
          <t>CIA DA SAUDE</t>
        </is>
      </c>
      <c r="H581" t="inlineStr">
        <is>
          <t>SC</t>
        </is>
      </c>
      <c r="I581" t="n">
        <v>4799670863</v>
      </c>
      <c r="J581" t="inlineStr">
        <is>
          <t>Inativo</t>
        </is>
      </c>
      <c r="K581" t="inlineStr">
        <is>
          <t>CIA DA SAUDE</t>
        </is>
      </c>
      <c r="L581" t="inlineStr">
        <is>
          <t>SC</t>
        </is>
      </c>
      <c r="M581" t="n">
        <v>4799670863</v>
      </c>
      <c r="N581" t="n">
        <v>0</v>
      </c>
      <c r="O581" t="n">
        <v>906.25</v>
      </c>
      <c r="P581" t="inlineStr">
        <is>
          <t>03 - NACIONAL</t>
        </is>
      </c>
      <c r="Q581" t="inlineStr">
        <is>
          <t>JULIO GADRET</t>
        </is>
      </c>
      <c r="S581" t="inlineStr">
        <is>
          <t>LG REPRESENTACOES LTDA - EPP</t>
        </is>
      </c>
      <c r="T581" t="inlineStr">
        <is>
          <t>ZV - NAO APLICAVEL</t>
        </is>
      </c>
      <c r="V581" t="inlineStr">
        <is>
          <t>demais</t>
        </is>
      </c>
      <c r="W581" t="inlineStr">
        <is>
          <t>REDES E FRANQUIAS</t>
        </is>
      </c>
    </row>
    <row r="582" ht="15" customHeight="1">
      <c r="A582" t="n">
        <v>0</v>
      </c>
      <c r="B582" t="inlineStr">
        <is>
          <t>ROXO</t>
        </is>
      </c>
      <c r="C582" t="n">
        <v>6566.04</v>
      </c>
      <c r="D582" t="n">
        <v>0</v>
      </c>
      <c r="E582" t="n">
        <v>6566.04</v>
      </c>
      <c r="F582" s="6" t="n">
        <v>0</v>
      </c>
      <c r="G582" t="inlineStr">
        <is>
          <t>DIVINA TERRA</t>
        </is>
      </c>
      <c r="H582" t="inlineStr">
        <is>
          <t>SC</t>
        </is>
      </c>
      <c r="I582" t="n">
        <v>48912662695</v>
      </c>
      <c r="J582" t="inlineStr">
        <is>
          <t>Inativo</t>
        </is>
      </c>
      <c r="K582" t="inlineStr">
        <is>
          <t>DIVINA TERRA</t>
        </is>
      </c>
      <c r="L582" t="inlineStr">
        <is>
          <t>SC</t>
        </is>
      </c>
      <c r="M582" t="n">
        <v>48912662695</v>
      </c>
      <c r="N582" t="n">
        <v>0</v>
      </c>
      <c r="O582" t="n">
        <v>547.17</v>
      </c>
      <c r="P582" t="inlineStr">
        <is>
          <t>03 - NACIONAL</t>
        </is>
      </c>
      <c r="Q582" t="inlineStr">
        <is>
          <t>DAIANE STAVICKI</t>
        </is>
      </c>
      <c r="S582" t="inlineStr">
        <is>
          <t>ZR - NAO APLICAVEL</t>
        </is>
      </c>
      <c r="T582" t="inlineStr">
        <is>
          <t>ZV - NAO APLICAVEL</t>
        </is>
      </c>
      <c r="V582" t="inlineStr">
        <is>
          <t>demais</t>
        </is>
      </c>
      <c r="W582" t="inlineStr">
        <is>
          <t>REDES E FRANQUIAS</t>
        </is>
      </c>
    </row>
    <row r="583" ht="15" customHeight="1">
      <c r="A583" t="n">
        <v>0</v>
      </c>
      <c r="B583" t="inlineStr">
        <is>
          <t>ROXO</t>
        </is>
      </c>
      <c r="C583" t="n">
        <v>10706.9</v>
      </c>
      <c r="D583" t="n">
        <v>0</v>
      </c>
      <c r="E583" t="n">
        <v>10706.9</v>
      </c>
      <c r="F583" s="6" t="n">
        <v>0</v>
      </c>
      <c r="G583" t="inlineStr">
        <is>
          <t>FITLAND</t>
        </is>
      </c>
      <c r="H583" t="inlineStr">
        <is>
          <t>SC</t>
        </is>
      </c>
      <c r="I583" t="n">
        <v>4733680373</v>
      </c>
      <c r="J583" t="inlineStr">
        <is>
          <t>Inativo</t>
        </is>
      </c>
      <c r="K583" t="inlineStr">
        <is>
          <t>FITLAND</t>
        </is>
      </c>
      <c r="L583" t="inlineStr">
        <is>
          <t>SC</t>
        </is>
      </c>
      <c r="M583" t="n">
        <v>4733680373</v>
      </c>
      <c r="N583" t="n">
        <v>0</v>
      </c>
      <c r="O583" t="n">
        <v>892.24</v>
      </c>
      <c r="P583" t="inlineStr">
        <is>
          <t>03 - NACIONAL</t>
        </is>
      </c>
      <c r="Q583" t="inlineStr">
        <is>
          <t>JULIO GADRET</t>
        </is>
      </c>
      <c r="S583" t="inlineStr">
        <is>
          <t>ZR - NAO APLICAVEL</t>
        </is>
      </c>
      <c r="T583" t="inlineStr">
        <is>
          <t>ZV - NAO APLICAVEL</t>
        </is>
      </c>
      <c r="V583" t="inlineStr">
        <is>
          <t>demais</t>
        </is>
      </c>
      <c r="W583" t="inlineStr">
        <is>
          <t>REDES E FRANQUIAS</t>
        </is>
      </c>
    </row>
    <row r="584" ht="15" customHeight="1">
      <c r="A584" t="n">
        <v>0</v>
      </c>
      <c r="B584" t="inlineStr">
        <is>
          <t>ROXO</t>
        </is>
      </c>
      <c r="C584" t="n">
        <v>10875</v>
      </c>
      <c r="D584" t="n">
        <v>0</v>
      </c>
      <c r="E584" t="n">
        <v>10875</v>
      </c>
      <c r="F584" s="6" t="n">
        <v>0</v>
      </c>
      <c r="G584" t="inlineStr">
        <is>
          <t>CIA DA SAUDE</t>
        </is>
      </c>
      <c r="H584" t="inlineStr">
        <is>
          <t>SC</t>
        </is>
      </c>
      <c r="I584" t="n">
        <v>48337193684</v>
      </c>
      <c r="J584" t="inlineStr">
        <is>
          <t>Inativo</t>
        </is>
      </c>
      <c r="K584" t="inlineStr">
        <is>
          <t>CIA DA SAUDE</t>
        </is>
      </c>
      <c r="L584" t="inlineStr">
        <is>
          <t>SC</t>
        </is>
      </c>
      <c r="M584" t="n">
        <v>48337193684</v>
      </c>
      <c r="N584" t="n">
        <v>0</v>
      </c>
      <c r="O584" t="n">
        <v>906.25</v>
      </c>
      <c r="P584" t="inlineStr">
        <is>
          <t>03 - NACIONAL</t>
        </is>
      </c>
      <c r="Q584" t="inlineStr">
        <is>
          <t>JULIO GADRET</t>
        </is>
      </c>
      <c r="S584" t="inlineStr">
        <is>
          <t>LG REPRESENTACOES LTDA - EPP</t>
        </is>
      </c>
      <c r="T584" t="inlineStr">
        <is>
          <t>ZV - NAO APLICAVEL</t>
        </is>
      </c>
      <c r="V584" t="inlineStr">
        <is>
          <t>demais</t>
        </is>
      </c>
      <c r="W584" t="inlineStr">
        <is>
          <t>REDES E FRANQUIAS</t>
        </is>
      </c>
    </row>
    <row r="585" ht="15" customHeight="1">
      <c r="A585" t="n">
        <v>0</v>
      </c>
      <c r="B585" t="inlineStr">
        <is>
          <t>ROXO</t>
        </is>
      </c>
      <c r="C585" t="n">
        <v>10875</v>
      </c>
      <c r="D585" t="n">
        <v>0</v>
      </c>
      <c r="E585" t="n">
        <v>10875</v>
      </c>
      <c r="F585" s="6" t="n">
        <v>0</v>
      </c>
      <c r="G585" t="inlineStr">
        <is>
          <t>CIA DA SAUDE</t>
        </is>
      </c>
      <c r="H585" t="inlineStr">
        <is>
          <t>SC</t>
        </is>
      </c>
      <c r="I585" t="n">
        <v>48999974522</v>
      </c>
      <c r="J585" t="inlineStr">
        <is>
          <t>Inativo</t>
        </is>
      </c>
      <c r="K585" t="inlineStr">
        <is>
          <t>CIA DA SAUDE</t>
        </is>
      </c>
      <c r="L585" t="inlineStr">
        <is>
          <t>SC</t>
        </is>
      </c>
      <c r="M585" t="n">
        <v>48999974522</v>
      </c>
      <c r="N585" t="n">
        <v>0</v>
      </c>
      <c r="O585" t="n">
        <v>906.25</v>
      </c>
      <c r="P585" t="inlineStr">
        <is>
          <t>03 - NACIONAL</t>
        </is>
      </c>
      <c r="Q585" t="inlineStr">
        <is>
          <t>JULIO GADRET</t>
        </is>
      </c>
      <c r="S585" t="inlineStr">
        <is>
          <t>LG REPRESENTACOES LTDA - EPP</t>
        </is>
      </c>
      <c r="T585" t="inlineStr">
        <is>
          <t>ZV - NAO APLICAVEL</t>
        </is>
      </c>
      <c r="V585" t="inlineStr">
        <is>
          <t>demais</t>
        </is>
      </c>
      <c r="W585" t="inlineStr">
        <is>
          <t>REDES E FRANQUIAS</t>
        </is>
      </c>
    </row>
    <row r="586" ht="15" customHeight="1">
      <c r="A586" t="n">
        <v>0</v>
      </c>
      <c r="B586" t="inlineStr">
        <is>
          <t>ROXO</t>
        </is>
      </c>
      <c r="C586" t="n">
        <v>6566.04</v>
      </c>
      <c r="D586" t="n">
        <v>0</v>
      </c>
      <c r="E586" t="n">
        <v>6566.04</v>
      </c>
      <c r="F586" s="6" t="n">
        <v>0</v>
      </c>
      <c r="G586" t="inlineStr">
        <is>
          <t>DIVINA TERRA</t>
        </is>
      </c>
      <c r="H586" t="inlineStr">
        <is>
          <t>SC</t>
        </is>
      </c>
      <c r="I586" t="n">
        <v>48309193006</v>
      </c>
      <c r="J586" t="inlineStr">
        <is>
          <t>Inativo</t>
        </is>
      </c>
      <c r="K586" t="inlineStr">
        <is>
          <t>DIVINA TERRA</t>
        </is>
      </c>
      <c r="L586" t="inlineStr">
        <is>
          <t>SC</t>
        </is>
      </c>
      <c r="M586" t="n">
        <v>48309193006</v>
      </c>
      <c r="N586" t="n">
        <v>0</v>
      </c>
      <c r="O586" t="n">
        <v>547.17</v>
      </c>
      <c r="P586" t="inlineStr">
        <is>
          <t>03 - NACIONAL</t>
        </is>
      </c>
      <c r="Q586" t="inlineStr">
        <is>
          <t>DAIANE STAVICKI</t>
        </is>
      </c>
      <c r="S586" t="inlineStr">
        <is>
          <t>ZR - NAO APLICAVEL</t>
        </is>
      </c>
      <c r="T586" t="inlineStr">
        <is>
          <t>ZV - NAO APLICAVEL</t>
        </is>
      </c>
      <c r="V586" t="inlineStr">
        <is>
          <t>demais</t>
        </is>
      </c>
      <c r="W586" t="inlineStr">
        <is>
          <t>REDES E FRANQUIAS</t>
        </is>
      </c>
    </row>
    <row r="587" ht="15" customHeight="1">
      <c r="A587" t="n">
        <v>0</v>
      </c>
      <c r="B587" t="inlineStr">
        <is>
          <t>ROXO</t>
        </is>
      </c>
      <c r="C587" t="n">
        <v>10875</v>
      </c>
      <c r="D587" t="n">
        <v>0</v>
      </c>
      <c r="E587" t="n">
        <v>10875</v>
      </c>
      <c r="F587" s="6" t="n">
        <v>0</v>
      </c>
      <c r="G587" t="inlineStr">
        <is>
          <t>CIA DA SAUDE</t>
        </is>
      </c>
      <c r="H587" t="inlineStr">
        <is>
          <t>SC</t>
        </is>
      </c>
      <c r="I587" t="n">
        <v>48323876674</v>
      </c>
      <c r="J587" t="inlineStr">
        <is>
          <t>Inativo</t>
        </is>
      </c>
      <c r="K587" t="inlineStr">
        <is>
          <t>CIA DA SAUDE</t>
        </is>
      </c>
      <c r="L587" t="inlineStr">
        <is>
          <t>SC</t>
        </is>
      </c>
      <c r="M587" t="n">
        <v>48323876674</v>
      </c>
      <c r="N587" t="n">
        <v>0</v>
      </c>
      <c r="O587" t="n">
        <v>906.25</v>
      </c>
      <c r="P587" t="inlineStr">
        <is>
          <t>03 - NACIONAL</t>
        </is>
      </c>
      <c r="Q587" t="inlineStr">
        <is>
          <t>JULIO GADRET</t>
        </is>
      </c>
      <c r="S587" t="inlineStr">
        <is>
          <t>LG REPRESENTACOES LTDA - EPP</t>
        </is>
      </c>
      <c r="T587" t="inlineStr">
        <is>
          <t>ZV - NAO APLICAVEL</t>
        </is>
      </c>
      <c r="V587" t="inlineStr">
        <is>
          <t>demais</t>
        </is>
      </c>
      <c r="W587" t="inlineStr">
        <is>
          <t>REDES E FRANQUIAS</t>
        </is>
      </c>
    </row>
    <row r="588" ht="15" customHeight="1">
      <c r="A588" t="n">
        <v>0</v>
      </c>
      <c r="B588" t="inlineStr">
        <is>
          <t>ROXO</t>
        </is>
      </c>
      <c r="C588" t="n">
        <v>7200</v>
      </c>
      <c r="D588" t="n">
        <v>0</v>
      </c>
      <c r="E588" t="n">
        <v>7200</v>
      </c>
      <c r="F588" s="6" t="n">
        <v>0</v>
      </c>
      <c r="G588" t="inlineStr">
        <is>
          <t>ARMAZEM FIT STORE</t>
        </is>
      </c>
      <c r="H588" t="inlineStr">
        <is>
          <t>SC</t>
        </is>
      </c>
      <c r="I588" t="n">
        <v>4832097774</v>
      </c>
      <c r="J588" t="inlineStr">
        <is>
          <t>Inativo</t>
        </is>
      </c>
      <c r="K588" t="inlineStr">
        <is>
          <t>ARMAZEM FIT STORE</t>
        </is>
      </c>
      <c r="L588" t="inlineStr">
        <is>
          <t>SC</t>
        </is>
      </c>
      <c r="M588" t="n">
        <v>4832097774</v>
      </c>
      <c r="N588" t="n">
        <v>0</v>
      </c>
      <c r="O588" t="n">
        <v>600</v>
      </c>
      <c r="P588" t="inlineStr">
        <is>
          <t>03 - SUL</t>
        </is>
      </c>
      <c r="Q588" t="inlineStr">
        <is>
          <t>DAIANE STAVICKI</t>
        </is>
      </c>
      <c r="S588" t="inlineStr">
        <is>
          <t>ZR - NAO APLICAVEL</t>
        </is>
      </c>
      <c r="T588" t="inlineStr">
        <is>
          <t>ZV - NAO APLICAVEL</t>
        </is>
      </c>
      <c r="V588" t="inlineStr">
        <is>
          <t>demais</t>
        </is>
      </c>
      <c r="W588" t="inlineStr">
        <is>
          <t>REDES E FRANQUIAS</t>
        </is>
      </c>
    </row>
    <row r="589" ht="15" customHeight="1">
      <c r="A589" t="n">
        <v>0</v>
      </c>
      <c r="B589" t="inlineStr">
        <is>
          <t>ROXO</t>
        </is>
      </c>
      <c r="C589" t="n">
        <v>10875</v>
      </c>
      <c r="D589" t="n">
        <v>0</v>
      </c>
      <c r="E589" t="n">
        <v>10875</v>
      </c>
      <c r="F589" s="6" t="n">
        <v>0</v>
      </c>
      <c r="G589" t="inlineStr">
        <is>
          <t>CIA DA SAUDE</t>
        </is>
      </c>
      <c r="H589" t="inlineStr">
        <is>
          <t>SC</t>
        </is>
      </c>
      <c r="I589" t="n">
        <v>48336457054</v>
      </c>
      <c r="J589" t="inlineStr">
        <is>
          <t>Inativo</t>
        </is>
      </c>
      <c r="K589" t="inlineStr">
        <is>
          <t>CIA DA SAUDE</t>
        </is>
      </c>
      <c r="L589" t="inlineStr">
        <is>
          <t>SC</t>
        </is>
      </c>
      <c r="M589" t="n">
        <v>48336457054</v>
      </c>
      <c r="N589" t="n">
        <v>0</v>
      </c>
      <c r="O589" t="n">
        <v>906.25</v>
      </c>
      <c r="P589" t="inlineStr">
        <is>
          <t>03 - NACIONAL</t>
        </is>
      </c>
      <c r="Q589" t="inlineStr">
        <is>
          <t>JULIO GADRET</t>
        </is>
      </c>
      <c r="S589" t="inlineStr">
        <is>
          <t>LG REPRESENTACOES LTDA - EPP</t>
        </is>
      </c>
      <c r="T589" t="inlineStr">
        <is>
          <t>ZV - NAO APLICAVEL</t>
        </is>
      </c>
      <c r="V589" t="inlineStr">
        <is>
          <t>demais</t>
        </is>
      </c>
      <c r="W589" t="inlineStr">
        <is>
          <t>REDES E FRANQUIAS</t>
        </is>
      </c>
    </row>
    <row r="590" ht="15" customHeight="1">
      <c r="A590" t="n">
        <v>0</v>
      </c>
      <c r="B590" t="inlineStr">
        <is>
          <t>ROXO</t>
        </is>
      </c>
      <c r="C590" t="n">
        <v>10706.9</v>
      </c>
      <c r="D590" t="n">
        <v>0</v>
      </c>
      <c r="E590" t="n">
        <v>10706.9</v>
      </c>
      <c r="F590" s="6" t="n">
        <v>0</v>
      </c>
      <c r="G590" t="inlineStr">
        <is>
          <t>FITLAND</t>
        </is>
      </c>
      <c r="H590" t="inlineStr">
        <is>
          <t>SC</t>
        </is>
      </c>
      <c r="I590" t="n">
        <v>4799208020</v>
      </c>
      <c r="J590" t="inlineStr">
        <is>
          <t>Inativo</t>
        </is>
      </c>
      <c r="K590" t="inlineStr">
        <is>
          <t>FITLAND</t>
        </is>
      </c>
      <c r="L590" t="inlineStr">
        <is>
          <t>SC</t>
        </is>
      </c>
      <c r="M590" t="n">
        <v>4799208020</v>
      </c>
      <c r="N590" t="n">
        <v>0</v>
      </c>
      <c r="O590" t="n">
        <v>892.24</v>
      </c>
      <c r="P590" t="inlineStr">
        <is>
          <t>03 - NACIONAL</t>
        </is>
      </c>
      <c r="Q590" t="inlineStr">
        <is>
          <t>JULIO GADRET</t>
        </is>
      </c>
      <c r="S590" t="inlineStr">
        <is>
          <t>ZR - NAO APLICAVEL</t>
        </is>
      </c>
      <c r="T590" t="inlineStr">
        <is>
          <t>ZV - NAO APLICAVEL</t>
        </is>
      </c>
      <c r="V590" t="inlineStr">
        <is>
          <t>demais</t>
        </is>
      </c>
      <c r="W590" t="inlineStr">
        <is>
          <t>REDES E FRANQUIAS</t>
        </is>
      </c>
    </row>
    <row r="591" ht="15" customHeight="1">
      <c r="A591" t="n">
        <v>0</v>
      </c>
      <c r="B591" t="inlineStr">
        <is>
          <t>ROXO</t>
        </is>
      </c>
      <c r="C591" t="n">
        <v>10875</v>
      </c>
      <c r="D591" t="n">
        <v>0</v>
      </c>
      <c r="E591" t="n">
        <v>10875</v>
      </c>
      <c r="F591" s="6" t="n">
        <v>0</v>
      </c>
      <c r="G591" t="inlineStr">
        <is>
          <t>CIA DA SAUDE</t>
        </is>
      </c>
      <c r="H591" t="inlineStr">
        <is>
          <t>SC</t>
        </is>
      </c>
      <c r="I591" t="n">
        <v>4735151264</v>
      </c>
      <c r="J591" t="inlineStr">
        <is>
          <t>Inativo</t>
        </is>
      </c>
      <c r="K591" t="inlineStr">
        <is>
          <t>CIA DA SAUDE</t>
        </is>
      </c>
      <c r="L591" t="inlineStr">
        <is>
          <t>SC</t>
        </is>
      </c>
      <c r="M591" t="n">
        <v>4735151264</v>
      </c>
      <c r="N591" t="n">
        <v>0</v>
      </c>
      <c r="O591" t="n">
        <v>906.25</v>
      </c>
      <c r="P591" t="inlineStr">
        <is>
          <t>03 - NACIONAL</t>
        </is>
      </c>
      <c r="Q591" t="inlineStr">
        <is>
          <t>JULIO GADRET</t>
        </is>
      </c>
      <c r="S591" t="inlineStr">
        <is>
          <t>LG REPRESENTACOES LTDA - EPP</t>
        </is>
      </c>
      <c r="T591" t="inlineStr">
        <is>
          <t>ZV - NAO APLICAVEL</t>
        </is>
      </c>
      <c r="V591" t="inlineStr">
        <is>
          <t>demais</t>
        </is>
      </c>
      <c r="W591" t="inlineStr">
        <is>
          <t>REDES E FRANQUIAS</t>
        </is>
      </c>
    </row>
    <row r="592" ht="15" customHeight="1">
      <c r="A592" t="n">
        <v>0</v>
      </c>
      <c r="B592" t="inlineStr">
        <is>
          <t>ROXO</t>
        </is>
      </c>
      <c r="C592" t="n">
        <v>6566.04</v>
      </c>
      <c r="D592" t="n">
        <v>0</v>
      </c>
      <c r="E592" t="n">
        <v>6566.04</v>
      </c>
      <c r="F592" s="6" t="n">
        <v>0</v>
      </c>
      <c r="G592" t="inlineStr">
        <is>
          <t>DIVINA TERRA</t>
        </is>
      </c>
      <c r="H592" t="inlineStr">
        <is>
          <t>SC</t>
        </is>
      </c>
      <c r="I592" t="n">
        <v>47992313977</v>
      </c>
      <c r="J592" t="inlineStr">
        <is>
          <t>Inativo</t>
        </is>
      </c>
      <c r="K592" t="inlineStr">
        <is>
          <t>DIVINA TERRA</t>
        </is>
      </c>
      <c r="L592" t="inlineStr">
        <is>
          <t>SC</t>
        </is>
      </c>
      <c r="M592" t="n">
        <v>47992313977</v>
      </c>
      <c r="N592" t="n">
        <v>0</v>
      </c>
      <c r="O592" t="n">
        <v>547.17</v>
      </c>
      <c r="P592" t="inlineStr">
        <is>
          <t>03 - NACIONAL</t>
        </is>
      </c>
      <c r="Q592" t="inlineStr">
        <is>
          <t>DAIANE STAVICKI</t>
        </is>
      </c>
      <c r="S592" t="inlineStr">
        <is>
          <t>ZR - NAO APLICAVEL</t>
        </is>
      </c>
      <c r="T592" t="inlineStr">
        <is>
          <t>ZV - NAO APLICAVEL</t>
        </is>
      </c>
      <c r="V592" t="inlineStr">
        <is>
          <t>demais</t>
        </is>
      </c>
      <c r="W592" t="inlineStr">
        <is>
          <t>REDES E FRANQUIAS</t>
        </is>
      </c>
    </row>
    <row r="593" ht="15" customHeight="1">
      <c r="A593" t="n">
        <v>0</v>
      </c>
      <c r="B593" t="inlineStr">
        <is>
          <t>ROXO</t>
        </is>
      </c>
      <c r="C593" t="n">
        <v>10875</v>
      </c>
      <c r="D593" t="n">
        <v>0</v>
      </c>
      <c r="E593" t="n">
        <v>10875</v>
      </c>
      <c r="F593" s="6" t="n">
        <v>0</v>
      </c>
      <c r="G593" t="inlineStr">
        <is>
          <t>CIA DA SAUDE</t>
        </is>
      </c>
      <c r="H593" t="inlineStr">
        <is>
          <t>SC</t>
        </is>
      </c>
      <c r="I593" t="n">
        <v>51980271949</v>
      </c>
      <c r="J593" t="inlineStr">
        <is>
          <t>Inativo</t>
        </is>
      </c>
      <c r="K593" t="inlineStr">
        <is>
          <t>CIA DA SAUDE</t>
        </is>
      </c>
      <c r="L593" t="inlineStr">
        <is>
          <t>SC</t>
        </is>
      </c>
      <c r="M593" t="n">
        <v>51980271949</v>
      </c>
      <c r="N593" t="n">
        <v>0</v>
      </c>
      <c r="O593" t="n">
        <v>906.25</v>
      </c>
      <c r="P593" t="inlineStr">
        <is>
          <t>03 - NACIONAL</t>
        </is>
      </c>
      <c r="Q593" t="inlineStr">
        <is>
          <t>JULIO GADRET</t>
        </is>
      </c>
      <c r="S593" t="inlineStr">
        <is>
          <t>LG REPRESENTACOES LTDA - EPP</t>
        </is>
      </c>
      <c r="T593" t="inlineStr">
        <is>
          <t>ZV - NAO APLICAVEL</t>
        </is>
      </c>
      <c r="V593" t="inlineStr">
        <is>
          <t>demais</t>
        </is>
      </c>
      <c r="W593" t="inlineStr">
        <is>
          <t>REDES E FRANQUIAS</t>
        </is>
      </c>
    </row>
    <row r="594" ht="15" customHeight="1">
      <c r="A594" t="n">
        <v>0</v>
      </c>
      <c r="B594" t="inlineStr">
        <is>
          <t>ROXO</t>
        </is>
      </c>
      <c r="C594" t="n">
        <v>6566.04</v>
      </c>
      <c r="D594" t="n">
        <v>0</v>
      </c>
      <c r="E594" t="n">
        <v>6566.04</v>
      </c>
      <c r="F594" s="6" t="n">
        <v>0</v>
      </c>
      <c r="G594" t="inlineStr">
        <is>
          <t>DIVINA TERRA</t>
        </is>
      </c>
      <c r="H594" t="inlineStr">
        <is>
          <t>SC</t>
        </is>
      </c>
      <c r="I594" t="n">
        <v>47989024341</v>
      </c>
      <c r="J594" t="inlineStr">
        <is>
          <t>Inativo</t>
        </is>
      </c>
      <c r="K594" t="inlineStr">
        <is>
          <t>DIVINA TERRA</t>
        </is>
      </c>
      <c r="L594" t="inlineStr">
        <is>
          <t>SC</t>
        </is>
      </c>
      <c r="M594" t="n">
        <v>47989024341</v>
      </c>
      <c r="N594" t="n">
        <v>0</v>
      </c>
      <c r="O594" t="n">
        <v>547.17</v>
      </c>
      <c r="P594" t="inlineStr">
        <is>
          <t>03 - NACIONAL</t>
        </is>
      </c>
      <c r="Q594" t="inlineStr">
        <is>
          <t>DAIANE STAVICKI</t>
        </is>
      </c>
      <c r="S594" t="inlineStr">
        <is>
          <t>ZR - NAO APLICAVEL</t>
        </is>
      </c>
      <c r="T594" t="inlineStr">
        <is>
          <t>ZV - NAO APLICAVEL</t>
        </is>
      </c>
      <c r="V594" t="inlineStr">
        <is>
          <t>demais</t>
        </is>
      </c>
      <c r="W594" t="inlineStr">
        <is>
          <t>REDES E FRANQUIAS</t>
        </is>
      </c>
    </row>
    <row r="595" ht="15" customHeight="1">
      <c r="A595" t="n">
        <v>0</v>
      </c>
      <c r="B595" t="inlineStr">
        <is>
          <t>ROXO</t>
        </is>
      </c>
      <c r="C595" t="n">
        <v>10706.9</v>
      </c>
      <c r="D595" t="n">
        <v>0</v>
      </c>
      <c r="E595" t="n">
        <v>10706.9</v>
      </c>
      <c r="F595" s="6" t="n">
        <v>0</v>
      </c>
      <c r="G595" t="inlineStr">
        <is>
          <t>FITLAND</t>
        </is>
      </c>
      <c r="H595" t="inlineStr">
        <is>
          <t>SC</t>
        </is>
      </c>
      <c r="I595" t="n">
        <v>47988666600</v>
      </c>
      <c r="J595" t="inlineStr">
        <is>
          <t>Inativo</t>
        </is>
      </c>
      <c r="K595" t="inlineStr">
        <is>
          <t>FITLAND</t>
        </is>
      </c>
      <c r="L595" t="inlineStr">
        <is>
          <t>SC</t>
        </is>
      </c>
      <c r="M595" t="n">
        <v>47988666600</v>
      </c>
      <c r="N595" t="n">
        <v>0</v>
      </c>
      <c r="O595" t="n">
        <v>892.24</v>
      </c>
      <c r="P595" t="inlineStr">
        <is>
          <t>03 - NACIONAL</t>
        </is>
      </c>
      <c r="Q595" t="inlineStr">
        <is>
          <t>JULIO GADRET</t>
        </is>
      </c>
      <c r="S595" t="inlineStr">
        <is>
          <t>ZR - NAO APLICAVEL</t>
        </is>
      </c>
      <c r="T595" t="inlineStr">
        <is>
          <t>ZV - NAO APLICAVEL</t>
        </is>
      </c>
      <c r="V595" t="inlineStr">
        <is>
          <t>demais</t>
        </is>
      </c>
      <c r="W595" t="inlineStr">
        <is>
          <t>REDES E FRANQUIAS</t>
        </is>
      </c>
    </row>
    <row r="596" ht="15" customHeight="1">
      <c r="A596" t="n">
        <v>0</v>
      </c>
      <c r="B596" t="inlineStr">
        <is>
          <t>ROXO</t>
        </is>
      </c>
      <c r="C596" t="n">
        <v>10875</v>
      </c>
      <c r="D596" t="n">
        <v>0</v>
      </c>
      <c r="E596" t="n">
        <v>10875</v>
      </c>
      <c r="F596" s="6" t="n">
        <v>0</v>
      </c>
      <c r="G596" t="inlineStr">
        <is>
          <t>CIA DA SAUDE</t>
        </is>
      </c>
      <c r="H596" t="inlineStr">
        <is>
          <t>SC</t>
        </is>
      </c>
      <c r="I596" t="n">
        <v>11952819565</v>
      </c>
      <c r="J596" t="inlineStr">
        <is>
          <t>Inativo</t>
        </is>
      </c>
      <c r="K596" t="inlineStr">
        <is>
          <t>CIA DA SAUDE</t>
        </is>
      </c>
      <c r="L596" t="inlineStr">
        <is>
          <t>SC</t>
        </is>
      </c>
      <c r="M596" t="n">
        <v>11952819565</v>
      </c>
      <c r="N596" t="n">
        <v>0</v>
      </c>
      <c r="O596" t="n">
        <v>906.25</v>
      </c>
      <c r="P596" t="inlineStr">
        <is>
          <t>03 - NACIONAL</t>
        </is>
      </c>
      <c r="Q596" t="inlineStr">
        <is>
          <t>JULIO GADRET</t>
        </is>
      </c>
      <c r="S596" t="inlineStr">
        <is>
          <t>LG REPRESENTACOES LTDA - EPP</t>
        </is>
      </c>
      <c r="T596" t="inlineStr">
        <is>
          <t>ZV - NAO APLICAVEL</t>
        </is>
      </c>
      <c r="V596" t="inlineStr">
        <is>
          <t>demais</t>
        </is>
      </c>
      <c r="W596" t="inlineStr">
        <is>
          <t>REDES E FRANQUIAS</t>
        </is>
      </c>
    </row>
    <row r="597" ht="15" customHeight="1">
      <c r="A597" t="n">
        <v>0</v>
      </c>
      <c r="B597" t="inlineStr">
        <is>
          <t>ROXO</t>
        </is>
      </c>
      <c r="C597" t="n">
        <v>10875</v>
      </c>
      <c r="D597" t="n">
        <v>0</v>
      </c>
      <c r="E597" t="n">
        <v>10875</v>
      </c>
      <c r="F597" s="6" t="n">
        <v>0</v>
      </c>
      <c r="G597" t="inlineStr">
        <is>
          <t>CIA DA SAUDE</t>
        </is>
      </c>
      <c r="H597" t="inlineStr">
        <is>
          <t>SC</t>
        </is>
      </c>
      <c r="I597" t="n">
        <v>4898165198</v>
      </c>
      <c r="J597" t="inlineStr">
        <is>
          <t>Inativo</t>
        </is>
      </c>
      <c r="K597" t="inlineStr">
        <is>
          <t>CIA DA SAUDE</t>
        </is>
      </c>
      <c r="L597" t="inlineStr">
        <is>
          <t>SC</t>
        </is>
      </c>
      <c r="M597" t="n">
        <v>4898165198</v>
      </c>
      <c r="N597" t="n">
        <v>0</v>
      </c>
      <c r="O597" t="n">
        <v>906.25</v>
      </c>
      <c r="P597" t="inlineStr">
        <is>
          <t>03 - NACIONAL</t>
        </is>
      </c>
      <c r="Q597" t="inlineStr">
        <is>
          <t>JULIO GADRET</t>
        </is>
      </c>
      <c r="S597" t="inlineStr">
        <is>
          <t>LG REPRESENTACOES LTDA - EPP</t>
        </is>
      </c>
      <c r="T597" t="inlineStr">
        <is>
          <t>ZV - NAO APLICAVEL</t>
        </is>
      </c>
      <c r="V597" t="inlineStr">
        <is>
          <t>demais</t>
        </is>
      </c>
      <c r="W597" t="inlineStr">
        <is>
          <t>REDES E FRANQUIAS</t>
        </is>
      </c>
    </row>
    <row r="598" ht="15" customHeight="1">
      <c r="A598" t="n">
        <v>0</v>
      </c>
      <c r="B598" t="inlineStr">
        <is>
          <t>ROXO</t>
        </is>
      </c>
      <c r="C598" t="n">
        <v>6566.04</v>
      </c>
      <c r="D598" t="n">
        <v>0</v>
      </c>
      <c r="E598" t="n">
        <v>6566.04</v>
      </c>
      <c r="F598" s="6" t="n">
        <v>0</v>
      </c>
      <c r="G598" t="inlineStr">
        <is>
          <t>DIVINA TERRA</t>
        </is>
      </c>
      <c r="H598" t="inlineStr">
        <is>
          <t>SC</t>
        </is>
      </c>
      <c r="I598" t="n">
        <v>49991912112</v>
      </c>
      <c r="J598" t="inlineStr">
        <is>
          <t>Inativo</t>
        </is>
      </c>
      <c r="K598" t="inlineStr">
        <is>
          <t>DIVINA TERRA</t>
        </is>
      </c>
      <c r="L598" t="inlineStr">
        <is>
          <t>SC</t>
        </is>
      </c>
      <c r="M598" t="n">
        <v>49991912112</v>
      </c>
      <c r="N598" t="n">
        <v>0</v>
      </c>
      <c r="O598" t="n">
        <v>547.17</v>
      </c>
      <c r="P598" t="inlineStr">
        <is>
          <t>03 - NACIONAL</t>
        </is>
      </c>
      <c r="Q598" t="inlineStr">
        <is>
          <t>DAIANE STAVICKI</t>
        </is>
      </c>
      <c r="S598" t="inlineStr">
        <is>
          <t>ZR - NAO APLICAVEL</t>
        </is>
      </c>
      <c r="T598" t="inlineStr">
        <is>
          <t>ZV - NAO APLICAVEL</t>
        </is>
      </c>
      <c r="V598" t="inlineStr">
        <is>
          <t>demais</t>
        </is>
      </c>
      <c r="W598" t="inlineStr">
        <is>
          <t>REDES E FRANQUIAS</t>
        </is>
      </c>
    </row>
    <row r="599" ht="15" customHeight="1">
      <c r="A599" t="n">
        <v>0</v>
      </c>
      <c r="B599" t="inlineStr">
        <is>
          <t>ROXO</t>
        </is>
      </c>
      <c r="C599" t="n">
        <v>6281.25</v>
      </c>
      <c r="D599" t="n">
        <v>0</v>
      </c>
      <c r="E599" t="n">
        <v>6281.25</v>
      </c>
      <c r="F599" s="6" t="n">
        <v>0</v>
      </c>
      <c r="G599" t="inlineStr">
        <is>
          <t>BIO MUNDO</t>
        </is>
      </c>
      <c r="H599" t="inlineStr">
        <is>
          <t>SC</t>
        </is>
      </c>
      <c r="I599" t="n">
        <v>4733046797</v>
      </c>
      <c r="J599" t="inlineStr">
        <is>
          <t>Inativo</t>
        </is>
      </c>
      <c r="K599" t="inlineStr">
        <is>
          <t>BIO MUNDO</t>
        </is>
      </c>
      <c r="L599" t="inlineStr">
        <is>
          <t>SC</t>
        </is>
      </c>
      <c r="M599" t="n">
        <v>4733046797</v>
      </c>
      <c r="N599" t="n">
        <v>0</v>
      </c>
      <c r="O599" t="n">
        <v>523.4400000000001</v>
      </c>
      <c r="P599" t="inlineStr">
        <is>
          <t>03 - NACIONAL</t>
        </is>
      </c>
      <c r="Q599" t="inlineStr">
        <is>
          <t>HEMANUELE DITZEL (MANU)</t>
        </is>
      </c>
      <c r="S599" t="inlineStr">
        <is>
          <t>ZR - NAO APLICAVEL</t>
        </is>
      </c>
      <c r="T599" t="inlineStr">
        <is>
          <t>HEMANUELE ROSA DITZEL</t>
        </is>
      </c>
      <c r="V599" t="inlineStr">
        <is>
          <t>demais</t>
        </is>
      </c>
      <c r="W599" t="inlineStr">
        <is>
          <t>REDES E FRANQUIAS</t>
        </is>
      </c>
    </row>
    <row r="600" ht="15" customHeight="1">
      <c r="A600" t="n">
        <v>0</v>
      </c>
      <c r="B600" t="inlineStr">
        <is>
          <t>ROXO</t>
        </is>
      </c>
      <c r="C600" t="n">
        <v>10875</v>
      </c>
      <c r="D600" t="n">
        <v>0</v>
      </c>
      <c r="E600" t="n">
        <v>10875</v>
      </c>
      <c r="F600" s="6" t="n">
        <v>0</v>
      </c>
      <c r="G600" t="inlineStr">
        <is>
          <t>CIA DA SAUDE</t>
        </is>
      </c>
      <c r="H600" t="inlineStr">
        <is>
          <t>SC</t>
        </is>
      </c>
      <c r="I600" t="n">
        <v>4732789010</v>
      </c>
      <c r="J600" t="inlineStr">
        <is>
          <t>Inativo</t>
        </is>
      </c>
      <c r="K600" t="inlineStr">
        <is>
          <t>CIA DA SAUDE</t>
        </is>
      </c>
      <c r="L600" t="inlineStr">
        <is>
          <t>SC</t>
        </is>
      </c>
      <c r="M600" t="n">
        <v>4732789010</v>
      </c>
      <c r="N600" t="n">
        <v>0</v>
      </c>
      <c r="O600" t="n">
        <v>906.25</v>
      </c>
      <c r="P600" t="inlineStr">
        <is>
          <t>03 - NACIONAL</t>
        </is>
      </c>
      <c r="Q600" t="inlineStr">
        <is>
          <t>JULIO GADRET</t>
        </is>
      </c>
      <c r="S600" t="inlineStr">
        <is>
          <t>LG REPRESENTACOES LTDA - EPP</t>
        </is>
      </c>
      <c r="T600" t="inlineStr">
        <is>
          <t>ZV - NAO APLICAVEL</t>
        </is>
      </c>
      <c r="V600" t="inlineStr">
        <is>
          <t>demais</t>
        </is>
      </c>
      <c r="W600" t="inlineStr">
        <is>
          <t>REDES E FRANQUIAS</t>
        </is>
      </c>
    </row>
    <row r="601" ht="15" customHeight="1">
      <c r="A601" t="n">
        <v>0</v>
      </c>
      <c r="B601" t="inlineStr">
        <is>
          <t>ROXO</t>
        </is>
      </c>
      <c r="C601" t="n">
        <v>10706.9</v>
      </c>
      <c r="D601" t="n">
        <v>0</v>
      </c>
      <c r="E601" t="n">
        <v>10706.9</v>
      </c>
      <c r="F601" s="6" t="n">
        <v>0</v>
      </c>
      <c r="G601" t="inlineStr">
        <is>
          <t>FITLAND</t>
        </is>
      </c>
      <c r="H601" t="inlineStr">
        <is>
          <t>SC</t>
        </is>
      </c>
      <c r="I601" t="n">
        <v>4799208020</v>
      </c>
      <c r="J601" t="inlineStr">
        <is>
          <t>Inativo</t>
        </is>
      </c>
      <c r="K601" t="inlineStr">
        <is>
          <t>FITLAND</t>
        </is>
      </c>
      <c r="L601" t="inlineStr">
        <is>
          <t>SC</t>
        </is>
      </c>
      <c r="M601" t="n">
        <v>4799208020</v>
      </c>
      <c r="N601" t="n">
        <v>0</v>
      </c>
      <c r="O601" t="n">
        <v>892.24</v>
      </c>
      <c r="P601" t="inlineStr">
        <is>
          <t>03 - NACIONAL</t>
        </is>
      </c>
      <c r="Q601" t="inlineStr">
        <is>
          <t>JULIO GADRET</t>
        </is>
      </c>
      <c r="S601" t="inlineStr">
        <is>
          <t>LG REPRESENTACOES LTDA - EPP</t>
        </is>
      </c>
      <c r="T601" t="inlineStr">
        <is>
          <t>ZV - NAO APLICAVEL</t>
        </is>
      </c>
      <c r="V601" t="inlineStr">
        <is>
          <t>demais</t>
        </is>
      </c>
      <c r="W601" t="inlineStr">
        <is>
          <t>REDES E FRANQUIAS</t>
        </is>
      </c>
    </row>
    <row r="602" ht="15" customHeight="1">
      <c r="A602" t="n">
        <v>0</v>
      </c>
      <c r="B602" t="inlineStr">
        <is>
          <t>ROXO</t>
        </is>
      </c>
      <c r="C602" t="n">
        <v>10875</v>
      </c>
      <c r="D602" t="n">
        <v>0</v>
      </c>
      <c r="E602" t="n">
        <v>10875</v>
      </c>
      <c r="F602" s="6" t="n">
        <v>0</v>
      </c>
      <c r="G602" t="inlineStr">
        <is>
          <t>CIA DA SAUDE</t>
        </is>
      </c>
      <c r="H602" t="inlineStr">
        <is>
          <t>SC</t>
        </is>
      </c>
      <c r="I602" t="n">
        <v>48999144680</v>
      </c>
      <c r="J602" t="inlineStr">
        <is>
          <t>Inativo</t>
        </is>
      </c>
      <c r="K602" t="inlineStr">
        <is>
          <t>CIA DA SAUDE</t>
        </is>
      </c>
      <c r="L602" t="inlineStr">
        <is>
          <t>SC</t>
        </is>
      </c>
      <c r="M602" t="n">
        <v>48999144680</v>
      </c>
      <c r="N602" t="n">
        <v>0</v>
      </c>
      <c r="O602" t="n">
        <v>906.25</v>
      </c>
      <c r="P602" t="inlineStr">
        <is>
          <t>03 - NACIONAL</t>
        </is>
      </c>
      <c r="Q602" t="inlineStr">
        <is>
          <t>JULIO GADRET</t>
        </is>
      </c>
      <c r="S602" t="inlineStr">
        <is>
          <t>LG REPRESENTACOES LTDA - EPP</t>
        </is>
      </c>
      <c r="T602" t="inlineStr">
        <is>
          <t>ZV - NAO APLICAVEL</t>
        </is>
      </c>
      <c r="V602" t="inlineStr">
        <is>
          <t>demais</t>
        </is>
      </c>
      <c r="W602" t="inlineStr">
        <is>
          <t>REDES E FRANQUIAS</t>
        </is>
      </c>
    </row>
    <row r="603" ht="15" customHeight="1">
      <c r="A603" t="n">
        <v>0</v>
      </c>
      <c r="B603" t="inlineStr">
        <is>
          <t>ROXO</t>
        </is>
      </c>
      <c r="C603" t="n">
        <v>10875</v>
      </c>
      <c r="D603" t="n">
        <v>0</v>
      </c>
      <c r="E603" t="n">
        <v>10875</v>
      </c>
      <c r="F603" s="6" t="n">
        <v>0</v>
      </c>
      <c r="G603" t="inlineStr">
        <is>
          <t>CIA DA SAUDE</t>
        </is>
      </c>
      <c r="H603" t="inlineStr">
        <is>
          <t>SC</t>
        </is>
      </c>
      <c r="I603" t="n">
        <v>48960659374</v>
      </c>
      <c r="J603" t="inlineStr">
        <is>
          <t>Inativo</t>
        </is>
      </c>
      <c r="K603" t="inlineStr">
        <is>
          <t>CIA DA SAUDE</t>
        </is>
      </c>
      <c r="L603" t="inlineStr">
        <is>
          <t>SC</t>
        </is>
      </c>
      <c r="M603" t="n">
        <v>48960659374</v>
      </c>
      <c r="N603" t="n">
        <v>0</v>
      </c>
      <c r="O603" t="n">
        <v>906.25</v>
      </c>
      <c r="P603" t="inlineStr">
        <is>
          <t>03 - NACIONAL</t>
        </is>
      </c>
      <c r="Q603" t="inlineStr">
        <is>
          <t>JULIO GADRET</t>
        </is>
      </c>
      <c r="S603" t="inlineStr">
        <is>
          <t>LG REPRESENTACOES LTDA - EPP</t>
        </is>
      </c>
      <c r="T603" t="inlineStr">
        <is>
          <t>ZV - NAO APLICAVEL</t>
        </is>
      </c>
      <c r="V603" t="inlineStr">
        <is>
          <t>demais</t>
        </is>
      </c>
      <c r="W603" t="inlineStr">
        <is>
          <t>REDES E FRANQUIAS</t>
        </is>
      </c>
    </row>
    <row r="604" ht="15" customHeight="1">
      <c r="A604" t="n">
        <v>0</v>
      </c>
      <c r="B604" t="inlineStr">
        <is>
          <t>ROXO</t>
        </is>
      </c>
      <c r="C604" t="n">
        <v>10875</v>
      </c>
      <c r="D604" t="n">
        <v>0</v>
      </c>
      <c r="E604" t="n">
        <v>10875</v>
      </c>
      <c r="F604" s="6" t="n">
        <v>0</v>
      </c>
      <c r="G604" t="inlineStr">
        <is>
          <t>CIA DA SAUDE</t>
        </is>
      </c>
      <c r="H604" t="inlineStr">
        <is>
          <t>SC</t>
        </is>
      </c>
      <c r="I604" t="n">
        <v>4799612048</v>
      </c>
      <c r="J604" t="inlineStr">
        <is>
          <t>Inativo</t>
        </is>
      </c>
      <c r="K604" t="inlineStr">
        <is>
          <t>CIA DA SAUDE</t>
        </is>
      </c>
      <c r="L604" t="inlineStr">
        <is>
          <t>SC</t>
        </is>
      </c>
      <c r="M604" t="n">
        <v>4799612048</v>
      </c>
      <c r="N604" t="n">
        <v>0</v>
      </c>
      <c r="O604" t="n">
        <v>906.25</v>
      </c>
      <c r="P604" t="inlineStr">
        <is>
          <t>03 - NACIONAL</t>
        </is>
      </c>
      <c r="Q604" t="inlineStr">
        <is>
          <t>JULIO GADRET</t>
        </is>
      </c>
      <c r="S604" t="inlineStr">
        <is>
          <t>LG REPRESENTACOES LTDA - EPP</t>
        </is>
      </c>
      <c r="T604" t="inlineStr">
        <is>
          <t>ZV - NAO APLICAVEL</t>
        </is>
      </c>
      <c r="V604" t="inlineStr">
        <is>
          <t>demais</t>
        </is>
      </c>
      <c r="W604" t="inlineStr">
        <is>
          <t>REDES E FRANQUIAS</t>
        </is>
      </c>
    </row>
    <row r="605" ht="15" customHeight="1">
      <c r="A605" t="n">
        <v>0</v>
      </c>
      <c r="B605" t="inlineStr">
        <is>
          <t>ROXO</t>
        </is>
      </c>
      <c r="C605" t="n">
        <v>10875</v>
      </c>
      <c r="D605" t="n">
        <v>0</v>
      </c>
      <c r="E605" t="n">
        <v>10875</v>
      </c>
      <c r="F605" s="6" t="n">
        <v>0</v>
      </c>
      <c r="G605" t="inlineStr">
        <is>
          <t>CIA DA SAUDE</t>
        </is>
      </c>
      <c r="H605" t="inlineStr">
        <is>
          <t>SC</t>
        </is>
      </c>
      <c r="I605" t="n">
        <v>47339687024</v>
      </c>
      <c r="J605" t="inlineStr">
        <is>
          <t>Inativo</t>
        </is>
      </c>
      <c r="K605" t="inlineStr">
        <is>
          <t>CIA DA SAUDE</t>
        </is>
      </c>
      <c r="L605" t="inlineStr">
        <is>
          <t>SC</t>
        </is>
      </c>
      <c r="M605" t="n">
        <v>47339687024</v>
      </c>
      <c r="N605" t="n">
        <v>0</v>
      </c>
      <c r="O605" t="n">
        <v>906.25</v>
      </c>
      <c r="P605" t="inlineStr">
        <is>
          <t>03 - NACIONAL</t>
        </is>
      </c>
      <c r="Q605" t="inlineStr">
        <is>
          <t>JULIO GADRET</t>
        </is>
      </c>
      <c r="S605" t="inlineStr">
        <is>
          <t>LG REPRESENTACOES LTDA - EPP</t>
        </is>
      </c>
      <c r="T605" t="inlineStr">
        <is>
          <t>ZV - NAO APLICAVEL</t>
        </is>
      </c>
      <c r="V605" t="inlineStr">
        <is>
          <t>demais</t>
        </is>
      </c>
      <c r="W605" t="inlineStr">
        <is>
          <t>REDES E FRANQUIAS</t>
        </is>
      </c>
    </row>
    <row r="606" ht="15" customHeight="1">
      <c r="A606" t="n">
        <v>0</v>
      </c>
      <c r="B606" t="inlineStr">
        <is>
          <t>ROXO</t>
        </is>
      </c>
      <c r="C606" t="n">
        <v>6566.04</v>
      </c>
      <c r="D606" t="n">
        <v>0</v>
      </c>
      <c r="E606" t="n">
        <v>6566.04</v>
      </c>
      <c r="F606" s="6" t="n">
        <v>0</v>
      </c>
      <c r="G606" t="inlineStr">
        <is>
          <t>DIVINA TERRA</t>
        </is>
      </c>
      <c r="H606" t="inlineStr">
        <is>
          <t>SC</t>
        </is>
      </c>
      <c r="I606" t="n">
        <v>5181182130</v>
      </c>
      <c r="J606" t="inlineStr">
        <is>
          <t>Inativo</t>
        </is>
      </c>
      <c r="K606" t="inlineStr">
        <is>
          <t>DIVINA TERRA</t>
        </is>
      </c>
      <c r="L606" t="inlineStr">
        <is>
          <t>SC</t>
        </is>
      </c>
      <c r="M606" t="n">
        <v>5181182130</v>
      </c>
      <c r="N606" t="n">
        <v>0</v>
      </c>
      <c r="O606" t="n">
        <v>547.17</v>
      </c>
      <c r="P606" t="inlineStr">
        <is>
          <t>03 - NACIONAL</t>
        </is>
      </c>
      <c r="Q606" t="inlineStr">
        <is>
          <t>HEMANUELE DITZEL (MANU)</t>
        </is>
      </c>
      <c r="S606" t="inlineStr">
        <is>
          <t>ZR - NAO APLICAVEL</t>
        </is>
      </c>
      <c r="T606" t="inlineStr">
        <is>
          <t>HEMANUELE ROSA DITZEL</t>
        </is>
      </c>
      <c r="V606" t="inlineStr">
        <is>
          <t>demais</t>
        </is>
      </c>
      <c r="W606" t="inlineStr">
        <is>
          <t>REDES E FRANQUIAS</t>
        </is>
      </c>
    </row>
    <row r="607" ht="15" customHeight="1">
      <c r="A607" t="n">
        <v>0</v>
      </c>
      <c r="B607" t="inlineStr">
        <is>
          <t>ROXO</t>
        </is>
      </c>
      <c r="C607" t="n">
        <v>10706.9</v>
      </c>
      <c r="D607" t="n">
        <v>0</v>
      </c>
      <c r="E607" t="n">
        <v>10706.9</v>
      </c>
      <c r="F607" s="6" t="n">
        <v>0</v>
      </c>
      <c r="G607" t="inlineStr">
        <is>
          <t>FITLAND</t>
        </is>
      </c>
      <c r="H607" t="inlineStr">
        <is>
          <t>SC</t>
        </is>
      </c>
      <c r="I607" t="n">
        <v>4899277117</v>
      </c>
      <c r="J607" t="inlineStr">
        <is>
          <t>Inativo</t>
        </is>
      </c>
      <c r="K607" t="inlineStr">
        <is>
          <t>FITLAND</t>
        </is>
      </c>
      <c r="L607" t="inlineStr">
        <is>
          <t>SC</t>
        </is>
      </c>
      <c r="M607" t="n">
        <v>4899277117</v>
      </c>
      <c r="N607" t="n">
        <v>0</v>
      </c>
      <c r="O607" t="n">
        <v>892.24</v>
      </c>
      <c r="P607" t="inlineStr">
        <is>
          <t>03 - NACIONAL</t>
        </is>
      </c>
      <c r="Q607" t="inlineStr">
        <is>
          <t>JULIO GADRET</t>
        </is>
      </c>
      <c r="S607" t="inlineStr">
        <is>
          <t>ZR - NAO APLICAVEL</t>
        </is>
      </c>
      <c r="T607" t="inlineStr">
        <is>
          <t>ZV - NAO APLICAVEL</t>
        </is>
      </c>
      <c r="V607" t="inlineStr">
        <is>
          <t>demais</t>
        </is>
      </c>
      <c r="W607" t="inlineStr">
        <is>
          <t>REDES E FRANQUIAS</t>
        </is>
      </c>
    </row>
    <row r="608" ht="15" customHeight="1">
      <c r="A608" t="n">
        <v>0</v>
      </c>
      <c r="B608" t="inlineStr">
        <is>
          <t>ROXO</t>
        </is>
      </c>
      <c r="C608" t="n">
        <v>7200</v>
      </c>
      <c r="D608" t="n">
        <v>0</v>
      </c>
      <c r="E608" t="n">
        <v>7200</v>
      </c>
      <c r="F608" s="6" t="n">
        <v>0</v>
      </c>
      <c r="G608" t="inlineStr">
        <is>
          <t>ARMAZEM FIT STORE</t>
        </is>
      </c>
      <c r="H608" t="inlineStr">
        <is>
          <t>SC</t>
        </is>
      </c>
      <c r="I608" t="n">
        <v>48991098332</v>
      </c>
      <c r="J608" t="inlineStr">
        <is>
          <t>Inativo</t>
        </is>
      </c>
      <c r="K608" t="inlineStr">
        <is>
          <t>ARMAZEM FIT STORE</t>
        </is>
      </c>
      <c r="L608" t="inlineStr">
        <is>
          <t>SC</t>
        </is>
      </c>
      <c r="M608" t="n">
        <v>48991098332</v>
      </c>
      <c r="N608" t="n">
        <v>0</v>
      </c>
      <c r="O608" t="n">
        <v>600</v>
      </c>
      <c r="P608" t="inlineStr">
        <is>
          <t>03 - SUL</t>
        </is>
      </c>
      <c r="Q608" t="inlineStr">
        <is>
          <t>JULIO GADRET</t>
        </is>
      </c>
      <c r="S608" t="inlineStr">
        <is>
          <t>LG REPRESENTACOES LTDA - EPP</t>
        </is>
      </c>
      <c r="T608" t="inlineStr">
        <is>
          <t>ZV - NAO APLICAVEL</t>
        </is>
      </c>
      <c r="V608" t="inlineStr">
        <is>
          <t>demais</t>
        </is>
      </c>
      <c r="W608" t="inlineStr">
        <is>
          <t>REDES E FRANQUIAS</t>
        </is>
      </c>
    </row>
    <row r="609" ht="15" customHeight="1">
      <c r="A609" t="n">
        <v>0</v>
      </c>
      <c r="B609" t="inlineStr">
        <is>
          <t>ROXO</t>
        </is>
      </c>
      <c r="C609" t="n">
        <v>10875</v>
      </c>
      <c r="D609" t="n">
        <v>0</v>
      </c>
      <c r="E609" t="n">
        <v>10875</v>
      </c>
      <c r="F609" s="6" t="n">
        <v>0</v>
      </c>
      <c r="G609" t="inlineStr">
        <is>
          <t>CIA DA SAUDE</t>
        </is>
      </c>
      <c r="H609" t="inlineStr">
        <is>
          <t>SC</t>
        </is>
      </c>
      <c r="I609" t="n">
        <v>48991756386</v>
      </c>
      <c r="J609" t="inlineStr">
        <is>
          <t>Inativo</t>
        </is>
      </c>
      <c r="K609" t="inlineStr">
        <is>
          <t>CIA DA SAUDE</t>
        </is>
      </c>
      <c r="L609" t="inlineStr">
        <is>
          <t>SC</t>
        </is>
      </c>
      <c r="M609" t="n">
        <v>48991756386</v>
      </c>
      <c r="N609" t="n">
        <v>0</v>
      </c>
      <c r="O609" t="n">
        <v>906.25</v>
      </c>
      <c r="P609" t="inlineStr">
        <is>
          <t>03 - NACIONAL</t>
        </is>
      </c>
      <c r="Q609" t="inlineStr">
        <is>
          <t>JULIO GADRET</t>
        </is>
      </c>
      <c r="S609" t="inlineStr">
        <is>
          <t>LG REPRESENTACOES LTDA - EPP</t>
        </is>
      </c>
      <c r="T609" t="inlineStr">
        <is>
          <t>ZV - NAO APLICAVEL</t>
        </is>
      </c>
      <c r="V609" t="inlineStr">
        <is>
          <t>demais</t>
        </is>
      </c>
      <c r="W609" t="inlineStr">
        <is>
          <t>REDES E FRANQUIAS</t>
        </is>
      </c>
    </row>
    <row r="610" ht="15" customHeight="1">
      <c r="A610" t="n">
        <v>0</v>
      </c>
      <c r="B610" t="inlineStr">
        <is>
          <t>ROXO</t>
        </is>
      </c>
      <c r="C610" t="n">
        <v>10875</v>
      </c>
      <c r="D610" t="n">
        <v>0</v>
      </c>
      <c r="E610" t="n">
        <v>10875</v>
      </c>
      <c r="F610" s="6" t="n">
        <v>0</v>
      </c>
      <c r="G610" t="inlineStr">
        <is>
          <t>CIA DA SAUDE</t>
        </is>
      </c>
      <c r="H610" t="inlineStr">
        <is>
          <t>SC</t>
        </is>
      </c>
      <c r="I610" t="n">
        <v>4899944030</v>
      </c>
      <c r="J610" t="inlineStr">
        <is>
          <t>Inativo</t>
        </is>
      </c>
      <c r="K610" t="inlineStr">
        <is>
          <t>CIA DA SAUDE</t>
        </is>
      </c>
      <c r="L610" t="inlineStr">
        <is>
          <t>SC</t>
        </is>
      </c>
      <c r="M610" t="n">
        <v>4899944030</v>
      </c>
      <c r="N610" t="n">
        <v>0</v>
      </c>
      <c r="O610" t="n">
        <v>906.25</v>
      </c>
      <c r="P610" t="inlineStr">
        <is>
          <t>03 - NACIONAL</t>
        </is>
      </c>
      <c r="Q610" t="inlineStr">
        <is>
          <t>JULIO GADRET</t>
        </is>
      </c>
      <c r="S610" t="inlineStr">
        <is>
          <t>LG REPRESENTACOES LTDA - EPP</t>
        </is>
      </c>
      <c r="T610" t="inlineStr">
        <is>
          <t>ZV - NAO APLICAVEL</t>
        </is>
      </c>
      <c r="V610" t="inlineStr">
        <is>
          <t>demais</t>
        </is>
      </c>
      <c r="W610" t="inlineStr">
        <is>
          <t>REDES E FRANQUIAS</t>
        </is>
      </c>
    </row>
    <row r="611" ht="15" customHeight="1">
      <c r="A611" t="n">
        <v>0</v>
      </c>
      <c r="B611" t="inlineStr">
        <is>
          <t>ROXO</t>
        </is>
      </c>
      <c r="C611" t="n">
        <v>10875</v>
      </c>
      <c r="D611" t="n">
        <v>0</v>
      </c>
      <c r="E611" t="n">
        <v>10875</v>
      </c>
      <c r="F611" s="6" t="n">
        <v>0</v>
      </c>
      <c r="G611" t="inlineStr">
        <is>
          <t>CIA DA SAUDE</t>
        </is>
      </c>
      <c r="H611" t="inlineStr">
        <is>
          <t>SC</t>
        </is>
      </c>
      <c r="I611" t="n">
        <v>4891891718</v>
      </c>
      <c r="J611" t="inlineStr">
        <is>
          <t>Inativo</t>
        </is>
      </c>
      <c r="K611" t="inlineStr">
        <is>
          <t>CIA DA SAUDE</t>
        </is>
      </c>
      <c r="L611" t="inlineStr">
        <is>
          <t>SC</t>
        </is>
      </c>
      <c r="M611" t="n">
        <v>4891891718</v>
      </c>
      <c r="N611" t="n">
        <v>0</v>
      </c>
      <c r="O611" t="n">
        <v>906.25</v>
      </c>
      <c r="P611" t="inlineStr">
        <is>
          <t>03 - NACIONAL</t>
        </is>
      </c>
      <c r="Q611" t="inlineStr">
        <is>
          <t>JULIO GADRET</t>
        </is>
      </c>
      <c r="S611" t="inlineStr">
        <is>
          <t>LG REPRESENTACOES LTDA - EPP</t>
        </is>
      </c>
      <c r="T611" t="inlineStr">
        <is>
          <t>ZV - NAO APLICAVEL</t>
        </is>
      </c>
      <c r="V611" t="inlineStr">
        <is>
          <t>demais</t>
        </is>
      </c>
      <c r="W611" t="inlineStr">
        <is>
          <t>REDES E FRANQUIAS</t>
        </is>
      </c>
    </row>
    <row r="612" ht="15" customHeight="1">
      <c r="A612" t="n">
        <v>0</v>
      </c>
      <c r="B612" t="inlineStr">
        <is>
          <t>ROXO</t>
        </is>
      </c>
      <c r="C612" t="n">
        <v>10875</v>
      </c>
      <c r="D612" t="n">
        <v>0</v>
      </c>
      <c r="E612" t="n">
        <v>10875</v>
      </c>
      <c r="F612" s="6" t="n">
        <v>0</v>
      </c>
      <c r="G612" t="inlineStr">
        <is>
          <t>CIA DA SAUDE</t>
        </is>
      </c>
      <c r="H612" t="inlineStr">
        <is>
          <t>SC</t>
        </is>
      </c>
      <c r="I612" t="n">
        <v>4899494412</v>
      </c>
      <c r="J612" t="inlineStr">
        <is>
          <t>Inativo</t>
        </is>
      </c>
      <c r="K612" t="inlineStr">
        <is>
          <t>CIA DA SAUDE</t>
        </is>
      </c>
      <c r="L612" t="inlineStr">
        <is>
          <t>SC</t>
        </is>
      </c>
      <c r="M612" t="n">
        <v>4899494412</v>
      </c>
      <c r="N612" t="n">
        <v>0</v>
      </c>
      <c r="O612" t="n">
        <v>906.25</v>
      </c>
      <c r="P612" t="inlineStr">
        <is>
          <t>03 - NACIONAL</t>
        </is>
      </c>
      <c r="Q612" t="inlineStr">
        <is>
          <t>JULIO GADRET</t>
        </is>
      </c>
      <c r="S612" t="inlineStr">
        <is>
          <t>LG REPRESENTACOES LTDA - EPP</t>
        </is>
      </c>
      <c r="T612" t="inlineStr">
        <is>
          <t>ZV - NAO APLICAVEL</t>
        </is>
      </c>
      <c r="V612" t="inlineStr">
        <is>
          <t>demais</t>
        </is>
      </c>
      <c r="W612" t="inlineStr">
        <is>
          <t>REDES E FRANQUIAS</t>
        </is>
      </c>
    </row>
    <row r="613" ht="15" customHeight="1">
      <c r="A613" t="n">
        <v>0</v>
      </c>
      <c r="B613" t="inlineStr">
        <is>
          <t>ROXO</t>
        </is>
      </c>
      <c r="C613" t="n">
        <v>10875</v>
      </c>
      <c r="D613" t="n">
        <v>0</v>
      </c>
      <c r="E613" t="n">
        <v>10875</v>
      </c>
      <c r="F613" s="6" t="n">
        <v>0</v>
      </c>
      <c r="G613" t="inlineStr">
        <is>
          <t>CIA DA SAUDE</t>
        </is>
      </c>
      <c r="H613" t="inlineStr">
        <is>
          <t>SC</t>
        </is>
      </c>
      <c r="I613" t="n">
        <v>48343305464</v>
      </c>
      <c r="J613" t="inlineStr">
        <is>
          <t>Inativo</t>
        </is>
      </c>
      <c r="K613" t="inlineStr">
        <is>
          <t>CIA DA SAUDE</t>
        </is>
      </c>
      <c r="L613" t="inlineStr">
        <is>
          <t>SC</t>
        </is>
      </c>
      <c r="M613" t="n">
        <v>48343305464</v>
      </c>
      <c r="N613" t="n">
        <v>0</v>
      </c>
      <c r="O613" t="n">
        <v>906.25</v>
      </c>
      <c r="P613" t="inlineStr">
        <is>
          <t>03 - NACIONAL</t>
        </is>
      </c>
      <c r="Q613" t="inlineStr">
        <is>
          <t>JULIO GADRET</t>
        </is>
      </c>
      <c r="S613" t="inlineStr">
        <is>
          <t>LG REPRESENTACOES LTDA - EPP</t>
        </is>
      </c>
      <c r="T613" t="inlineStr">
        <is>
          <t>ZV - NAO APLICAVEL</t>
        </is>
      </c>
      <c r="V613" t="inlineStr">
        <is>
          <t>demais</t>
        </is>
      </c>
      <c r="W613" t="inlineStr">
        <is>
          <t>REDES E FRANQUIAS</t>
        </is>
      </c>
    </row>
    <row r="614" ht="15" customHeight="1">
      <c r="A614" t="n">
        <v>0</v>
      </c>
      <c r="B614" t="inlineStr">
        <is>
          <t>ROXO</t>
        </is>
      </c>
      <c r="C614" t="n">
        <v>36000</v>
      </c>
      <c r="D614" t="n">
        <v>0</v>
      </c>
      <c r="E614" t="n">
        <v>36000</v>
      </c>
      <c r="F614" s="6" t="n">
        <v>0</v>
      </c>
      <c r="G614" t="inlineStr">
        <is>
          <t>JARDIM DAS ERVAS</t>
        </is>
      </c>
      <c r="H614" t="inlineStr">
        <is>
          <t>PR</t>
        </is>
      </c>
      <c r="I614" t="n">
        <v>41988205031</v>
      </c>
      <c r="J614" t="inlineStr">
        <is>
          <t>Inativo</t>
        </is>
      </c>
      <c r="K614" t="inlineStr">
        <is>
          <t>JARDIM DAS ERVAS</t>
        </is>
      </c>
      <c r="L614" t="inlineStr">
        <is>
          <t>PR</t>
        </is>
      </c>
      <c r="M614" t="n">
        <v>41988205031</v>
      </c>
      <c r="N614" t="n">
        <v>0</v>
      </c>
      <c r="O614" t="n">
        <v>3000</v>
      </c>
      <c r="P614" t="inlineStr">
        <is>
          <t>03 - NACIONAL</t>
        </is>
      </c>
      <c r="Q614" t="inlineStr">
        <is>
          <t>DAIANE STAVICKI</t>
        </is>
      </c>
      <c r="S614" t="inlineStr">
        <is>
          <t>ZR - NAO APLICAVEL</t>
        </is>
      </c>
      <c r="T614" t="inlineStr">
        <is>
          <t>ZV - NAO APLICAVEL</t>
        </is>
      </c>
      <c r="V614" t="inlineStr">
        <is>
          <t>demais</t>
        </is>
      </c>
      <c r="W614" t="inlineStr">
        <is>
          <t>REDES E FRANQUIAS</t>
        </is>
      </c>
    </row>
    <row r="615" ht="15" customHeight="1">
      <c r="A615" t="n">
        <v>0</v>
      </c>
      <c r="B615" t="inlineStr">
        <is>
          <t>ROXO</t>
        </is>
      </c>
      <c r="C615" t="n">
        <v>10875</v>
      </c>
      <c r="D615" t="n">
        <v>0</v>
      </c>
      <c r="E615" t="n">
        <v>10875</v>
      </c>
      <c r="F615" s="6" t="n">
        <v>0</v>
      </c>
      <c r="G615" t="inlineStr">
        <is>
          <t>CIA DA SAUDE</t>
        </is>
      </c>
      <c r="H615" t="inlineStr">
        <is>
          <t>PR</t>
        </is>
      </c>
      <c r="I615" t="n">
        <v>41885835074</v>
      </c>
      <c r="J615" t="inlineStr">
        <is>
          <t>Inativo</t>
        </is>
      </c>
      <c r="K615" t="inlineStr">
        <is>
          <t>CIA DA SAUDE</t>
        </is>
      </c>
      <c r="L615" t="inlineStr">
        <is>
          <t>PR</t>
        </is>
      </c>
      <c r="M615" t="n">
        <v>41885835074</v>
      </c>
      <c r="N615" t="n">
        <v>0</v>
      </c>
      <c r="O615" t="n">
        <v>906.25</v>
      </c>
      <c r="P615" t="inlineStr">
        <is>
          <t>03 - NACIONAL</t>
        </is>
      </c>
      <c r="Q615" t="inlineStr">
        <is>
          <t>JULIO GADRET</t>
        </is>
      </c>
      <c r="S615" t="inlineStr">
        <is>
          <t>LG REPRESENTACOES LTDA - EPP</t>
        </is>
      </c>
      <c r="T615" t="inlineStr">
        <is>
          <t>ZV - NAO APLICAVEL</t>
        </is>
      </c>
      <c r="V615" t="inlineStr">
        <is>
          <t>demais</t>
        </is>
      </c>
      <c r="W615" t="inlineStr">
        <is>
          <t>REDES E FRANQUIAS</t>
        </is>
      </c>
    </row>
    <row r="616" ht="15" customHeight="1">
      <c r="A616" t="n">
        <v>0</v>
      </c>
      <c r="B616" t="inlineStr">
        <is>
          <t>ROXO</t>
        </is>
      </c>
      <c r="C616" t="n">
        <v>10875</v>
      </c>
      <c r="D616" t="n">
        <v>0</v>
      </c>
      <c r="E616" t="n">
        <v>10875</v>
      </c>
      <c r="F616" s="6" t="n">
        <v>0</v>
      </c>
      <c r="G616" t="inlineStr">
        <is>
          <t>CIA DA SAUDE</t>
        </is>
      </c>
      <c r="H616" t="inlineStr">
        <is>
          <t>SC</t>
        </is>
      </c>
      <c r="I616" t="n">
        <v>4735151264</v>
      </c>
      <c r="J616" t="inlineStr">
        <is>
          <t>Inativo</t>
        </is>
      </c>
      <c r="K616" t="inlineStr">
        <is>
          <t>CIA DA SAUDE</t>
        </is>
      </c>
      <c r="L616" t="inlineStr">
        <is>
          <t>SC</t>
        </is>
      </c>
      <c r="M616" t="n">
        <v>4735151264</v>
      </c>
      <c r="N616" t="n">
        <v>0</v>
      </c>
      <c r="O616" t="n">
        <v>906.25</v>
      </c>
      <c r="P616" t="inlineStr">
        <is>
          <t>03 - NACIONAL</t>
        </is>
      </c>
      <c r="Q616" t="inlineStr">
        <is>
          <t>JULIO GADRET</t>
        </is>
      </c>
      <c r="S616" t="inlineStr">
        <is>
          <t>LG REPRESENTACOES LTDA - EPP</t>
        </is>
      </c>
      <c r="T616" t="inlineStr">
        <is>
          <t>ZV - NAO APLICAVEL</t>
        </is>
      </c>
      <c r="V616" t="inlineStr">
        <is>
          <t>demais</t>
        </is>
      </c>
      <c r="W616" t="inlineStr">
        <is>
          <t>REDES E FRANQUIAS</t>
        </is>
      </c>
    </row>
    <row r="617" ht="15" customHeight="1">
      <c r="A617" t="n">
        <v>0</v>
      </c>
      <c r="B617" t="inlineStr">
        <is>
          <t>ROXO</t>
        </is>
      </c>
      <c r="C617" t="n">
        <v>10706.9</v>
      </c>
      <c r="D617" t="n">
        <v>0</v>
      </c>
      <c r="E617" t="n">
        <v>10706.9</v>
      </c>
      <c r="F617" s="6" t="n">
        <v>0</v>
      </c>
      <c r="G617" t="inlineStr">
        <is>
          <t>FITLAND</t>
        </is>
      </c>
      <c r="H617" t="inlineStr">
        <is>
          <t>SC</t>
        </is>
      </c>
      <c r="I617" t="n">
        <v>4899350025</v>
      </c>
      <c r="J617" t="inlineStr">
        <is>
          <t>Inativo</t>
        </is>
      </c>
      <c r="K617" t="inlineStr">
        <is>
          <t>FITLAND</t>
        </is>
      </c>
      <c r="L617" t="inlineStr">
        <is>
          <t>SC</t>
        </is>
      </c>
      <c r="M617" t="n">
        <v>4899350025</v>
      </c>
      <c r="N617" t="n">
        <v>0</v>
      </c>
      <c r="O617" t="n">
        <v>892.24</v>
      </c>
      <c r="P617" t="inlineStr">
        <is>
          <t>03 - NACIONAL</t>
        </is>
      </c>
      <c r="Q617" t="inlineStr">
        <is>
          <t>JULIO GADRET</t>
        </is>
      </c>
      <c r="S617" t="inlineStr">
        <is>
          <t>ZR - NAO APLICAVEL</t>
        </is>
      </c>
      <c r="T617" t="inlineStr">
        <is>
          <t>ZV - NAO APLICAVEL</t>
        </is>
      </c>
      <c r="V617" t="inlineStr">
        <is>
          <t>demais</t>
        </is>
      </c>
      <c r="W617" t="inlineStr">
        <is>
          <t>REDES E FRANQUIAS</t>
        </is>
      </c>
    </row>
    <row r="618" ht="15" customHeight="1">
      <c r="A618" t="n">
        <v>0</v>
      </c>
      <c r="B618" t="inlineStr">
        <is>
          <t>ROXO</t>
        </is>
      </c>
      <c r="C618" t="n">
        <v>6566.04</v>
      </c>
      <c r="D618" t="n">
        <v>0</v>
      </c>
      <c r="E618" t="n">
        <v>6566.04</v>
      </c>
      <c r="F618" s="6" t="n">
        <v>0</v>
      </c>
      <c r="G618" t="inlineStr">
        <is>
          <t>DIVINA TERRA</t>
        </is>
      </c>
      <c r="H618" t="inlineStr">
        <is>
          <t>MT</t>
        </is>
      </c>
      <c r="I618" t="n">
        <v>6630153509</v>
      </c>
      <c r="J618" t="inlineStr">
        <is>
          <t>Inativo</t>
        </is>
      </c>
      <c r="K618" t="inlineStr">
        <is>
          <t>DIVINA TERRA</t>
        </is>
      </c>
      <c r="L618" t="inlineStr">
        <is>
          <t>MT</t>
        </is>
      </c>
      <c r="M618" t="n">
        <v>6630153509</v>
      </c>
      <c r="N618" t="n">
        <v>0</v>
      </c>
      <c r="O618" t="n">
        <v>547.17</v>
      </c>
      <c r="P618" t="inlineStr">
        <is>
          <t>03 - NACIONAL</t>
        </is>
      </c>
      <c r="Q618" t="inlineStr">
        <is>
          <t>DAIANE STAVICKI</t>
        </is>
      </c>
      <c r="S618" t="inlineStr">
        <is>
          <t>ZR - NAO APLICAVEL</t>
        </is>
      </c>
      <c r="T618" t="inlineStr">
        <is>
          <t>ZV - NAO APLICAVEL</t>
        </is>
      </c>
      <c r="V618" t="inlineStr">
        <is>
          <t>demais</t>
        </is>
      </c>
      <c r="W618" t="inlineStr">
        <is>
          <t>REDES E FRANQUIAS</t>
        </is>
      </c>
    </row>
    <row r="619" ht="15" customHeight="1">
      <c r="A619" t="n">
        <v>0</v>
      </c>
      <c r="B619" t="inlineStr">
        <is>
          <t>ROXO</t>
        </is>
      </c>
      <c r="C619" t="n">
        <v>10706.9</v>
      </c>
      <c r="D619" t="n">
        <v>0</v>
      </c>
      <c r="E619" t="n">
        <v>10706.9</v>
      </c>
      <c r="F619" s="6" t="n">
        <v>0</v>
      </c>
      <c r="G619" t="inlineStr">
        <is>
          <t>FITLAND</t>
        </is>
      </c>
      <c r="H619" t="inlineStr">
        <is>
          <t>SC</t>
        </is>
      </c>
      <c r="I619" t="n">
        <v>4899208020</v>
      </c>
      <c r="J619" t="inlineStr">
        <is>
          <t>Inativo</t>
        </is>
      </c>
      <c r="K619" t="inlineStr">
        <is>
          <t>FITLAND</t>
        </is>
      </c>
      <c r="L619" t="inlineStr">
        <is>
          <t>SC</t>
        </is>
      </c>
      <c r="M619" t="n">
        <v>4899208020</v>
      </c>
      <c r="N619" t="n">
        <v>0</v>
      </c>
      <c r="O619" t="n">
        <v>892.24</v>
      </c>
      <c r="P619" t="inlineStr">
        <is>
          <t>03 - NACIONAL</t>
        </is>
      </c>
      <c r="Q619" t="inlineStr">
        <is>
          <t>JULIO GADRET</t>
        </is>
      </c>
      <c r="S619" t="inlineStr">
        <is>
          <t>LG REPRESENTACOES LTDA - EPP</t>
        </is>
      </c>
      <c r="T619" t="inlineStr">
        <is>
          <t>ZV - NAO APLICAVEL</t>
        </is>
      </c>
      <c r="V619" t="inlineStr">
        <is>
          <t>demais</t>
        </is>
      </c>
      <c r="W619" t="inlineStr">
        <is>
          <t>REDES E FRANQUIAS</t>
        </is>
      </c>
    </row>
    <row r="620" ht="15" customHeight="1">
      <c r="A620" t="n">
        <v>0</v>
      </c>
      <c r="B620" t="inlineStr">
        <is>
          <t>ROXO</t>
        </is>
      </c>
      <c r="C620" t="n">
        <v>10706.9</v>
      </c>
      <c r="D620" t="n">
        <v>0</v>
      </c>
      <c r="E620" t="n">
        <v>10706.9</v>
      </c>
      <c r="F620" s="6" t="n">
        <v>0</v>
      </c>
      <c r="G620" t="inlineStr">
        <is>
          <t>FITLAND</t>
        </is>
      </c>
      <c r="H620" t="inlineStr">
        <is>
          <t>SC</t>
        </is>
      </c>
      <c r="I620" t="n">
        <v>5199217941</v>
      </c>
      <c r="J620" t="inlineStr">
        <is>
          <t>Inativo</t>
        </is>
      </c>
      <c r="K620" t="inlineStr">
        <is>
          <t>FITLAND</t>
        </is>
      </c>
      <c r="L620" t="inlineStr">
        <is>
          <t>SC</t>
        </is>
      </c>
      <c r="M620" t="n">
        <v>5199217941</v>
      </c>
      <c r="N620" t="n">
        <v>0</v>
      </c>
      <c r="O620" t="n">
        <v>892.24</v>
      </c>
      <c r="P620" t="inlineStr">
        <is>
          <t>03 - NACIONAL</t>
        </is>
      </c>
      <c r="Q620" t="inlineStr">
        <is>
          <t>JULIO GADRET</t>
        </is>
      </c>
      <c r="S620" t="inlineStr">
        <is>
          <t>ZR - NAO APLICAVEL</t>
        </is>
      </c>
      <c r="T620" t="inlineStr">
        <is>
          <t>ZV - NAO APLICAVEL</t>
        </is>
      </c>
      <c r="V620" t="inlineStr">
        <is>
          <t>demais</t>
        </is>
      </c>
      <c r="W620" t="inlineStr">
        <is>
          <t>REDES E FRANQUIAS</t>
        </is>
      </c>
    </row>
    <row r="621" ht="15" customHeight="1">
      <c r="A621" t="n">
        <v>0</v>
      </c>
      <c r="B621" t="inlineStr">
        <is>
          <t>ROXO</t>
        </is>
      </c>
      <c r="C621" t="n">
        <v>6000</v>
      </c>
      <c r="D621" t="n">
        <v>0</v>
      </c>
      <c r="E621" t="n">
        <v>6000</v>
      </c>
      <c r="F621" s="6" t="n">
        <v>0</v>
      </c>
      <c r="G621" t="inlineStr">
        <is>
          <t>LIGEIRINHO</t>
        </is>
      </c>
      <c r="H621" t="inlineStr">
        <is>
          <t>RJ</t>
        </is>
      </c>
      <c r="I621" t="n">
        <v>2196652683</v>
      </c>
      <c r="J621" t="inlineStr">
        <is>
          <t>Inativo</t>
        </is>
      </c>
      <c r="K621" t="inlineStr">
        <is>
          <t>LIGEIRINHO</t>
        </is>
      </c>
      <c r="L621" t="inlineStr">
        <is>
          <t>RJ</t>
        </is>
      </c>
      <c r="M621" t="n">
        <v>2196652683</v>
      </c>
      <c r="N621" t="n">
        <v>0</v>
      </c>
      <c r="O621" t="n">
        <v>500</v>
      </c>
      <c r="P621" t="inlineStr">
        <is>
          <t>03 - NACIONAL</t>
        </is>
      </c>
      <c r="Q621" t="inlineStr">
        <is>
          <t>LARISSA PADILHA</t>
        </is>
      </c>
      <c r="S621" t="inlineStr">
        <is>
          <t>42.149.466 LARISSA DA SILVA PADILHA - ME</t>
        </is>
      </c>
      <c r="T621" t="inlineStr">
        <is>
          <t>ZV - NAO APLICAVEL</t>
        </is>
      </c>
      <c r="V621" t="inlineStr">
        <is>
          <t>demais</t>
        </is>
      </c>
      <c r="W621" t="inlineStr">
        <is>
          <t>REDES E FRANQUIAS</t>
        </is>
      </c>
    </row>
    <row r="622" ht="15" customHeight="1">
      <c r="A622" t="n">
        <v>0</v>
      </c>
      <c r="B622" t="inlineStr">
        <is>
          <t>ROXO</t>
        </is>
      </c>
      <c r="C622" t="n">
        <v>10875</v>
      </c>
      <c r="D622" t="n">
        <v>0</v>
      </c>
      <c r="E622" t="n">
        <v>10875</v>
      </c>
      <c r="F622" s="6" t="n">
        <v>0</v>
      </c>
      <c r="G622" t="inlineStr">
        <is>
          <t>CIA DA SAUDE</t>
        </is>
      </c>
      <c r="H622" t="inlineStr">
        <is>
          <t>SC</t>
        </is>
      </c>
      <c r="I622" t="n">
        <v>4784679894</v>
      </c>
      <c r="J622" t="inlineStr">
        <is>
          <t>Inativo</t>
        </is>
      </c>
      <c r="K622" t="inlineStr">
        <is>
          <t>CIA DA SAUDE</t>
        </is>
      </c>
      <c r="L622" t="inlineStr">
        <is>
          <t>SC</t>
        </is>
      </c>
      <c r="M622" t="n">
        <v>4784679894</v>
      </c>
      <c r="N622" t="n">
        <v>0</v>
      </c>
      <c r="O622" t="n">
        <v>906.25</v>
      </c>
      <c r="P622" t="inlineStr">
        <is>
          <t>03 - NACIONAL</t>
        </is>
      </c>
      <c r="Q622" t="inlineStr">
        <is>
          <t>JULIO GADRET</t>
        </is>
      </c>
      <c r="S622" t="inlineStr">
        <is>
          <t>LG REPRESENTACOES LTDA - EPP</t>
        </is>
      </c>
      <c r="T622" t="inlineStr">
        <is>
          <t>ZV - NAO APLICAVEL</t>
        </is>
      </c>
      <c r="V622" t="inlineStr">
        <is>
          <t>demais</t>
        </is>
      </c>
      <c r="W622" t="inlineStr">
        <is>
          <t>REDES E FRANQUIAS</t>
        </is>
      </c>
    </row>
    <row r="623" ht="15" customHeight="1">
      <c r="A623" t="n">
        <v>0</v>
      </c>
      <c r="B623" t="inlineStr">
        <is>
          <t>ROXO</t>
        </is>
      </c>
      <c r="C623" t="n">
        <v>10706.9</v>
      </c>
      <c r="D623" t="n">
        <v>0</v>
      </c>
      <c r="E623" t="n">
        <v>10706.9</v>
      </c>
      <c r="F623" s="6" t="n">
        <v>0</v>
      </c>
      <c r="G623" t="inlineStr">
        <is>
          <t>FITLAND</t>
        </is>
      </c>
      <c r="H623" t="inlineStr">
        <is>
          <t>SC</t>
        </is>
      </c>
      <c r="I623" t="n">
        <v>4888199013</v>
      </c>
      <c r="J623" t="inlineStr">
        <is>
          <t>Inativo</t>
        </is>
      </c>
      <c r="K623" t="inlineStr">
        <is>
          <t>FITLAND</t>
        </is>
      </c>
      <c r="L623" t="inlineStr">
        <is>
          <t>SC</t>
        </is>
      </c>
      <c r="M623" t="n">
        <v>4888199013</v>
      </c>
      <c r="N623" t="n">
        <v>0</v>
      </c>
      <c r="O623" t="n">
        <v>892.24</v>
      </c>
      <c r="P623" t="inlineStr">
        <is>
          <t>03 - NACIONAL</t>
        </is>
      </c>
      <c r="Q623" t="inlineStr">
        <is>
          <t>JULIO GADRET</t>
        </is>
      </c>
      <c r="S623" t="inlineStr">
        <is>
          <t>ZR - NAO APLICAVEL</t>
        </is>
      </c>
      <c r="T623" t="inlineStr">
        <is>
          <t>ZV - NAO APLICAVEL</t>
        </is>
      </c>
      <c r="V623" t="inlineStr">
        <is>
          <t>demais</t>
        </is>
      </c>
      <c r="W623" t="inlineStr">
        <is>
          <t>REDES E FRANQUIAS</t>
        </is>
      </c>
    </row>
    <row r="624" ht="15" customHeight="1">
      <c r="A624" t="n">
        <v>0</v>
      </c>
      <c r="B624" t="inlineStr">
        <is>
          <t>ROXO</t>
        </is>
      </c>
      <c r="C624" t="n">
        <v>10875</v>
      </c>
      <c r="D624" t="n">
        <v>0</v>
      </c>
      <c r="E624" t="n">
        <v>10875</v>
      </c>
      <c r="F624" s="6" t="n">
        <v>0</v>
      </c>
      <c r="G624" t="inlineStr">
        <is>
          <t>CIA DA SAUDE</t>
        </is>
      </c>
      <c r="H624" t="inlineStr">
        <is>
          <t>SC</t>
        </is>
      </c>
      <c r="I624" t="n">
        <v>4830585741</v>
      </c>
      <c r="J624" t="inlineStr">
        <is>
          <t>Inativo</t>
        </is>
      </c>
      <c r="K624" t="inlineStr">
        <is>
          <t>CIA DA SAUDE</t>
        </is>
      </c>
      <c r="L624" t="inlineStr">
        <is>
          <t>SC</t>
        </is>
      </c>
      <c r="M624" t="n">
        <v>4830585741</v>
      </c>
      <c r="N624" t="n">
        <v>0</v>
      </c>
      <c r="O624" t="n">
        <v>906.25</v>
      </c>
      <c r="P624" t="inlineStr">
        <is>
          <t>03 - NACIONAL</t>
        </is>
      </c>
      <c r="Q624" t="inlineStr">
        <is>
          <t>JULIO GADRET</t>
        </is>
      </c>
      <c r="S624" t="inlineStr">
        <is>
          <t>LG REPRESENTACOES LTDA - EPP</t>
        </is>
      </c>
      <c r="T624" t="inlineStr">
        <is>
          <t>ZV - NAO APLICAVEL</t>
        </is>
      </c>
      <c r="V624" t="inlineStr">
        <is>
          <t>demais</t>
        </is>
      </c>
      <c r="W624" t="inlineStr">
        <is>
          <t>REDES E FRANQUIAS</t>
        </is>
      </c>
    </row>
    <row r="625" ht="15" customHeight="1">
      <c r="A625" t="n">
        <v>0</v>
      </c>
      <c r="B625" t="inlineStr">
        <is>
          <t>ROXO</t>
        </is>
      </c>
      <c r="C625" t="n">
        <v>10200</v>
      </c>
      <c r="D625" t="n">
        <v>0</v>
      </c>
      <c r="E625" t="n">
        <v>10200</v>
      </c>
      <c r="F625" s="6" t="n">
        <v>0</v>
      </c>
      <c r="G625" t="inlineStr">
        <is>
          <t>VIDA LEVE</t>
        </is>
      </c>
      <c r="H625" t="inlineStr">
        <is>
          <t>BA</t>
        </is>
      </c>
      <c r="I625" t="n">
        <v>71993025896</v>
      </c>
      <c r="J625" t="inlineStr">
        <is>
          <t>Inativo</t>
        </is>
      </c>
      <c r="K625" t="inlineStr">
        <is>
          <t>VIDA LEVE</t>
        </is>
      </c>
      <c r="L625" t="inlineStr">
        <is>
          <t>BA</t>
        </is>
      </c>
      <c r="M625" t="n">
        <v>71993025896</v>
      </c>
      <c r="N625" t="n">
        <v>0</v>
      </c>
      <c r="O625" t="n">
        <v>850</v>
      </c>
      <c r="P625" t="inlineStr">
        <is>
          <t>03 - NACIONAL</t>
        </is>
      </c>
      <c r="Q625" t="inlineStr">
        <is>
          <t>LARISSA PADILHA</t>
        </is>
      </c>
      <c r="S625" t="inlineStr">
        <is>
          <t>42.149.466 LARISSA DA SILVA PADILHA - ME</t>
        </is>
      </c>
      <c r="T625" t="inlineStr">
        <is>
          <t>ZV - NAO APLICAVEL</t>
        </is>
      </c>
      <c r="V625" t="inlineStr">
        <is>
          <t>demais</t>
        </is>
      </c>
      <c r="W625" t="inlineStr">
        <is>
          <t>REDES E FRANQUIAS</t>
        </is>
      </c>
    </row>
    <row r="626" ht="15" customHeight="1">
      <c r="A626" t="n">
        <v>0</v>
      </c>
      <c r="B626" t="inlineStr">
        <is>
          <t>ROXO</t>
        </is>
      </c>
      <c r="C626" t="n">
        <v>6000</v>
      </c>
      <c r="D626" t="n">
        <v>0</v>
      </c>
      <c r="E626" t="n">
        <v>6000</v>
      </c>
      <c r="F626" s="6" t="n">
        <v>0</v>
      </c>
      <c r="G626" t="inlineStr">
        <is>
          <t>LIGEIRINHO</t>
        </is>
      </c>
      <c r="H626" t="inlineStr">
        <is>
          <t>RJ</t>
        </is>
      </c>
      <c r="I626" t="n">
        <v>2137880348</v>
      </c>
      <c r="J626" t="inlineStr">
        <is>
          <t>Inativo</t>
        </is>
      </c>
      <c r="K626" t="inlineStr">
        <is>
          <t>LIGEIRINHO</t>
        </is>
      </c>
      <c r="L626" t="inlineStr">
        <is>
          <t>RJ</t>
        </is>
      </c>
      <c r="M626" t="n">
        <v>2137880348</v>
      </c>
      <c r="N626" t="n">
        <v>0</v>
      </c>
      <c r="O626" t="n">
        <v>500</v>
      </c>
      <c r="P626" t="inlineStr">
        <is>
          <t>03 - NACIONAL</t>
        </is>
      </c>
      <c r="Q626" t="inlineStr">
        <is>
          <t>LARISSA PADILHA</t>
        </is>
      </c>
      <c r="S626" t="inlineStr">
        <is>
          <t>42.149.466 LARISSA DA SILVA PADILHA - ME</t>
        </is>
      </c>
      <c r="T626" t="inlineStr">
        <is>
          <t>ZV - NAO APLICAVEL</t>
        </is>
      </c>
      <c r="V626" t="inlineStr">
        <is>
          <t>demais</t>
        </is>
      </c>
      <c r="W626" t="inlineStr">
        <is>
          <t>REDES E FRANQUIAS</t>
        </is>
      </c>
    </row>
    <row r="627" ht="15" customHeight="1">
      <c r="A627" t="n">
        <v>0</v>
      </c>
      <c r="B627" t="inlineStr">
        <is>
          <t>ROXO</t>
        </is>
      </c>
      <c r="C627" t="n">
        <v>5615.5</v>
      </c>
      <c r="D627" t="n">
        <v>0</v>
      </c>
      <c r="E627" t="n">
        <v>5615.5</v>
      </c>
      <c r="F627" s="6" t="n">
        <v>0</v>
      </c>
      <c r="G627" t="inlineStr">
        <is>
          <t>SEM GRUPO</t>
        </is>
      </c>
      <c r="H627" t="inlineStr">
        <is>
          <t>PR</t>
        </is>
      </c>
      <c r="I627" t="n">
        <v>11932574943</v>
      </c>
      <c r="J627" t="inlineStr">
        <is>
          <t>Inativo</t>
        </is>
      </c>
      <c r="K627" t="inlineStr">
        <is>
          <t>SEM REDE</t>
        </is>
      </c>
      <c r="L627" t="inlineStr">
        <is>
          <t>PR</t>
        </is>
      </c>
      <c r="M627" t="n">
        <v>11932574943</v>
      </c>
      <c r="N627" t="n">
        <v>0</v>
      </c>
      <c r="O627" t="n">
        <v>467.96</v>
      </c>
      <c r="P627" t="inlineStr">
        <is>
          <t>03 - SUL</t>
        </is>
      </c>
      <c r="Q627" t="inlineStr">
        <is>
          <t>HEMANUELE DITZEL (MANU)</t>
        </is>
      </c>
      <c r="S627" t="inlineStr">
        <is>
          <t>ZR - NAO APLICAVEL</t>
        </is>
      </c>
      <c r="T627" t="inlineStr">
        <is>
          <t>ZV - NAO APLICAVEL</t>
        </is>
      </c>
      <c r="V627" t="inlineStr">
        <is>
          <t>demais</t>
        </is>
      </c>
      <c r="W627" t="inlineStr">
        <is>
          <t>REGIÕES/GRUPOS</t>
        </is>
      </c>
    </row>
    <row r="628" ht="15" customHeight="1">
      <c r="A628" t="n">
        <v>0</v>
      </c>
      <c r="B628" t="inlineStr">
        <is>
          <t>ROXO</t>
        </is>
      </c>
      <c r="C628" t="n">
        <v>6281.25</v>
      </c>
      <c r="D628" t="n">
        <v>0</v>
      </c>
      <c r="E628" t="n">
        <v>6281.25</v>
      </c>
      <c r="F628" s="6" t="n">
        <v>0</v>
      </c>
      <c r="G628" t="inlineStr">
        <is>
          <t>BIO MUNDO</t>
        </is>
      </c>
      <c r="H628" t="inlineStr">
        <is>
          <t>DF</t>
        </is>
      </c>
      <c r="I628" t="n">
        <v>6133633809</v>
      </c>
      <c r="J628" t="inlineStr">
        <is>
          <t>Inativo</t>
        </is>
      </c>
      <c r="K628" t="inlineStr">
        <is>
          <t>BIO MUNDO</t>
        </is>
      </c>
      <c r="L628" t="inlineStr">
        <is>
          <t>DF</t>
        </is>
      </c>
      <c r="M628" t="n">
        <v>6133633809</v>
      </c>
      <c r="N628" t="n">
        <v>0</v>
      </c>
      <c r="O628" t="n">
        <v>523.4400000000001</v>
      </c>
      <c r="P628" t="inlineStr">
        <is>
          <t>03 - NACIONAL</t>
        </is>
      </c>
      <c r="Q628" t="inlineStr">
        <is>
          <t>DAIANE STAVICKI</t>
        </is>
      </c>
      <c r="S628" t="inlineStr">
        <is>
          <t>ZR - NAO APLICAVEL</t>
        </is>
      </c>
      <c r="T628" t="inlineStr">
        <is>
          <t>ZV - NAO APLICAVEL</t>
        </is>
      </c>
      <c r="V628" t="inlineStr">
        <is>
          <t>demais</t>
        </is>
      </c>
      <c r="W628" t="inlineStr">
        <is>
          <t>REDES E FRANQUIAS</t>
        </is>
      </c>
    </row>
    <row r="629" ht="15" customHeight="1">
      <c r="A629" t="n">
        <v>0</v>
      </c>
      <c r="B629" t="inlineStr">
        <is>
          <t>ROXO</t>
        </is>
      </c>
      <c r="C629" t="n">
        <v>5615.5</v>
      </c>
      <c r="D629" t="n">
        <v>0</v>
      </c>
      <c r="E629" t="n">
        <v>5615.5</v>
      </c>
      <c r="F629" s="6" t="n">
        <v>0</v>
      </c>
      <c r="G629" t="inlineStr">
        <is>
          <t>SEM GRUPO</t>
        </is>
      </c>
      <c r="H629" t="inlineStr">
        <is>
          <t>RS</t>
        </is>
      </c>
      <c r="I629" t="n">
        <v>5196887423</v>
      </c>
      <c r="J629" t="inlineStr">
        <is>
          <t>Inativo</t>
        </is>
      </c>
      <c r="K629" t="inlineStr">
        <is>
          <t>SEM REDE</t>
        </is>
      </c>
      <c r="L629" t="inlineStr">
        <is>
          <t>RS</t>
        </is>
      </c>
      <c r="M629" t="n">
        <v>5196887423</v>
      </c>
      <c r="N629" t="n">
        <v>0</v>
      </c>
      <c r="O629" t="n">
        <v>467.96</v>
      </c>
      <c r="P629" t="inlineStr">
        <is>
          <t>03 - SUL</t>
        </is>
      </c>
      <c r="Q629" t="inlineStr">
        <is>
          <t>HEMANUELE DITZEL (MANU)</t>
        </is>
      </c>
      <c r="S629" t="inlineStr">
        <is>
          <t>ZR - NAO APLICAVEL</t>
        </is>
      </c>
      <c r="T629" t="inlineStr">
        <is>
          <t>HEMANUELE ROSA DITZEL</t>
        </is>
      </c>
      <c r="V629" t="inlineStr">
        <is>
          <t>demais</t>
        </is>
      </c>
      <c r="W629" t="inlineStr">
        <is>
          <t>REGIÕES/GRUPOS</t>
        </is>
      </c>
    </row>
    <row r="630" ht="15" customHeight="1">
      <c r="A630" t="n">
        <v>0</v>
      </c>
      <c r="B630" t="inlineStr">
        <is>
          <t>ROXO</t>
        </is>
      </c>
      <c r="C630" t="n">
        <v>6281.25</v>
      </c>
      <c r="D630" t="n">
        <v>0</v>
      </c>
      <c r="E630" t="n">
        <v>6281.25</v>
      </c>
      <c r="F630" s="6" t="n">
        <v>0</v>
      </c>
      <c r="G630" t="inlineStr">
        <is>
          <t>BIO MUNDO</t>
        </is>
      </c>
      <c r="H630" t="inlineStr">
        <is>
          <t>TO</t>
        </is>
      </c>
      <c r="I630" t="n">
        <v>6181292671</v>
      </c>
      <c r="J630" t="inlineStr">
        <is>
          <t>Inativo</t>
        </is>
      </c>
      <c r="K630" t="inlineStr">
        <is>
          <t>BIO MUNDO</t>
        </is>
      </c>
      <c r="L630" t="inlineStr">
        <is>
          <t>TO</t>
        </is>
      </c>
      <c r="M630" t="n">
        <v>6181292671</v>
      </c>
      <c r="N630" t="n">
        <v>0</v>
      </c>
      <c r="O630" t="n">
        <v>523.4400000000001</v>
      </c>
      <c r="P630" t="inlineStr">
        <is>
          <t>03 - NACIONAL</t>
        </is>
      </c>
      <c r="Q630" t="inlineStr">
        <is>
          <t>HEMANUELE DITZEL (MANU)</t>
        </is>
      </c>
      <c r="S630" t="inlineStr">
        <is>
          <t>ZR - NAO APLICAVEL</t>
        </is>
      </c>
      <c r="T630" t="inlineStr">
        <is>
          <t>HEMANUELE ROSA DITZEL</t>
        </is>
      </c>
      <c r="V630" t="inlineStr">
        <is>
          <t>demais</t>
        </is>
      </c>
      <c r="W630" t="inlineStr">
        <is>
          <t>REDES E FRANQUIAS</t>
        </is>
      </c>
    </row>
    <row r="631" ht="15" customHeight="1">
      <c r="A631" t="n">
        <v>0</v>
      </c>
      <c r="B631" t="inlineStr">
        <is>
          <t>ROXO</t>
        </is>
      </c>
      <c r="C631" t="n">
        <v>5615.5</v>
      </c>
      <c r="D631" t="n">
        <v>0</v>
      </c>
      <c r="E631" t="n">
        <v>5615.5</v>
      </c>
      <c r="F631" s="6" t="n">
        <v>0</v>
      </c>
      <c r="G631" t="inlineStr">
        <is>
          <t>SEM GRUPO</t>
        </is>
      </c>
      <c r="H631" t="inlineStr">
        <is>
          <t>PR</t>
        </is>
      </c>
      <c r="I631" t="n">
        <v>4132763516</v>
      </c>
      <c r="J631" t="inlineStr">
        <is>
          <t>Inativo</t>
        </is>
      </c>
      <c r="K631" t="inlineStr">
        <is>
          <t>SEM REDE</t>
        </is>
      </c>
      <c r="L631" t="inlineStr">
        <is>
          <t>PR</t>
        </is>
      </c>
      <c r="M631" t="n">
        <v>4132763516</v>
      </c>
      <c r="N631" t="n">
        <v>0</v>
      </c>
      <c r="O631" t="n">
        <v>467.96</v>
      </c>
      <c r="P631" t="inlineStr">
        <is>
          <t>03 - SUL</t>
        </is>
      </c>
      <c r="Q631" t="inlineStr">
        <is>
          <t>HEMANUELE DITZEL (MANU)</t>
        </is>
      </c>
      <c r="S631" t="inlineStr">
        <is>
          <t>ZR - NAO APLICAVEL</t>
        </is>
      </c>
      <c r="T631" t="inlineStr">
        <is>
          <t>HEMANUELE ROSA DITZEL</t>
        </is>
      </c>
      <c r="V631" t="inlineStr">
        <is>
          <t>demais</t>
        </is>
      </c>
      <c r="W631" t="inlineStr">
        <is>
          <t>REGIÕES/GRUPOS</t>
        </is>
      </c>
    </row>
    <row r="632" ht="15" customHeight="1">
      <c r="A632" t="n">
        <v>0</v>
      </c>
      <c r="B632" t="inlineStr">
        <is>
          <t>ROXO</t>
        </is>
      </c>
      <c r="C632" t="n">
        <v>6566.04</v>
      </c>
      <c r="D632" t="n">
        <v>0</v>
      </c>
      <c r="E632" t="n">
        <v>6566.04</v>
      </c>
      <c r="F632" s="6" t="n">
        <v>0</v>
      </c>
      <c r="G632" t="inlineStr">
        <is>
          <t>DIVINA TERRA</t>
        </is>
      </c>
      <c r="H632" t="inlineStr">
        <is>
          <t>AM</t>
        </is>
      </c>
      <c r="I632" t="n">
        <v>9281536452</v>
      </c>
      <c r="J632" t="inlineStr">
        <is>
          <t>Inativo</t>
        </is>
      </c>
      <c r="K632" t="inlineStr">
        <is>
          <t>DIVINA TERRA</t>
        </is>
      </c>
      <c r="L632" t="inlineStr">
        <is>
          <t>AM</t>
        </is>
      </c>
      <c r="M632" t="n">
        <v>9281536452</v>
      </c>
      <c r="N632" t="n">
        <v>0</v>
      </c>
      <c r="O632" t="n">
        <v>547.17</v>
      </c>
      <c r="P632" t="inlineStr">
        <is>
          <t>03 - NACIONAL</t>
        </is>
      </c>
      <c r="Q632" t="inlineStr">
        <is>
          <t>LARISSA PADILHA</t>
        </is>
      </c>
      <c r="S632" t="inlineStr">
        <is>
          <t>42.149.466 LARISSA DA SILVA PADILHA - ME</t>
        </is>
      </c>
      <c r="T632" t="inlineStr">
        <is>
          <t>ZV - NAO APLICAVEL</t>
        </is>
      </c>
      <c r="V632" t="inlineStr">
        <is>
          <t>demais</t>
        </is>
      </c>
      <c r="W632" t="inlineStr">
        <is>
          <t>REDES E FRANQUIAS</t>
        </is>
      </c>
    </row>
    <row r="633" ht="15" customHeight="1">
      <c r="A633" t="n">
        <v>0</v>
      </c>
      <c r="B633" t="inlineStr">
        <is>
          <t>ROXO</t>
        </is>
      </c>
      <c r="C633" t="n">
        <v>6281.25</v>
      </c>
      <c r="D633" t="n">
        <v>0</v>
      </c>
      <c r="E633" t="n">
        <v>6281.25</v>
      </c>
      <c r="F633" s="6" t="n">
        <v>0</v>
      </c>
      <c r="G633" t="inlineStr">
        <is>
          <t>BIO MUNDO</t>
        </is>
      </c>
      <c r="H633" t="inlineStr">
        <is>
          <t>MA</t>
        </is>
      </c>
      <c r="I633" t="n">
        <v>9996311517</v>
      </c>
      <c r="J633" t="inlineStr">
        <is>
          <t>Inativo</t>
        </is>
      </c>
      <c r="K633" t="inlineStr">
        <is>
          <t>BIO MUNDO</t>
        </is>
      </c>
      <c r="L633" t="inlineStr">
        <is>
          <t>MA</t>
        </is>
      </c>
      <c r="M633" t="n">
        <v>9996311517</v>
      </c>
      <c r="N633" t="n">
        <v>0</v>
      </c>
      <c r="O633" t="n">
        <v>523.4400000000001</v>
      </c>
      <c r="P633" t="inlineStr">
        <is>
          <t>03 - NACIONAL</t>
        </is>
      </c>
      <c r="Q633" t="inlineStr">
        <is>
          <t>DAIANE STAVICKI</t>
        </is>
      </c>
      <c r="S633" t="inlineStr">
        <is>
          <t>ZR - NAO APLICAVEL</t>
        </is>
      </c>
      <c r="T633" t="inlineStr">
        <is>
          <t>ZV - NAO APLICAVEL</t>
        </is>
      </c>
      <c r="V633" t="inlineStr">
        <is>
          <t>demais</t>
        </is>
      </c>
      <c r="W633" t="inlineStr">
        <is>
          <t>REDES E FRANQUIAS</t>
        </is>
      </c>
    </row>
    <row r="634" ht="15" customHeight="1">
      <c r="A634" t="n">
        <v>0</v>
      </c>
      <c r="B634" t="inlineStr">
        <is>
          <t>ROXO</t>
        </is>
      </c>
      <c r="C634" t="n">
        <v>8833.33</v>
      </c>
      <c r="D634" t="n">
        <v>0</v>
      </c>
      <c r="E634" t="n">
        <v>8833.33</v>
      </c>
      <c r="F634" s="6" t="n">
        <v>0</v>
      </c>
      <c r="G634" t="inlineStr">
        <is>
          <t>TUDO EM GRAOS / VGA</t>
        </is>
      </c>
      <c r="H634" t="inlineStr">
        <is>
          <t>RS</t>
        </is>
      </c>
      <c r="I634" t="n">
        <v>54999710194</v>
      </c>
      <c r="J634" t="inlineStr">
        <is>
          <t>Inativo</t>
        </is>
      </c>
      <c r="K634" t="inlineStr">
        <is>
          <t>TUDO EM GRAOS</t>
        </is>
      </c>
      <c r="L634" t="inlineStr">
        <is>
          <t>RS</t>
        </is>
      </c>
      <c r="M634" t="n">
        <v>54999710194</v>
      </c>
      <c r="N634" t="n">
        <v>0</v>
      </c>
      <c r="O634" t="n">
        <v>736.11</v>
      </c>
      <c r="P634" t="inlineStr">
        <is>
          <t>03 - NACIONAL</t>
        </is>
      </c>
      <c r="Q634" t="inlineStr">
        <is>
          <t>DAIANE STAVICKI</t>
        </is>
      </c>
      <c r="S634" t="inlineStr">
        <is>
          <t>ZR - NAO APLICAVEL</t>
        </is>
      </c>
      <c r="T634" t="inlineStr">
        <is>
          <t>ZV - NAO APLICAVEL</t>
        </is>
      </c>
      <c r="V634" t="inlineStr">
        <is>
          <t>demais</t>
        </is>
      </c>
      <c r="W634" t="inlineStr">
        <is>
          <t>REDES E FRANQUIAS</t>
        </is>
      </c>
    </row>
    <row r="635" ht="15" customHeight="1">
      <c r="A635" t="n">
        <v>0</v>
      </c>
      <c r="B635" t="inlineStr">
        <is>
          <t>ROXO</t>
        </is>
      </c>
      <c r="C635" t="n">
        <v>10875</v>
      </c>
      <c r="D635" t="n">
        <v>0</v>
      </c>
      <c r="E635" t="n">
        <v>10875</v>
      </c>
      <c r="F635" s="6" t="n">
        <v>0</v>
      </c>
      <c r="G635" t="inlineStr">
        <is>
          <t>CIA DA SAUDE</t>
        </is>
      </c>
      <c r="H635" t="inlineStr">
        <is>
          <t>SC</t>
        </is>
      </c>
      <c r="I635" t="n">
        <v>4896466193</v>
      </c>
      <c r="J635" t="inlineStr">
        <is>
          <t>Inativo</t>
        </is>
      </c>
      <c r="K635" t="inlineStr">
        <is>
          <t>CIA DA SAUDE</t>
        </is>
      </c>
      <c r="L635" t="inlineStr">
        <is>
          <t>SC</t>
        </is>
      </c>
      <c r="M635" t="n">
        <v>4896466193</v>
      </c>
      <c r="N635" t="n">
        <v>0</v>
      </c>
      <c r="O635" t="n">
        <v>906.25</v>
      </c>
      <c r="P635" t="inlineStr">
        <is>
          <t>03 - NACIONAL</t>
        </is>
      </c>
      <c r="Q635" t="inlineStr">
        <is>
          <t>JULIO GADRET</t>
        </is>
      </c>
      <c r="S635" t="inlineStr">
        <is>
          <t>LG REPRESENTACOES LTDA - EPP</t>
        </is>
      </c>
      <c r="T635" t="inlineStr">
        <is>
          <t>ZV - NAO APLICAVEL</t>
        </is>
      </c>
      <c r="V635" t="inlineStr">
        <is>
          <t>demais</t>
        </is>
      </c>
      <c r="W635" t="inlineStr">
        <is>
          <t>REDES E FRANQUIAS</t>
        </is>
      </c>
    </row>
    <row r="636" ht="15" customHeight="1">
      <c r="A636" t="n">
        <v>0</v>
      </c>
      <c r="B636" t="inlineStr">
        <is>
          <t>ROXO</t>
        </is>
      </c>
      <c r="C636" t="n">
        <v>10200</v>
      </c>
      <c r="D636" t="n">
        <v>0</v>
      </c>
      <c r="E636" t="n">
        <v>10200</v>
      </c>
      <c r="F636" s="6" t="n">
        <v>0</v>
      </c>
      <c r="G636" t="inlineStr">
        <is>
          <t>VIDA LEVE</t>
        </is>
      </c>
      <c r="H636" t="inlineStr">
        <is>
          <t>SP</t>
        </is>
      </c>
      <c r="I636" t="n">
        <v>11977926459</v>
      </c>
      <c r="J636" t="inlineStr">
        <is>
          <t>Inativo</t>
        </is>
      </c>
      <c r="K636" t="inlineStr">
        <is>
          <t>VIDA LEVE</t>
        </is>
      </c>
      <c r="L636" t="inlineStr">
        <is>
          <t>SP</t>
        </is>
      </c>
      <c r="M636" t="n">
        <v>11977926459</v>
      </c>
      <c r="N636" t="n">
        <v>0</v>
      </c>
      <c r="O636" t="n">
        <v>850</v>
      </c>
      <c r="P636" t="inlineStr">
        <is>
          <t>03 - NACIONAL</t>
        </is>
      </c>
      <c r="Q636" t="inlineStr">
        <is>
          <t>DAIANE STAVICKI</t>
        </is>
      </c>
      <c r="S636" t="inlineStr">
        <is>
          <t>ZR - NAO APLICAVEL</t>
        </is>
      </c>
      <c r="T636" t="inlineStr">
        <is>
          <t>ZV - NAO APLICAVEL</t>
        </is>
      </c>
      <c r="V636" t="inlineStr">
        <is>
          <t>demais</t>
        </is>
      </c>
      <c r="W636" t="inlineStr">
        <is>
          <t>REDES E FRANQUIAS</t>
        </is>
      </c>
    </row>
    <row r="637" ht="15" customHeight="1">
      <c r="A637" t="n">
        <v>0</v>
      </c>
      <c r="B637" t="inlineStr">
        <is>
          <t>ROXO</t>
        </is>
      </c>
      <c r="C637" t="n">
        <v>6281.25</v>
      </c>
      <c r="D637" t="n">
        <v>0</v>
      </c>
      <c r="E637" t="n">
        <v>6281.25</v>
      </c>
      <c r="F637" s="6" t="n">
        <v>0</v>
      </c>
      <c r="G637" t="inlineStr">
        <is>
          <t>BIO MUNDO</t>
        </is>
      </c>
      <c r="H637" t="inlineStr">
        <is>
          <t>RJ</t>
        </is>
      </c>
      <c r="I637" t="n">
        <v>24993043660</v>
      </c>
      <c r="J637" t="inlineStr">
        <is>
          <t>Inativo</t>
        </is>
      </c>
      <c r="K637" t="inlineStr">
        <is>
          <t>BIO MUNDO</t>
        </is>
      </c>
      <c r="L637" t="inlineStr">
        <is>
          <t>RJ</t>
        </is>
      </c>
      <c r="M637" t="n">
        <v>24993043660</v>
      </c>
      <c r="N637" t="n">
        <v>0</v>
      </c>
      <c r="O637" t="n">
        <v>523.4400000000001</v>
      </c>
      <c r="P637" t="inlineStr">
        <is>
          <t>03 - NACIONAL</t>
        </is>
      </c>
      <c r="Q637" t="inlineStr">
        <is>
          <t>LARISSA PADILHA</t>
        </is>
      </c>
      <c r="S637" t="inlineStr">
        <is>
          <t>42.149.466 LARISSA DA SILVA PADILHA - ME</t>
        </is>
      </c>
      <c r="T637" t="inlineStr">
        <is>
          <t>ZV - NAO APLICAVEL</t>
        </is>
      </c>
      <c r="V637" t="inlineStr">
        <is>
          <t>demais</t>
        </is>
      </c>
      <c r="W637" t="inlineStr">
        <is>
          <t>REDES E FRANQUIAS</t>
        </is>
      </c>
    </row>
    <row r="638" ht="15" customHeight="1">
      <c r="A638" t="n">
        <v>0</v>
      </c>
      <c r="B638" t="inlineStr">
        <is>
          <t>ROXO</t>
        </is>
      </c>
      <c r="C638" t="n">
        <v>9000</v>
      </c>
      <c r="D638" t="n">
        <v>0</v>
      </c>
      <c r="E638" t="n">
        <v>9000</v>
      </c>
      <c r="F638" s="6" t="n">
        <v>0</v>
      </c>
      <c r="G638" t="inlineStr">
        <is>
          <t>MERCOCENTRO</t>
        </is>
      </c>
      <c r="H638" t="inlineStr">
        <is>
          <t>SC</t>
        </is>
      </c>
      <c r="I638" t="n">
        <v>48988457748</v>
      </c>
      <c r="J638" t="inlineStr">
        <is>
          <t>Inativo</t>
        </is>
      </c>
      <c r="K638" t="inlineStr">
        <is>
          <t>MERCOCENTRO</t>
        </is>
      </c>
      <c r="L638" t="inlineStr">
        <is>
          <t>SC</t>
        </is>
      </c>
      <c r="M638" t="n">
        <v>48988457748</v>
      </c>
      <c r="N638" t="n">
        <v>0</v>
      </c>
      <c r="O638" t="n">
        <v>750</v>
      </c>
      <c r="P638" t="inlineStr">
        <is>
          <t>03 - SUL</t>
        </is>
      </c>
      <c r="Q638" t="inlineStr">
        <is>
          <t>HEMANUELE DITZEL (MANU)</t>
        </is>
      </c>
      <c r="S638" t="inlineStr">
        <is>
          <t>ZR - NAO APLICAVEL</t>
        </is>
      </c>
      <c r="T638" t="inlineStr">
        <is>
          <t>HEMANUELE ROSA DITZEL</t>
        </is>
      </c>
      <c r="V638" t="inlineStr">
        <is>
          <t>demais</t>
        </is>
      </c>
      <c r="W638" t="inlineStr">
        <is>
          <t>REDES E FRANQUIAS</t>
        </is>
      </c>
    </row>
    <row r="639" ht="15" customHeight="1">
      <c r="A639" t="n">
        <v>0</v>
      </c>
      <c r="B639" t="inlineStr">
        <is>
          <t>ROXO</t>
        </is>
      </c>
      <c r="C639" t="n">
        <v>10875</v>
      </c>
      <c r="D639" t="n">
        <v>0</v>
      </c>
      <c r="E639" t="n">
        <v>10875</v>
      </c>
      <c r="F639" s="6" t="n">
        <v>0</v>
      </c>
      <c r="G639" t="inlineStr">
        <is>
          <t>CIA DA SAUDE</t>
        </is>
      </c>
      <c r="H639" t="inlineStr">
        <is>
          <t>SC</t>
        </is>
      </c>
      <c r="I639" t="n">
        <v>4833645705</v>
      </c>
      <c r="J639" t="inlineStr">
        <is>
          <t>Inativo</t>
        </is>
      </c>
      <c r="K639" t="inlineStr">
        <is>
          <t>CIA DA SAUDE</t>
        </is>
      </c>
      <c r="L639" t="inlineStr">
        <is>
          <t>SC</t>
        </is>
      </c>
      <c r="M639" t="n">
        <v>4833645705</v>
      </c>
      <c r="N639" t="n">
        <v>0</v>
      </c>
      <c r="O639" t="n">
        <v>906.25</v>
      </c>
      <c r="P639" t="inlineStr">
        <is>
          <t>03 - NACIONAL</t>
        </is>
      </c>
      <c r="Q639" t="inlineStr">
        <is>
          <t>JULIO GADRET</t>
        </is>
      </c>
      <c r="S639" t="inlineStr">
        <is>
          <t>LG REPRESENTACOES LTDA - EPP</t>
        </is>
      </c>
      <c r="T639" t="inlineStr">
        <is>
          <t>ZV - NAO APLICAVEL</t>
        </is>
      </c>
      <c r="V639" t="inlineStr">
        <is>
          <t>demais</t>
        </is>
      </c>
      <c r="W639" t="inlineStr">
        <is>
          <t>REDES E FRANQUIAS</t>
        </is>
      </c>
    </row>
    <row r="640" ht="15" customHeight="1">
      <c r="A640" t="n">
        <v>0</v>
      </c>
      <c r="B640" t="inlineStr">
        <is>
          <t>ROXO</t>
        </is>
      </c>
      <c r="C640" t="n">
        <v>10875</v>
      </c>
      <c r="D640" t="n">
        <v>0</v>
      </c>
      <c r="E640" t="n">
        <v>10875</v>
      </c>
      <c r="F640" s="6" t="n">
        <v>0</v>
      </c>
      <c r="G640" t="inlineStr">
        <is>
          <t>CIA DA SAUDE</t>
        </is>
      </c>
      <c r="H640" t="inlineStr">
        <is>
          <t>SC</t>
        </is>
      </c>
      <c r="I640" t="n">
        <v>4730254770</v>
      </c>
      <c r="J640" t="inlineStr">
        <is>
          <t>Inativo</t>
        </is>
      </c>
      <c r="K640" t="inlineStr">
        <is>
          <t>CIA DA SAUDE</t>
        </is>
      </c>
      <c r="L640" t="inlineStr">
        <is>
          <t>SC</t>
        </is>
      </c>
      <c r="M640" t="n">
        <v>4730254770</v>
      </c>
      <c r="N640" t="n">
        <v>0</v>
      </c>
      <c r="O640" t="n">
        <v>906.25</v>
      </c>
      <c r="P640" t="inlineStr">
        <is>
          <t>03 - NACIONAL</t>
        </is>
      </c>
      <c r="Q640" t="inlineStr">
        <is>
          <t>JULIO GADRET</t>
        </is>
      </c>
      <c r="S640" t="inlineStr">
        <is>
          <t>LG REPRESENTACOES LTDA - EPP</t>
        </is>
      </c>
      <c r="T640" t="inlineStr">
        <is>
          <t>ZV - NAO APLICAVEL</t>
        </is>
      </c>
      <c r="V640" t="inlineStr">
        <is>
          <t>demais</t>
        </is>
      </c>
      <c r="W640" t="inlineStr">
        <is>
          <t>REDES E FRANQUIAS</t>
        </is>
      </c>
    </row>
    <row r="641" ht="15" customHeight="1">
      <c r="A641" t="n">
        <v>0</v>
      </c>
      <c r="B641" t="inlineStr">
        <is>
          <t>ROXO</t>
        </is>
      </c>
      <c r="C641" t="n">
        <v>10875</v>
      </c>
      <c r="D641" t="n">
        <v>0</v>
      </c>
      <c r="E641" t="n">
        <v>10875</v>
      </c>
      <c r="F641" s="6" t="n">
        <v>0</v>
      </c>
      <c r="G641" t="inlineStr">
        <is>
          <t>CIA DA SAUDE</t>
        </is>
      </c>
      <c r="H641" t="inlineStr">
        <is>
          <t>SC</t>
        </is>
      </c>
      <c r="I641" t="n">
        <v>48999153553</v>
      </c>
      <c r="J641" t="inlineStr">
        <is>
          <t>Inativo</t>
        </is>
      </c>
      <c r="K641" t="inlineStr">
        <is>
          <t>CIA DA SAUDE</t>
        </is>
      </c>
      <c r="L641" t="inlineStr">
        <is>
          <t>SC</t>
        </is>
      </c>
      <c r="M641" t="n">
        <v>48999153553</v>
      </c>
      <c r="N641" t="n">
        <v>0</v>
      </c>
      <c r="O641" t="n">
        <v>906.25</v>
      </c>
      <c r="P641" t="inlineStr">
        <is>
          <t>03 - NACIONAL</t>
        </is>
      </c>
      <c r="Q641" t="inlineStr">
        <is>
          <t>JULIO GADRET</t>
        </is>
      </c>
      <c r="S641" t="inlineStr">
        <is>
          <t>LG REPRESENTACOES LTDA - EPP</t>
        </is>
      </c>
      <c r="T641" t="inlineStr">
        <is>
          <t>ZV - NAO APLICAVEL</t>
        </is>
      </c>
      <c r="V641" t="inlineStr">
        <is>
          <t>demais</t>
        </is>
      </c>
      <c r="W641" t="inlineStr">
        <is>
          <t>REDES E FRANQUIAS</t>
        </is>
      </c>
    </row>
    <row r="642" ht="15" customHeight="1">
      <c r="A642" t="n">
        <v>0</v>
      </c>
      <c r="B642" t="inlineStr">
        <is>
          <t>ROXO</t>
        </is>
      </c>
      <c r="C642" t="n">
        <v>5615.5</v>
      </c>
      <c r="D642" t="n">
        <v>0</v>
      </c>
      <c r="E642" t="n">
        <v>5615.5</v>
      </c>
      <c r="F642" s="6" t="n">
        <v>0</v>
      </c>
      <c r="G642" t="inlineStr">
        <is>
          <t>SEM GRUPO</t>
        </is>
      </c>
      <c r="H642" t="inlineStr">
        <is>
          <t>SC</t>
        </is>
      </c>
      <c r="I642" t="n">
        <v>4732278525</v>
      </c>
      <c r="J642" t="inlineStr">
        <is>
          <t>Inativo</t>
        </is>
      </c>
      <c r="K642" t="inlineStr">
        <is>
          <t>SEM REDE</t>
        </is>
      </c>
      <c r="L642" t="inlineStr">
        <is>
          <t>SC</t>
        </is>
      </c>
      <c r="M642" t="n">
        <v>4732278525</v>
      </c>
      <c r="N642" t="n">
        <v>0</v>
      </c>
      <c r="O642" t="n">
        <v>467.96</v>
      </c>
      <c r="P642" t="inlineStr">
        <is>
          <t>03 - SUL</t>
        </is>
      </c>
      <c r="Q642" t="inlineStr">
        <is>
          <t>HEMANUELE DITZEL (MANU)</t>
        </is>
      </c>
      <c r="S642" t="inlineStr">
        <is>
          <t>ZR - NAO APLICAVEL</t>
        </is>
      </c>
      <c r="T642" t="inlineStr">
        <is>
          <t>HEMANUELE ROSA DITZEL</t>
        </is>
      </c>
      <c r="V642" t="inlineStr">
        <is>
          <t>demais</t>
        </is>
      </c>
      <c r="W642" t="inlineStr">
        <is>
          <t>REGIÕES/GRUPOS</t>
        </is>
      </c>
    </row>
    <row r="643" ht="15" customHeight="1">
      <c r="A643" t="n">
        <v>0</v>
      </c>
      <c r="B643" t="inlineStr">
        <is>
          <t>ROXO</t>
        </is>
      </c>
      <c r="C643" t="n">
        <v>5615.5</v>
      </c>
      <c r="D643" t="n">
        <v>0</v>
      </c>
      <c r="E643" t="n">
        <v>5615.5</v>
      </c>
      <c r="F643" s="6" t="n">
        <v>0</v>
      </c>
      <c r="G643" t="inlineStr">
        <is>
          <t>SEM GRUPO</t>
        </is>
      </c>
      <c r="H643" t="inlineStr">
        <is>
          <t>RJ</t>
        </is>
      </c>
      <c r="I643" t="n">
        <v>21995704191</v>
      </c>
      <c r="J643" t="inlineStr">
        <is>
          <t>Inativo</t>
        </is>
      </c>
      <c r="K643" t="inlineStr">
        <is>
          <t>SEM REDE</t>
        </is>
      </c>
      <c r="L643" t="inlineStr">
        <is>
          <t>RJ</t>
        </is>
      </c>
      <c r="M643" t="n">
        <v>21995704191</v>
      </c>
      <c r="N643" t="n">
        <v>0</v>
      </c>
      <c r="O643" t="n">
        <v>467.96</v>
      </c>
      <c r="P643" t="inlineStr">
        <is>
          <t>03 - RJ + ES + MG</t>
        </is>
      </c>
      <c r="Q643" t="inlineStr">
        <is>
          <t>LARISSA PADILHA</t>
        </is>
      </c>
      <c r="S643" t="inlineStr">
        <is>
          <t>42.149.466 LARISSA DA SILVA PADILHA - ME</t>
        </is>
      </c>
      <c r="T643" t="inlineStr">
        <is>
          <t>ZV - NAO APLICAVEL</t>
        </is>
      </c>
      <c r="V643" t="inlineStr">
        <is>
          <t>demais</t>
        </is>
      </c>
      <c r="W643" t="inlineStr">
        <is>
          <t>REGIÕES/GRUPOS</t>
        </is>
      </c>
    </row>
    <row r="644" ht="15" customHeight="1">
      <c r="A644" t="n">
        <v>0</v>
      </c>
      <c r="B644" t="inlineStr">
        <is>
          <t>ROXO</t>
        </is>
      </c>
      <c r="C644" t="n">
        <v>5615.5</v>
      </c>
      <c r="D644" t="n">
        <v>0</v>
      </c>
      <c r="E644" t="n">
        <v>5615.5</v>
      </c>
      <c r="F644" s="6" t="n">
        <v>0</v>
      </c>
      <c r="G644" t="inlineStr">
        <is>
          <t>SEM GRUPO</t>
        </is>
      </c>
      <c r="H644" t="inlineStr">
        <is>
          <t>MT</t>
        </is>
      </c>
      <c r="I644" t="n">
        <v>6684376194</v>
      </c>
      <c r="J644" t="inlineStr">
        <is>
          <t>Inativo</t>
        </is>
      </c>
      <c r="K644" t="inlineStr">
        <is>
          <t>SEM REDE</t>
        </is>
      </c>
      <c r="L644" t="inlineStr">
        <is>
          <t>MT</t>
        </is>
      </c>
      <c r="M644" t="n">
        <v>6684376194</v>
      </c>
      <c r="N644" t="n">
        <v>0</v>
      </c>
      <c r="O644" t="n">
        <v>467.96</v>
      </c>
      <c r="P644" t="inlineStr">
        <is>
          <t>03 - CENTRO OESTE</t>
        </is>
      </c>
      <c r="Q644" t="inlineStr">
        <is>
          <t>LARISSA PADILHA</t>
        </is>
      </c>
      <c r="S644" t="inlineStr">
        <is>
          <t>42.149.466 LARISSA DA SILVA PADILHA - ME</t>
        </is>
      </c>
      <c r="T644" t="inlineStr">
        <is>
          <t>ZV - NAO APLICAVEL</t>
        </is>
      </c>
      <c r="V644" t="inlineStr">
        <is>
          <t>demais</t>
        </is>
      </c>
      <c r="W644" t="inlineStr">
        <is>
          <t>REGIÕES/GRUPOS</t>
        </is>
      </c>
    </row>
    <row r="645" ht="15" customHeight="1">
      <c r="A645" t="n">
        <v>0</v>
      </c>
      <c r="B645" t="inlineStr">
        <is>
          <t>ROXO</t>
        </is>
      </c>
      <c r="C645" t="n">
        <v>5615.5</v>
      </c>
      <c r="D645" t="n">
        <v>0</v>
      </c>
      <c r="E645" t="n">
        <v>5615.5</v>
      </c>
      <c r="F645" s="6" t="n">
        <v>0</v>
      </c>
      <c r="G645" t="inlineStr">
        <is>
          <t>SEM GRUPO</t>
        </is>
      </c>
      <c r="H645" t="inlineStr">
        <is>
          <t>SC</t>
        </is>
      </c>
      <c r="I645" t="n">
        <v>47989081234</v>
      </c>
      <c r="J645" t="inlineStr">
        <is>
          <t>Inativo</t>
        </is>
      </c>
      <c r="K645" t="inlineStr">
        <is>
          <t>SEM REDE</t>
        </is>
      </c>
      <c r="L645" t="inlineStr">
        <is>
          <t>SC</t>
        </is>
      </c>
      <c r="M645" t="n">
        <v>47989081234</v>
      </c>
      <c r="N645" t="n">
        <v>0</v>
      </c>
      <c r="O645" t="n">
        <v>467.96</v>
      </c>
      <c r="P645" t="inlineStr">
        <is>
          <t>03 - SUL</t>
        </is>
      </c>
      <c r="Q645" t="inlineStr">
        <is>
          <t>HEMANUELE DITZEL (MANU)</t>
        </is>
      </c>
      <c r="S645" t="inlineStr">
        <is>
          <t>ZR - NAO APLICAVEL</t>
        </is>
      </c>
      <c r="T645" t="inlineStr">
        <is>
          <t>HEMANUELE ROSA DITZEL</t>
        </is>
      </c>
      <c r="V645" t="inlineStr">
        <is>
          <t>demais</t>
        </is>
      </c>
      <c r="W645" t="inlineStr">
        <is>
          <t>REGIÕES/GRUPOS</t>
        </is>
      </c>
    </row>
    <row r="646" ht="15" customHeight="1">
      <c r="A646" t="n">
        <v>0</v>
      </c>
      <c r="B646" t="inlineStr">
        <is>
          <t>ROXO</t>
        </is>
      </c>
      <c r="C646" t="n">
        <v>10200</v>
      </c>
      <c r="D646" t="n">
        <v>0</v>
      </c>
      <c r="E646" t="n">
        <v>10200</v>
      </c>
      <c r="F646" s="6" t="n">
        <v>0</v>
      </c>
      <c r="G646" t="inlineStr">
        <is>
          <t>VIDA LEVE</t>
        </is>
      </c>
      <c r="H646" t="inlineStr">
        <is>
          <t>SP</t>
        </is>
      </c>
      <c r="I646" t="n">
        <v>17981330043</v>
      </c>
      <c r="J646" t="inlineStr">
        <is>
          <t>Inativo</t>
        </is>
      </c>
      <c r="K646" t="inlineStr">
        <is>
          <t>VIDA LEVE</t>
        </is>
      </c>
      <c r="L646" t="inlineStr">
        <is>
          <t>SP</t>
        </is>
      </c>
      <c r="M646" t="n">
        <v>17981330043</v>
      </c>
      <c r="N646" t="n">
        <v>0</v>
      </c>
      <c r="O646" t="n">
        <v>850</v>
      </c>
      <c r="P646" t="inlineStr">
        <is>
          <t>03 - NACIONAL</t>
        </is>
      </c>
      <c r="Q646" t="inlineStr">
        <is>
          <t>DAIANE STAVICKI</t>
        </is>
      </c>
      <c r="S646" t="inlineStr">
        <is>
          <t>ZR - NAO APLICAVEL</t>
        </is>
      </c>
      <c r="T646" t="inlineStr">
        <is>
          <t>ZV - NAO APLICAVEL</t>
        </is>
      </c>
      <c r="V646" t="inlineStr">
        <is>
          <t>demais</t>
        </is>
      </c>
      <c r="W646" t="inlineStr">
        <is>
          <t>REDES E FRANQUIAS</t>
        </is>
      </c>
    </row>
    <row r="647" ht="15" customHeight="1">
      <c r="A647" t="n">
        <v>0</v>
      </c>
      <c r="B647" t="inlineStr">
        <is>
          <t>ROXO</t>
        </is>
      </c>
      <c r="C647" t="n">
        <v>5615.5</v>
      </c>
      <c r="D647" t="n">
        <v>0</v>
      </c>
      <c r="E647" t="n">
        <v>5615.5</v>
      </c>
      <c r="F647" s="6" t="n">
        <v>0</v>
      </c>
      <c r="G647" t="inlineStr">
        <is>
          <t>SEM GRUPO</t>
        </is>
      </c>
      <c r="H647" t="inlineStr">
        <is>
          <t>SP</t>
        </is>
      </c>
      <c r="I647" t="n">
        <v>11964002134</v>
      </c>
      <c r="J647" t="inlineStr">
        <is>
          <t>Inativo</t>
        </is>
      </c>
      <c r="K647" t="inlineStr">
        <is>
          <t>SEM REDE</t>
        </is>
      </c>
      <c r="L647" t="inlineStr">
        <is>
          <t>SP</t>
        </is>
      </c>
      <c r="M647" t="n">
        <v>11964002134</v>
      </c>
      <c r="N647" t="n">
        <v>0</v>
      </c>
      <c r="O647" t="n">
        <v>467.96</v>
      </c>
      <c r="P647" t="inlineStr">
        <is>
          <t>03 - SP CAPITAL</t>
        </is>
      </c>
      <c r="Q647" t="inlineStr">
        <is>
          <t>LARISSA PADILHA</t>
        </is>
      </c>
      <c r="S647" t="inlineStr">
        <is>
          <t>42.149.466 LARISSA DA SILVA PADILHA - ME</t>
        </is>
      </c>
      <c r="T647" t="inlineStr">
        <is>
          <t>ZV - NAO APLICAVEL</t>
        </is>
      </c>
      <c r="V647" t="inlineStr">
        <is>
          <t>demais</t>
        </is>
      </c>
      <c r="W647" t="inlineStr">
        <is>
          <t>REGIÕES/GRUPOS</t>
        </is>
      </c>
    </row>
    <row r="648" ht="15" customHeight="1">
      <c r="A648" t="n">
        <v>0</v>
      </c>
      <c r="B648" t="inlineStr">
        <is>
          <t>ROXO</t>
        </is>
      </c>
      <c r="C648" t="n">
        <v>10200</v>
      </c>
      <c r="D648" t="n">
        <v>0</v>
      </c>
      <c r="E648" t="n">
        <v>10200</v>
      </c>
      <c r="F648" s="6" t="n">
        <v>0</v>
      </c>
      <c r="G648" t="inlineStr">
        <is>
          <t>VIDA LEVE</t>
        </is>
      </c>
      <c r="H648" t="inlineStr">
        <is>
          <t>TO</t>
        </is>
      </c>
      <c r="I648" t="n">
        <v>63992080630</v>
      </c>
      <c r="J648" t="inlineStr">
        <is>
          <t>Inativo</t>
        </is>
      </c>
      <c r="K648" t="inlineStr">
        <is>
          <t>VIDA LEVE</t>
        </is>
      </c>
      <c r="L648" t="inlineStr">
        <is>
          <t>TO</t>
        </is>
      </c>
      <c r="M648" t="n">
        <v>63992080630</v>
      </c>
      <c r="N648" t="n">
        <v>0</v>
      </c>
      <c r="O648" t="n">
        <v>850</v>
      </c>
      <c r="P648" t="inlineStr">
        <is>
          <t>03 - NACIONAL</t>
        </is>
      </c>
      <c r="Q648" t="inlineStr">
        <is>
          <t>DAIANE STAVICKI</t>
        </is>
      </c>
      <c r="S648" t="inlineStr">
        <is>
          <t>ZR - NAO APLICAVEL</t>
        </is>
      </c>
      <c r="T648" t="inlineStr">
        <is>
          <t>ZV - NAO APLICAVEL</t>
        </is>
      </c>
      <c r="V648" t="inlineStr">
        <is>
          <t>demais</t>
        </is>
      </c>
      <c r="W648" t="inlineStr">
        <is>
          <t>REDES E FRANQUIAS</t>
        </is>
      </c>
    </row>
    <row r="649" ht="15" customHeight="1">
      <c r="A649" t="n">
        <v>0</v>
      </c>
      <c r="B649" t="inlineStr">
        <is>
          <t>ROXO</t>
        </is>
      </c>
      <c r="C649" t="n">
        <v>5615.5</v>
      </c>
      <c r="D649" t="n">
        <v>0</v>
      </c>
      <c r="E649" t="n">
        <v>5615.5</v>
      </c>
      <c r="F649" s="6" t="n">
        <v>0</v>
      </c>
      <c r="G649" t="inlineStr">
        <is>
          <t>SEM GRUPO</t>
        </is>
      </c>
      <c r="H649" t="inlineStr">
        <is>
          <t>MG</t>
        </is>
      </c>
      <c r="I649" t="n">
        <v>3333238852</v>
      </c>
      <c r="J649" t="inlineStr">
        <is>
          <t>Inativo</t>
        </is>
      </c>
      <c r="K649" t="inlineStr">
        <is>
          <t>SEM REDE</t>
        </is>
      </c>
      <c r="L649" t="inlineStr">
        <is>
          <t>MG</t>
        </is>
      </c>
      <c r="M649" t="n">
        <v>3333238852</v>
      </c>
      <c r="N649" t="n">
        <v>0</v>
      </c>
      <c r="O649" t="n">
        <v>467.96</v>
      </c>
      <c r="P649" t="inlineStr">
        <is>
          <t>03 - RJ + ES + MG</t>
        </is>
      </c>
      <c r="Q649" t="inlineStr">
        <is>
          <t>LARISSA PADILHA</t>
        </is>
      </c>
      <c r="S649" t="inlineStr">
        <is>
          <t>42.149.466 LARISSA DA SILVA PADILHA - ME</t>
        </is>
      </c>
      <c r="T649" t="inlineStr">
        <is>
          <t>ZV - NAO APLICAVEL</t>
        </is>
      </c>
      <c r="V649" t="inlineStr">
        <is>
          <t>demais</t>
        </is>
      </c>
      <c r="W649" t="inlineStr">
        <is>
          <t>REGIÕES/GRUPOS</t>
        </is>
      </c>
    </row>
    <row r="650" ht="15" customHeight="1">
      <c r="A650" t="n">
        <v>0</v>
      </c>
      <c r="B650" t="inlineStr">
        <is>
          <t>ROXO</t>
        </is>
      </c>
      <c r="C650" t="n">
        <v>5615.5</v>
      </c>
      <c r="D650" t="n">
        <v>0</v>
      </c>
      <c r="E650" t="n">
        <v>5615.5</v>
      </c>
      <c r="F650" s="6" t="n">
        <v>0</v>
      </c>
      <c r="G650" t="inlineStr">
        <is>
          <t>SEM GRUPO</t>
        </is>
      </c>
      <c r="H650" t="inlineStr">
        <is>
          <t>SP</t>
        </is>
      </c>
      <c r="I650" t="n">
        <v>11945142686</v>
      </c>
      <c r="J650" t="inlineStr">
        <is>
          <t>Inativo</t>
        </is>
      </c>
      <c r="K650" t="inlineStr">
        <is>
          <t>SEM REDE</t>
        </is>
      </c>
      <c r="L650" t="inlineStr">
        <is>
          <t>SP</t>
        </is>
      </c>
      <c r="M650" t="n">
        <v>11945142686</v>
      </c>
      <c r="N650" t="n">
        <v>0</v>
      </c>
      <c r="O650" t="n">
        <v>467.96</v>
      </c>
      <c r="P650" t="inlineStr">
        <is>
          <t>03 - SP CAPITAL</t>
        </is>
      </c>
      <c r="Q650" t="inlineStr">
        <is>
          <t>LARISSA PADILHA</t>
        </is>
      </c>
      <c r="S650" t="inlineStr">
        <is>
          <t>42.149.466 LARISSA DA SILVA PADILHA - ME</t>
        </is>
      </c>
      <c r="T650" t="inlineStr">
        <is>
          <t>ZV - NAO APLICAVEL</t>
        </is>
      </c>
      <c r="V650" t="inlineStr">
        <is>
          <t>demais</t>
        </is>
      </c>
      <c r="W650" t="inlineStr">
        <is>
          <t>REGIÕES/GRUPOS</t>
        </is>
      </c>
    </row>
    <row r="651" ht="15" customHeight="1">
      <c r="A651" t="n">
        <v>0</v>
      </c>
      <c r="B651" t="inlineStr">
        <is>
          <t>ROXO</t>
        </is>
      </c>
      <c r="C651" t="n">
        <v>5615.5</v>
      </c>
      <c r="D651" t="n">
        <v>0</v>
      </c>
      <c r="E651" t="n">
        <v>5615.5</v>
      </c>
      <c r="F651" s="6" t="n">
        <v>0</v>
      </c>
      <c r="G651" t="inlineStr">
        <is>
          <t>SEM GRUPO</t>
        </is>
      </c>
      <c r="H651" t="inlineStr">
        <is>
          <t>RS</t>
        </is>
      </c>
      <c r="I651" t="n">
        <v>5192141635</v>
      </c>
      <c r="J651" t="inlineStr">
        <is>
          <t>Inativo</t>
        </is>
      </c>
      <c r="K651" t="inlineStr">
        <is>
          <t>SEM REDE</t>
        </is>
      </c>
      <c r="L651" t="inlineStr">
        <is>
          <t>RS</t>
        </is>
      </c>
      <c r="M651" t="n">
        <v>5192141635</v>
      </c>
      <c r="N651" t="n">
        <v>0</v>
      </c>
      <c r="O651" t="n">
        <v>467.96</v>
      </c>
      <c r="P651" t="inlineStr">
        <is>
          <t>03 - SUL</t>
        </is>
      </c>
      <c r="Q651" t="inlineStr">
        <is>
          <t>HEMANUELE DITZEL (MANU)</t>
        </is>
      </c>
      <c r="S651" t="inlineStr">
        <is>
          <t>ZR - NAO APLICAVEL</t>
        </is>
      </c>
      <c r="T651" t="inlineStr">
        <is>
          <t>HEMANUELE ROSA DITZEL</t>
        </is>
      </c>
      <c r="V651" t="inlineStr">
        <is>
          <t>demais</t>
        </is>
      </c>
      <c r="W651" t="inlineStr">
        <is>
          <t>REGIÕES/GRUPOS</t>
        </is>
      </c>
    </row>
    <row r="652" ht="15" customHeight="1">
      <c r="A652" t="n">
        <v>0</v>
      </c>
      <c r="B652" t="inlineStr">
        <is>
          <t>ROXO</t>
        </is>
      </c>
      <c r="C652" t="n">
        <v>5615.5</v>
      </c>
      <c r="D652" t="n">
        <v>0</v>
      </c>
      <c r="E652" t="n">
        <v>5615.5</v>
      </c>
      <c r="F652" s="6" t="n">
        <v>0</v>
      </c>
      <c r="G652" t="inlineStr">
        <is>
          <t>SEM GRUPO</t>
        </is>
      </c>
      <c r="H652" t="inlineStr">
        <is>
          <t>MG</t>
        </is>
      </c>
      <c r="I652" t="n">
        <v>3832189304</v>
      </c>
      <c r="J652" t="inlineStr">
        <is>
          <t>Inativo</t>
        </is>
      </c>
      <c r="K652" t="inlineStr">
        <is>
          <t>SEM REDE</t>
        </is>
      </c>
      <c r="L652" t="inlineStr">
        <is>
          <t>MG</t>
        </is>
      </c>
      <c r="M652" t="n">
        <v>3832189304</v>
      </c>
      <c r="N652" t="n">
        <v>0</v>
      </c>
      <c r="O652" t="n">
        <v>467.96</v>
      </c>
      <c r="P652" t="inlineStr">
        <is>
          <t>03 - RJ + ES + MG</t>
        </is>
      </c>
      <c r="Q652" t="inlineStr">
        <is>
          <t>LARISSA PADILHA</t>
        </is>
      </c>
      <c r="S652" t="inlineStr">
        <is>
          <t>42.149.466 LARISSA DA SILVA PADILHA - ME</t>
        </is>
      </c>
      <c r="T652" t="inlineStr">
        <is>
          <t>ZV - NAO APLICAVEL</t>
        </is>
      </c>
      <c r="V652" t="inlineStr">
        <is>
          <t>demais</t>
        </is>
      </c>
      <c r="W652" t="inlineStr">
        <is>
          <t>REGIÕES/GRUPOS</t>
        </is>
      </c>
    </row>
    <row r="653" ht="15" customHeight="1">
      <c r="A653" t="n">
        <v>0</v>
      </c>
      <c r="B653" t="inlineStr">
        <is>
          <t>ROXO</t>
        </is>
      </c>
      <c r="C653" t="n">
        <v>5615.5</v>
      </c>
      <c r="D653" t="n">
        <v>0</v>
      </c>
      <c r="E653" t="n">
        <v>5615.5</v>
      </c>
      <c r="F653" s="6" t="n">
        <v>0</v>
      </c>
      <c r="G653" t="inlineStr">
        <is>
          <t>SEM GRUPO</t>
        </is>
      </c>
      <c r="H653" t="inlineStr">
        <is>
          <t>PE</t>
        </is>
      </c>
      <c r="I653" t="n">
        <v>8192595179</v>
      </c>
      <c r="J653" t="inlineStr">
        <is>
          <t>Inativo</t>
        </is>
      </c>
      <c r="K653" t="inlineStr">
        <is>
          <t>SEM REDE</t>
        </is>
      </c>
      <c r="L653" t="inlineStr">
        <is>
          <t>PE</t>
        </is>
      </c>
      <c r="M653" t="n">
        <v>8192595179</v>
      </c>
      <c r="N653" t="n">
        <v>0</v>
      </c>
      <c r="O653" t="n">
        <v>467.96</v>
      </c>
      <c r="P653" t="inlineStr">
        <is>
          <t>03 - NORDESTE (SEM MA)</t>
        </is>
      </c>
      <c r="Q653" t="inlineStr">
        <is>
          <t>LARISSA PADILHA</t>
        </is>
      </c>
      <c r="S653" t="inlineStr">
        <is>
          <t>42.149.466 LARISSA DA SILVA PADILHA - ME</t>
        </is>
      </c>
      <c r="T653" t="inlineStr">
        <is>
          <t>ZV - NAO APLICAVEL</t>
        </is>
      </c>
      <c r="V653" t="inlineStr">
        <is>
          <t>demais</t>
        </is>
      </c>
      <c r="W653" t="inlineStr">
        <is>
          <t>REGIÕES/GRUPOS</t>
        </is>
      </c>
    </row>
    <row r="654" ht="15" customHeight="1">
      <c r="A654" t="n">
        <v>0</v>
      </c>
      <c r="B654" t="inlineStr">
        <is>
          <t>ROXO</t>
        </is>
      </c>
      <c r="C654" t="n">
        <v>5615.5</v>
      </c>
      <c r="D654" t="n">
        <v>0</v>
      </c>
      <c r="E654" t="n">
        <v>5615.5</v>
      </c>
      <c r="F654" s="6" t="n">
        <v>0</v>
      </c>
      <c r="G654" t="inlineStr">
        <is>
          <t>SEM GRUPO</t>
        </is>
      </c>
      <c r="H654" t="inlineStr">
        <is>
          <t>SP</t>
        </is>
      </c>
      <c r="I654" t="n">
        <v>1438142348</v>
      </c>
      <c r="J654" t="inlineStr">
        <is>
          <t>Inativo</t>
        </is>
      </c>
      <c r="K654" t="inlineStr">
        <is>
          <t>SEM REDE</t>
        </is>
      </c>
      <c r="L654" t="inlineStr">
        <is>
          <t>SP</t>
        </is>
      </c>
      <c r="M654" t="n">
        <v>1438142348</v>
      </c>
      <c r="N654" t="n">
        <v>0</v>
      </c>
      <c r="O654" t="n">
        <v>467.96</v>
      </c>
      <c r="P654" t="inlineStr">
        <is>
          <t>03 - SP INTERIOR</t>
        </is>
      </c>
      <c r="Q654" t="inlineStr">
        <is>
          <t>LARISSA PADILHA</t>
        </is>
      </c>
      <c r="S654" t="inlineStr">
        <is>
          <t>42.149.466 LARISSA DA SILVA PADILHA - ME</t>
        </is>
      </c>
      <c r="T654" t="inlineStr">
        <is>
          <t>ZV - NAO APLICAVEL</t>
        </is>
      </c>
      <c r="V654" t="inlineStr">
        <is>
          <t>demais</t>
        </is>
      </c>
      <c r="W654" t="inlineStr">
        <is>
          <t>REGIÕES/GRUPOS</t>
        </is>
      </c>
    </row>
    <row r="655" ht="15" customHeight="1">
      <c r="A655" t="n">
        <v>0</v>
      </c>
      <c r="B655" t="inlineStr">
        <is>
          <t>ROXO</t>
        </is>
      </c>
      <c r="C655" t="n">
        <v>5615.5</v>
      </c>
      <c r="D655" t="n">
        <v>0</v>
      </c>
      <c r="E655" t="n">
        <v>5615.5</v>
      </c>
      <c r="F655" s="6" t="n">
        <v>0</v>
      </c>
      <c r="G655" t="inlineStr">
        <is>
          <t>SEM GRUPO</t>
        </is>
      </c>
      <c r="H655" t="inlineStr">
        <is>
          <t>MA</t>
        </is>
      </c>
      <c r="I655" t="n">
        <v>9892319022</v>
      </c>
      <c r="J655" t="inlineStr">
        <is>
          <t>Inativo</t>
        </is>
      </c>
      <c r="K655" t="inlineStr">
        <is>
          <t>SEM REDE</t>
        </is>
      </c>
      <c r="L655" t="inlineStr">
        <is>
          <t>MA</t>
        </is>
      </c>
      <c r="M655" t="n">
        <v>9892319022</v>
      </c>
      <c r="N655" t="n">
        <v>0</v>
      </c>
      <c r="O655" t="n">
        <v>467.96</v>
      </c>
      <c r="P655" t="inlineStr">
        <is>
          <t>03 - NORTE + MA</t>
        </is>
      </c>
      <c r="Q655" t="inlineStr">
        <is>
          <t>LARISSA PADILHA</t>
        </is>
      </c>
      <c r="S655" t="inlineStr">
        <is>
          <t>42.149.466 LARISSA DA SILVA PADILHA - ME</t>
        </is>
      </c>
      <c r="T655" t="inlineStr">
        <is>
          <t>ZV - NAO APLICAVEL</t>
        </is>
      </c>
      <c r="V655" t="inlineStr">
        <is>
          <t>demais</t>
        </is>
      </c>
      <c r="W655" t="inlineStr">
        <is>
          <t>REGIÕES/GRUPOS</t>
        </is>
      </c>
    </row>
    <row r="656" ht="15" customHeight="1">
      <c r="A656" t="n">
        <v>0</v>
      </c>
      <c r="B656" t="inlineStr">
        <is>
          <t>ROXO</t>
        </is>
      </c>
      <c r="C656" t="n">
        <v>5615.5</v>
      </c>
      <c r="D656" t="n">
        <v>0</v>
      </c>
      <c r="E656" t="n">
        <v>5615.5</v>
      </c>
      <c r="F656" s="6" t="n">
        <v>0</v>
      </c>
      <c r="G656" t="inlineStr">
        <is>
          <t>SEM GRUPO</t>
        </is>
      </c>
      <c r="H656" t="inlineStr">
        <is>
          <t>RS</t>
        </is>
      </c>
      <c r="I656" t="n">
        <v>5196787833</v>
      </c>
      <c r="J656" t="inlineStr">
        <is>
          <t>Inativo</t>
        </is>
      </c>
      <c r="K656" t="inlineStr">
        <is>
          <t>SEM REDE</t>
        </is>
      </c>
      <c r="L656" t="inlineStr">
        <is>
          <t>RS</t>
        </is>
      </c>
      <c r="M656" t="n">
        <v>5196787833</v>
      </c>
      <c r="N656" t="n">
        <v>0</v>
      </c>
      <c r="O656" t="n">
        <v>467.96</v>
      </c>
      <c r="P656" t="inlineStr">
        <is>
          <t>03 - SUL</t>
        </is>
      </c>
      <c r="Q656" t="inlineStr">
        <is>
          <t>HEMANUELE DITZEL (MANU)</t>
        </is>
      </c>
      <c r="S656" t="inlineStr">
        <is>
          <t>ZR - NAO APLICAVEL</t>
        </is>
      </c>
      <c r="T656" t="inlineStr">
        <is>
          <t>HEMANUELE ROSA DITZEL</t>
        </is>
      </c>
      <c r="V656" t="inlineStr">
        <is>
          <t>demais</t>
        </is>
      </c>
      <c r="W656" t="inlineStr">
        <is>
          <t>REGIÕES/GRUPOS</t>
        </is>
      </c>
    </row>
    <row r="657" ht="15" customHeight="1">
      <c r="A657" t="n">
        <v>0</v>
      </c>
      <c r="B657" t="inlineStr">
        <is>
          <t>ROXO</t>
        </is>
      </c>
      <c r="C657" t="n">
        <v>5615.5</v>
      </c>
      <c r="D657" t="n">
        <v>0</v>
      </c>
      <c r="E657" t="n">
        <v>5615.5</v>
      </c>
      <c r="F657" s="6" t="n">
        <v>0</v>
      </c>
      <c r="G657" t="inlineStr">
        <is>
          <t>SEM GRUPO</t>
        </is>
      </c>
      <c r="H657" t="inlineStr">
        <is>
          <t>SC</t>
        </is>
      </c>
      <c r="I657" t="n">
        <v>48999316068</v>
      </c>
      <c r="J657" t="inlineStr">
        <is>
          <t>Inativo</t>
        </is>
      </c>
      <c r="K657" t="inlineStr">
        <is>
          <t>SEM REDE</t>
        </is>
      </c>
      <c r="L657" t="inlineStr">
        <is>
          <t>SC</t>
        </is>
      </c>
      <c r="M657" t="n">
        <v>48999316068</v>
      </c>
      <c r="N657" t="n">
        <v>0</v>
      </c>
      <c r="O657" t="n">
        <v>467.96</v>
      </c>
      <c r="P657" t="inlineStr">
        <is>
          <t>03 - SUL</t>
        </is>
      </c>
      <c r="Q657" t="inlineStr">
        <is>
          <t>JULIO GADRET</t>
        </is>
      </c>
      <c r="S657" t="inlineStr">
        <is>
          <t>LG REPRESENTACOES LTDA - EPP</t>
        </is>
      </c>
      <c r="T657" t="inlineStr">
        <is>
          <t>ZV - NAO APLICAVEL</t>
        </is>
      </c>
      <c r="V657" t="inlineStr">
        <is>
          <t>demais</t>
        </is>
      </c>
      <c r="W657" t="inlineStr">
        <is>
          <t>REGIÕES/GRUPOS</t>
        </is>
      </c>
    </row>
    <row r="658" ht="15" customHeight="1">
      <c r="A658" t="n">
        <v>0</v>
      </c>
      <c r="B658" t="inlineStr">
        <is>
          <t>ROXO</t>
        </is>
      </c>
      <c r="C658" t="n">
        <v>6281.25</v>
      </c>
      <c r="D658" t="n">
        <v>0</v>
      </c>
      <c r="E658" t="n">
        <v>6281.25</v>
      </c>
      <c r="F658" s="6" t="n">
        <v>0</v>
      </c>
      <c r="G658" t="inlineStr">
        <is>
          <t>BIO MUNDO</t>
        </is>
      </c>
      <c r="H658" t="inlineStr">
        <is>
          <t>DF</t>
        </is>
      </c>
      <c r="I658" t="n">
        <v>61986098577</v>
      </c>
      <c r="J658" t="inlineStr">
        <is>
          <t>Inativo</t>
        </is>
      </c>
      <c r="K658" t="inlineStr">
        <is>
          <t>BIO MUNDO</t>
        </is>
      </c>
      <c r="L658" t="inlineStr">
        <is>
          <t>DF</t>
        </is>
      </c>
      <c r="M658" t="n">
        <v>61986098577</v>
      </c>
      <c r="N658" t="n">
        <v>0</v>
      </c>
      <c r="O658" t="n">
        <v>523.4400000000001</v>
      </c>
      <c r="P658" t="inlineStr">
        <is>
          <t>03 - NACIONAL</t>
        </is>
      </c>
      <c r="Q658" t="inlineStr">
        <is>
          <t>DAIANE STAVICKI</t>
        </is>
      </c>
      <c r="S658" t="inlineStr">
        <is>
          <t>ZR - NAO APLICAVEL</t>
        </is>
      </c>
      <c r="T658" t="inlineStr">
        <is>
          <t>ZV - NAO APLICAVEL</t>
        </is>
      </c>
      <c r="V658" t="inlineStr">
        <is>
          <t>demais</t>
        </is>
      </c>
      <c r="W658" t="inlineStr">
        <is>
          <t>REDES E FRANQUIAS</t>
        </is>
      </c>
    </row>
    <row r="659" ht="15" customHeight="1">
      <c r="A659" t="n">
        <v>0</v>
      </c>
      <c r="B659" t="inlineStr">
        <is>
          <t>ROXO</t>
        </is>
      </c>
      <c r="C659" t="n">
        <v>5615.5</v>
      </c>
      <c r="D659" t="n">
        <v>0</v>
      </c>
      <c r="E659" t="n">
        <v>5615.5</v>
      </c>
      <c r="F659" s="6" t="n">
        <v>0</v>
      </c>
      <c r="G659" t="inlineStr">
        <is>
          <t>SEM GRUPO</t>
        </is>
      </c>
      <c r="H659" t="inlineStr">
        <is>
          <t>GO</t>
        </is>
      </c>
      <c r="I659" t="n">
        <v>64996610968</v>
      </c>
      <c r="J659" t="inlineStr">
        <is>
          <t>Inativo</t>
        </is>
      </c>
      <c r="K659" t="inlineStr">
        <is>
          <t>SEM REDE</t>
        </is>
      </c>
      <c r="L659" t="inlineStr">
        <is>
          <t>GO</t>
        </is>
      </c>
      <c r="M659" t="n">
        <v>64996610968</v>
      </c>
      <c r="N659" t="n">
        <v>0</v>
      </c>
      <c r="O659" t="n">
        <v>467.96</v>
      </c>
      <c r="P659" t="inlineStr">
        <is>
          <t>03 - CENTRO OESTE</t>
        </is>
      </c>
      <c r="Q659" t="inlineStr">
        <is>
          <t>LARISSA PADILHA</t>
        </is>
      </c>
      <c r="S659" t="inlineStr">
        <is>
          <t>ZR - NAO APLICAVEL</t>
        </is>
      </c>
      <c r="T659" t="inlineStr">
        <is>
          <t>ZV - NAO APLICAVEL</t>
        </is>
      </c>
      <c r="V659" t="inlineStr">
        <is>
          <t>demais</t>
        </is>
      </c>
      <c r="W659" t="inlineStr">
        <is>
          <t>REGIÕES/GRUPOS</t>
        </is>
      </c>
    </row>
    <row r="660" ht="15" customHeight="1">
      <c r="A660" t="n">
        <v>-0.003619</v>
      </c>
      <c r="B660" t="inlineStr">
        <is>
          <t>ROXO</t>
        </is>
      </c>
      <c r="C660" t="n">
        <v>5615.5</v>
      </c>
      <c r="D660" t="n">
        <v>-20.32</v>
      </c>
      <c r="E660" t="n">
        <v>5615.5</v>
      </c>
      <c r="F660" s="6" t="n">
        <v>-0.003619</v>
      </c>
      <c r="G660" t="inlineStr">
        <is>
          <t>SEM GRUPO</t>
        </is>
      </c>
      <c r="H660" t="inlineStr">
        <is>
          <t>RS</t>
        </is>
      </c>
      <c r="I660" t="n">
        <v>5491613776</v>
      </c>
      <c r="J660" t="inlineStr">
        <is>
          <t>Inativo</t>
        </is>
      </c>
      <c r="K660" t="inlineStr">
        <is>
          <t>SEM REDE</t>
        </is>
      </c>
      <c r="L660" t="inlineStr">
        <is>
          <t>RS</t>
        </is>
      </c>
      <c r="M660" t="n">
        <v>5491613776</v>
      </c>
      <c r="N660" t="n">
        <v>-20.32</v>
      </c>
      <c r="O660" t="n">
        <v>467.96</v>
      </c>
      <c r="P660" t="inlineStr">
        <is>
          <t>03 - SUL</t>
        </is>
      </c>
      <c r="Q660" t="inlineStr">
        <is>
          <t>HEMANUELE DITZEL (MANU)</t>
        </is>
      </c>
      <c r="S660" t="inlineStr">
        <is>
          <t>ZR - NAO APLICAVEL</t>
        </is>
      </c>
      <c r="T660" t="inlineStr">
        <is>
          <t>HEMANUELE ROSA DITZEL</t>
        </is>
      </c>
      <c r="V660" t="inlineStr">
        <is>
          <t>demais</t>
        </is>
      </c>
      <c r="W660" t="inlineStr">
        <is>
          <t>REGIÕES/GRUPOS</t>
        </is>
      </c>
    </row>
    <row r="661" ht="15" customHeight="1">
      <c r="A661" t="n">
        <v>-0.055406</v>
      </c>
      <c r="B661" t="inlineStr">
        <is>
          <t>ROXO</t>
        </is>
      </c>
      <c r="C661" t="n">
        <v>5615.5</v>
      </c>
      <c r="D661" t="n">
        <v>-311.13</v>
      </c>
      <c r="E661" t="n">
        <v>5615.5</v>
      </c>
      <c r="F661" s="6" t="n">
        <v>-0.055406</v>
      </c>
      <c r="G661" t="inlineStr">
        <is>
          <t>SEM GRUPO</t>
        </is>
      </c>
      <c r="H661" t="inlineStr">
        <is>
          <t>GO</t>
        </is>
      </c>
      <c r="I661" t="n">
        <v>6232677053</v>
      </c>
      <c r="J661" t="inlineStr">
        <is>
          <t>Inativo</t>
        </is>
      </c>
      <c r="K661" t="inlineStr">
        <is>
          <t>SEM REDE</t>
        </is>
      </c>
      <c r="L661" t="inlineStr">
        <is>
          <t>GO</t>
        </is>
      </c>
      <c r="M661" t="n">
        <v>6232677053</v>
      </c>
      <c r="N661" t="n">
        <v>-311.13</v>
      </c>
      <c r="O661" t="n">
        <v>467.96</v>
      </c>
      <c r="P661" t="inlineStr">
        <is>
          <t>03 - CENTRO OESTE</t>
        </is>
      </c>
      <c r="Q661" t="inlineStr">
        <is>
          <t>LARISSA PADILHA</t>
        </is>
      </c>
      <c r="S661" t="inlineStr">
        <is>
          <t>42.149.466 LARISSA DA SILVA PADILHA - ME</t>
        </is>
      </c>
      <c r="T661" t="inlineStr">
        <is>
          <t>ZV - NAO APLICAVEL</t>
        </is>
      </c>
      <c r="V661" t="inlineStr">
        <is>
          <t>demais</t>
        </is>
      </c>
      <c r="W661" t="inlineStr">
        <is>
          <t>REGIÕES/GRUPOS</t>
        </is>
      </c>
    </row>
    <row r="662" ht="15" customHeight="1">
      <c r="A662" t="n">
        <v>-0.13249</v>
      </c>
      <c r="B662" t="inlineStr">
        <is>
          <t>ROXO</t>
        </is>
      </c>
      <c r="C662" t="n">
        <v>5615.5</v>
      </c>
      <c r="D662" t="n">
        <v>-744</v>
      </c>
      <c r="E662" t="n">
        <v>5615.5</v>
      </c>
      <c r="F662" s="6" t="n">
        <v>-0.13249</v>
      </c>
      <c r="G662" t="inlineStr">
        <is>
          <t>SEM GRUPO</t>
        </is>
      </c>
      <c r="H662" t="inlineStr">
        <is>
          <t>SP</t>
        </is>
      </c>
      <c r="I662" t="n">
        <v>11970518503</v>
      </c>
      <c r="J662" t="inlineStr">
        <is>
          <t>Inativo</t>
        </is>
      </c>
      <c r="K662" t="inlineStr">
        <is>
          <t>SEM REDE</t>
        </is>
      </c>
      <c r="L662" t="inlineStr">
        <is>
          <t>SP</t>
        </is>
      </c>
      <c r="M662" t="n">
        <v>11970518503</v>
      </c>
      <c r="N662" t="n">
        <v>-744</v>
      </c>
      <c r="O662" t="n">
        <v>467.96</v>
      </c>
      <c r="P662" t="inlineStr">
        <is>
          <t>03 - SP CAPITAL</t>
        </is>
      </c>
      <c r="Q662" t="inlineStr">
        <is>
          <t>LARISSA PADILHA</t>
        </is>
      </c>
      <c r="S662" t="inlineStr">
        <is>
          <t>42.149.466 LARISSA DA SILVA PADILHA - ME</t>
        </is>
      </c>
      <c r="T662" t="inlineStr">
        <is>
          <t>ZV - NAO APLICAVEL</t>
        </is>
      </c>
      <c r="V662" t="inlineStr">
        <is>
          <t>demais</t>
        </is>
      </c>
      <c r="W662" t="inlineStr">
        <is>
          <t>REGIÕES/GRUPOS</t>
        </is>
      </c>
    </row>
    <row r="663" ht="15" customHeight="1">
      <c r="A663" t="n">
        <v>-0.390577</v>
      </c>
      <c r="B663" t="inlineStr">
        <is>
          <t>ROXO</t>
        </is>
      </c>
      <c r="C663" t="n">
        <v>10200</v>
      </c>
      <c r="D663" t="n">
        <v>-3983.89</v>
      </c>
      <c r="E663" t="n">
        <v>10200</v>
      </c>
      <c r="F663" s="6" t="n">
        <v>-0.390577</v>
      </c>
      <c r="G663" t="inlineStr">
        <is>
          <t>VIDA LEVE</t>
        </is>
      </c>
      <c r="H663" t="inlineStr">
        <is>
          <t>SP</t>
        </is>
      </c>
      <c r="I663" t="n">
        <v>1791342344</v>
      </c>
      <c r="J663" t="inlineStr">
        <is>
          <t>Inativo</t>
        </is>
      </c>
      <c r="K663" t="inlineStr">
        <is>
          <t>VIDA LEVE</t>
        </is>
      </c>
      <c r="L663" t="inlineStr">
        <is>
          <t>SP</t>
        </is>
      </c>
      <c r="M663" t="n">
        <v>1791342344</v>
      </c>
      <c r="N663" t="n">
        <v>-3983.89</v>
      </c>
      <c r="O663" t="n">
        <v>850</v>
      </c>
      <c r="P663" t="inlineStr">
        <is>
          <t>03 - NACIONAL</t>
        </is>
      </c>
      <c r="Q663" t="inlineStr">
        <is>
          <t>LARISSA PADILHA</t>
        </is>
      </c>
      <c r="S663" t="inlineStr">
        <is>
          <t>42.149.466 LARISSA DA SILVA PADILHA - ME</t>
        </is>
      </c>
      <c r="T663" t="inlineStr">
        <is>
          <t>ZV - NAO APLICAVEL</t>
        </is>
      </c>
      <c r="V663" t="inlineStr">
        <is>
          <t>demais</t>
        </is>
      </c>
      <c r="W663" t="inlineStr">
        <is>
          <t>REDES E FRANQUIAS</t>
        </is>
      </c>
    </row>
  </sheetData>
  <conditionalFormatting sqref="A3:B663">
    <cfRule type="expression" priority="360" stopIfTrue="1">
      <formula>$A3=""</formula>
    </cfRule>
    <cfRule type="expression" priority="361" dxfId="7">
      <formula>$A3&gt;0.6</formula>
    </cfRule>
    <cfRule type="expression" priority="362" dxfId="6">
      <formula>$A3&gt;0.4</formula>
    </cfRule>
    <cfRule type="expression" priority="363" dxfId="5">
      <formula>$A3&gt;=0.01</formula>
    </cfRule>
    <cfRule type="expression" priority="364" dxfId="4">
      <formula>$A3&lt;0.01</formula>
    </cfRule>
  </conditionalFormatting>
  <conditionalFormatting sqref="B3:W663">
    <cfRule type="expression" priority="133" dxfId="0">
      <formula>$Q3="CANAL VAREJO INDIRETO"</formula>
    </cfRule>
  </conditionalFormatting>
  <dataValidations count="1">
    <dataValidation sqref="U3:U577" showDropDown="0" showInputMessage="1" showErrorMessage="1" allowBlank="1" type="list">
      <formula1>"Não, Oportunidade, Liberado"</formula1>
    </dataValidation>
  </dataValidations>
  <pageMargins left="0.511811024" right="0.511811024" top="0.787401575" bottom="0.787401575" header="0.31496062" footer="0.31496062"/>
  <pageSetup orientation="landscape" paperSize="9" scale="26" horizontalDpi="360" verticalDpi="36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4">
    <tabColor theme="0" tint="-0.0499893185216834"/>
    <outlinePr summaryBelow="1" summaryRight="1"/>
    <pageSetUpPr/>
  </sheetPr>
  <dimension ref="A1:M662"/>
  <sheetViews>
    <sheetView showGridLines="0" topLeftCell="B1" zoomScale="85" zoomScaleNormal="85" workbookViewId="0">
      <pane ySplit="1" topLeftCell="A2" activePane="bottomLeft" state="frozen"/>
      <selection pane="bottomLeft" activeCell="B1" sqref="B1"/>
    </sheetView>
  </sheetViews>
  <sheetFormatPr baseColWidth="8" defaultColWidth="9.140625" defaultRowHeight="27" customHeight="1"/>
  <cols>
    <col width="12" customWidth="1" min="1" max="1"/>
    <col width="40" customWidth="1" min="2" max="2"/>
    <col width="8" customWidth="1" min="3" max="4"/>
    <col width="20" customWidth="1" min="5" max="6"/>
    <col width="14" customWidth="1" min="7" max="7"/>
    <col width="30" customWidth="1" min="8" max="8"/>
    <col width="14" customWidth="1" min="9" max="11"/>
    <col width="16" customWidth="1" min="12" max="13"/>
  </cols>
  <sheetData>
    <row r="1">
      <c r="A1" s="10" t="inlineStr">
        <is>
          <t>Sinaleiro</t>
        </is>
      </c>
      <c r="B1" s="10" t="inlineStr">
        <is>
          <t>Grupo</t>
        </is>
      </c>
      <c r="C1" s="10" t="inlineStr">
        <is>
          <t>UF Grupo</t>
        </is>
      </c>
      <c r="D1" s="10" t="inlineStr">
        <is>
          <t>Lojas Grupo</t>
        </is>
      </c>
      <c r="E1" s="10" t="inlineStr">
        <is>
          <t>Maturidade</t>
        </is>
      </c>
      <c r="F1" s="10" t="inlineStr">
        <is>
          <t>Rede</t>
        </is>
      </c>
      <c r="G1" s="10" t="inlineStr">
        <is>
          <t>Classificação</t>
        </is>
      </c>
      <c r="H1" s="10" t="inlineStr">
        <is>
          <t>Consultor</t>
        </is>
      </c>
      <c r="I1" s="10" t="inlineStr">
        <is>
          <t>Status</t>
        </is>
      </c>
      <c r="J1" s="10" t="inlineStr">
        <is>
          <t>Data Revisão</t>
        </is>
      </c>
      <c r="K1" s="10" t="inlineStr">
        <is>
          <t>Follow</t>
        </is>
      </c>
      <c r="L1" s="10" t="inlineStr">
        <is>
          <t>Visita Supervisor</t>
        </is>
      </c>
      <c r="M1" s="10" t="inlineStr">
        <is>
          <t>Visita Gerente</t>
        </is>
      </c>
    </row>
    <row r="2">
      <c r="A2" t="n">
        <v>17.888993</v>
      </c>
      <c r="B2" t="inlineStr">
        <is>
          <t>SEM GRUPO</t>
        </is>
      </c>
      <c r="C2" t="inlineStr">
        <is>
          <t>MT</t>
        </is>
      </c>
      <c r="D2" t="n">
        <v>6630220990</v>
      </c>
      <c r="E2" t="inlineStr">
        <is>
          <t>JBP</t>
        </is>
      </c>
      <c r="F2" t="inlineStr">
        <is>
          <t>SEM REDE</t>
        </is>
      </c>
      <c r="G2" t="inlineStr">
        <is>
          <t>top 50</t>
        </is>
      </c>
      <c r="H2" t="inlineStr">
        <is>
          <t>LARISSA PADILHA</t>
        </is>
      </c>
    </row>
    <row r="3">
      <c r="A3" t="n">
        <v>11.631797</v>
      </c>
      <c r="B3" t="inlineStr">
        <is>
          <t>SEM GRUPO</t>
        </is>
      </c>
      <c r="C3" t="inlineStr">
        <is>
          <t>PR</t>
        </is>
      </c>
      <c r="D3" t="n">
        <v>4191038174</v>
      </c>
      <c r="E3" t="inlineStr">
        <is>
          <t>JBP</t>
        </is>
      </c>
      <c r="F3" t="inlineStr">
        <is>
          <t>SEM REDE</t>
        </is>
      </c>
      <c r="G3" t="inlineStr">
        <is>
          <t>top 50</t>
        </is>
      </c>
      <c r="H3" t="inlineStr">
        <is>
          <t>HEMANUELE DITZEL (MANU)</t>
        </is>
      </c>
    </row>
    <row r="4">
      <c r="A4" t="n">
        <v>8.957898</v>
      </c>
      <c r="B4" t="inlineStr">
        <is>
          <t>SEM GRUPO</t>
        </is>
      </c>
      <c r="C4" t="inlineStr">
        <is>
          <t>MG</t>
        </is>
      </c>
      <c r="D4" t="n">
        <v>31975430905</v>
      </c>
      <c r="E4" t="inlineStr">
        <is>
          <t>JBP</t>
        </is>
      </c>
      <c r="F4" t="inlineStr">
        <is>
          <t>SEM REDE</t>
        </is>
      </c>
      <c r="G4" t="inlineStr">
        <is>
          <t>top 50</t>
        </is>
      </c>
      <c r="H4" t="inlineStr">
        <is>
          <t>LARISSA PADILHA</t>
        </is>
      </c>
    </row>
    <row r="5">
      <c r="A5" t="n">
        <v>7.410765</v>
      </c>
      <c r="B5" t="inlineStr">
        <is>
          <t>SEM GRUPO</t>
        </is>
      </c>
      <c r="C5" t="inlineStr">
        <is>
          <t>SP</t>
        </is>
      </c>
      <c r="D5" t="n">
        <v>35984415576</v>
      </c>
      <c r="E5" t="inlineStr">
        <is>
          <t>JBP</t>
        </is>
      </c>
      <c r="F5" t="inlineStr">
        <is>
          <t>SEM REDE</t>
        </is>
      </c>
      <c r="G5" t="inlineStr">
        <is>
          <t>top 50</t>
        </is>
      </c>
      <c r="H5" t="inlineStr">
        <is>
          <t>LARISSA PADILHA</t>
        </is>
      </c>
    </row>
    <row r="6">
      <c r="A6" t="n">
        <v>6.92987</v>
      </c>
      <c r="B6" t="inlineStr">
        <is>
          <t>SEM GRUPO</t>
        </is>
      </c>
      <c r="C6" t="inlineStr">
        <is>
          <t>PE</t>
        </is>
      </c>
      <c r="D6" t="n">
        <v>81988663616</v>
      </c>
      <c r="E6" t="inlineStr">
        <is>
          <t>JBP</t>
        </is>
      </c>
      <c r="F6" t="inlineStr">
        <is>
          <t>SEM REDE</t>
        </is>
      </c>
      <c r="G6" t="inlineStr">
        <is>
          <t>top 50</t>
        </is>
      </c>
      <c r="H6" t="inlineStr">
        <is>
          <t>LARISSA PADILHA</t>
        </is>
      </c>
    </row>
    <row r="7">
      <c r="A7" t="n">
        <v>5.967792</v>
      </c>
      <c r="B7" t="inlineStr">
        <is>
          <t>SEM GRUPO</t>
        </is>
      </c>
      <c r="C7" t="inlineStr">
        <is>
          <t>GO</t>
        </is>
      </c>
      <c r="D7" t="n">
        <v>6281539520</v>
      </c>
      <c r="E7" t="inlineStr">
        <is>
          <t>JBP</t>
        </is>
      </c>
      <c r="F7" t="inlineStr">
        <is>
          <t>SEM REDE</t>
        </is>
      </c>
      <c r="G7" t="inlineStr">
        <is>
          <t>top 50</t>
        </is>
      </c>
      <c r="H7" t="inlineStr">
        <is>
          <t>LARISSA PADILHA</t>
        </is>
      </c>
    </row>
    <row r="8">
      <c r="A8" t="n">
        <v>5.388914</v>
      </c>
      <c r="B8" t="inlineStr">
        <is>
          <t>SEM GRUPO</t>
        </is>
      </c>
      <c r="C8" t="inlineStr">
        <is>
          <t>PE</t>
        </is>
      </c>
      <c r="D8" t="n">
        <v>81988663616</v>
      </c>
      <c r="E8" t="inlineStr">
        <is>
          <t>JBP</t>
        </is>
      </c>
      <c r="F8" t="inlineStr">
        <is>
          <t>SEM REDE</t>
        </is>
      </c>
      <c r="G8" t="inlineStr">
        <is>
          <t>top 50</t>
        </is>
      </c>
      <c r="H8" t="inlineStr">
        <is>
          <t>LARISSA PADILHA</t>
        </is>
      </c>
    </row>
    <row r="9">
      <c r="A9" t="n">
        <v>4.629353</v>
      </c>
      <c r="B9" t="inlineStr">
        <is>
          <t>SEM GRUPO</t>
        </is>
      </c>
      <c r="C9" t="inlineStr">
        <is>
          <t>SP</t>
        </is>
      </c>
      <c r="D9" t="n">
        <v>1435334300</v>
      </c>
      <c r="E9" t="inlineStr">
        <is>
          <t>JBP</t>
        </is>
      </c>
      <c r="F9" t="inlineStr">
        <is>
          <t>SEM REDE</t>
        </is>
      </c>
      <c r="G9" t="inlineStr">
        <is>
          <t>top 50</t>
        </is>
      </c>
      <c r="H9" t="inlineStr">
        <is>
          <t>HEMANUELE DITZEL (MANU)</t>
        </is>
      </c>
    </row>
    <row r="10">
      <c r="A10" t="n">
        <v>4.615792</v>
      </c>
      <c r="B10" t="inlineStr">
        <is>
          <t>SEM GRUPO</t>
        </is>
      </c>
      <c r="C10" t="inlineStr">
        <is>
          <t>PR</t>
        </is>
      </c>
      <c r="D10" t="n">
        <v>44999119237</v>
      </c>
      <c r="E10" t="inlineStr">
        <is>
          <t>JBP</t>
        </is>
      </c>
      <c r="F10" t="inlineStr">
        <is>
          <t>SEM REDE</t>
        </is>
      </c>
      <c r="G10" t="inlineStr">
        <is>
          <t>top 50</t>
        </is>
      </c>
      <c r="H10" t="inlineStr">
        <is>
          <t>HEMANUELE DITZEL (MANU)</t>
        </is>
      </c>
    </row>
    <row r="11">
      <c r="A11" t="n">
        <v>4.121087</v>
      </c>
      <c r="B11" t="inlineStr">
        <is>
          <t>SEM GRUPO</t>
        </is>
      </c>
      <c r="C11" t="inlineStr">
        <is>
          <t>SC</t>
        </is>
      </c>
      <c r="D11" t="n">
        <v>4799124468</v>
      </c>
      <c r="E11" t="inlineStr">
        <is>
          <t>JBP</t>
        </is>
      </c>
      <c r="F11" t="inlineStr">
        <is>
          <t>SEM REDE</t>
        </is>
      </c>
      <c r="G11" t="inlineStr">
        <is>
          <t>top 50</t>
        </is>
      </c>
      <c r="H11" t="inlineStr">
        <is>
          <t>HEMANUELE DITZEL (MANU)</t>
        </is>
      </c>
    </row>
    <row r="12">
      <c r="A12" t="n">
        <v>4.005055</v>
      </c>
      <c r="B12" t="inlineStr">
        <is>
          <t>SEM GRUPO</t>
        </is>
      </c>
      <c r="C12" t="inlineStr">
        <is>
          <t>SC</t>
        </is>
      </c>
      <c r="D12" t="n">
        <v>4733947104</v>
      </c>
      <c r="E12" t="inlineStr">
        <is>
          <t>JBP</t>
        </is>
      </c>
      <c r="F12" t="inlineStr">
        <is>
          <t>SEM REDE</t>
        </is>
      </c>
      <c r="G12" t="inlineStr">
        <is>
          <t>top 50</t>
        </is>
      </c>
      <c r="H12" t="inlineStr">
        <is>
          <t>HEMANUELE DITZEL (MANU)</t>
        </is>
      </c>
    </row>
    <row r="13">
      <c r="A13" t="n">
        <v>3.884095</v>
      </c>
      <c r="B13" t="inlineStr">
        <is>
          <t>SEM GRUPO</t>
        </is>
      </c>
      <c r="C13" t="inlineStr">
        <is>
          <t>PA</t>
        </is>
      </c>
      <c r="D13" t="n">
        <v>1</v>
      </c>
      <c r="E13" t="inlineStr">
        <is>
          <t>JBP</t>
        </is>
      </c>
      <c r="F13" t="inlineStr">
        <is>
          <t>SEM REDE</t>
        </is>
      </c>
      <c r="G13" t="inlineStr">
        <is>
          <t>top 50</t>
        </is>
      </c>
      <c r="H13" t="inlineStr">
        <is>
          <t>LARISSA PADILHA</t>
        </is>
      </c>
    </row>
    <row r="14">
      <c r="A14" t="n">
        <v>3.844052</v>
      </c>
      <c r="B14" t="inlineStr">
        <is>
          <t>SEM GRUPO</t>
        </is>
      </c>
      <c r="C14" t="inlineStr">
        <is>
          <t>SC</t>
        </is>
      </c>
      <c r="D14" t="n">
        <v>4788616805</v>
      </c>
      <c r="E14" t="inlineStr">
        <is>
          <t>JBP</t>
        </is>
      </c>
      <c r="F14" t="inlineStr">
        <is>
          <t>SEM REDE</t>
        </is>
      </c>
      <c r="G14" t="inlineStr">
        <is>
          <t>top 50</t>
        </is>
      </c>
      <c r="H14" t="inlineStr">
        <is>
          <t>HEMANUELE DITZEL (MANU)</t>
        </is>
      </c>
    </row>
    <row r="15">
      <c r="A15" t="n">
        <v>3.223497</v>
      </c>
      <c r="B15" t="inlineStr">
        <is>
          <t>SEM GRUPO</t>
        </is>
      </c>
      <c r="C15" t="inlineStr">
        <is>
          <t>PR</t>
        </is>
      </c>
      <c r="D15" t="n">
        <v>41992423665</v>
      </c>
      <c r="E15" t="inlineStr">
        <is>
          <t>JBP</t>
        </is>
      </c>
      <c r="F15" t="inlineStr">
        <is>
          <t>SEM REDE</t>
        </is>
      </c>
      <c r="G15" t="inlineStr">
        <is>
          <t>top 50</t>
        </is>
      </c>
      <c r="H15" t="inlineStr">
        <is>
          <t>HEMANUELE DITZEL (MANU)</t>
        </is>
      </c>
    </row>
    <row r="16">
      <c r="A16" t="n">
        <v>3.109603</v>
      </c>
      <c r="B16" t="inlineStr">
        <is>
          <t>SEM GRUPO</t>
        </is>
      </c>
      <c r="C16" t="inlineStr">
        <is>
          <t>SP</t>
        </is>
      </c>
      <c r="D16" t="n">
        <v>17992484748</v>
      </c>
      <c r="E16" t="inlineStr">
        <is>
          <t>JBP</t>
        </is>
      </c>
      <c r="F16" t="inlineStr">
        <is>
          <t>SEM REDE</t>
        </is>
      </c>
      <c r="G16" t="inlineStr">
        <is>
          <t>top 50</t>
        </is>
      </c>
      <c r="H16" t="inlineStr">
        <is>
          <t>LARISSA PADILHA</t>
        </is>
      </c>
    </row>
    <row r="17">
      <c r="A17" t="n">
        <v>1.83606</v>
      </c>
      <c r="B17" t="inlineStr">
        <is>
          <t>MERCOCENTRO</t>
        </is>
      </c>
      <c r="C17" t="inlineStr">
        <is>
          <t>SC</t>
        </is>
      </c>
      <c r="D17" t="n">
        <v>48988457748</v>
      </c>
      <c r="E17" t="inlineStr">
        <is>
          <t>JBP</t>
        </is>
      </c>
      <c r="F17" t="inlineStr">
        <is>
          <t>MERCOCENTRO</t>
        </is>
      </c>
      <c r="G17" t="inlineStr">
        <is>
          <t>top 50</t>
        </is>
      </c>
      <c r="H17" t="inlineStr">
        <is>
          <t>HEMANUELE DITZEL (MANU)</t>
        </is>
      </c>
    </row>
    <row r="18">
      <c r="A18" t="n">
        <v>2.877612</v>
      </c>
      <c r="B18" t="inlineStr">
        <is>
          <t>SEM GRUPO</t>
        </is>
      </c>
      <c r="C18" t="inlineStr">
        <is>
          <t>SP</t>
        </is>
      </c>
      <c r="D18" t="n">
        <v>1148157242</v>
      </c>
      <c r="E18" t="inlineStr">
        <is>
          <t>JBP</t>
        </is>
      </c>
      <c r="F18" t="inlineStr">
        <is>
          <t>SEM REDE</t>
        </is>
      </c>
      <c r="G18" t="inlineStr">
        <is>
          <t>top 50</t>
        </is>
      </c>
      <c r="H18" t="inlineStr">
        <is>
          <t>LARISSA PADILHA</t>
        </is>
      </c>
    </row>
    <row r="19">
      <c r="A19" t="n">
        <v>2.773233</v>
      </c>
      <c r="B19" t="inlineStr">
        <is>
          <t>SEM GRUPO</t>
        </is>
      </c>
      <c r="C19" t="inlineStr">
        <is>
          <t>MG</t>
        </is>
      </c>
      <c r="D19" t="n">
        <v>3195822907</v>
      </c>
      <c r="E19" t="inlineStr">
        <is>
          <t>JBP</t>
        </is>
      </c>
      <c r="F19" t="inlineStr">
        <is>
          <t>SEM REDE</t>
        </is>
      </c>
      <c r="G19" t="inlineStr">
        <is>
          <t>top 50</t>
        </is>
      </c>
      <c r="H19" t="inlineStr">
        <is>
          <t>HEMANUELE DITZEL (MANU)</t>
        </is>
      </c>
    </row>
    <row r="20">
      <c r="A20" t="n">
        <v>2.720764</v>
      </c>
      <c r="B20" t="inlineStr">
        <is>
          <t>SEM GRUPO</t>
        </is>
      </c>
      <c r="C20" t="inlineStr">
        <is>
          <t>SP</t>
        </is>
      </c>
      <c r="D20" t="n">
        <v>11931442643</v>
      </c>
      <c r="E20" t="inlineStr">
        <is>
          <t>JBP</t>
        </is>
      </c>
      <c r="F20" t="inlineStr">
        <is>
          <t>SEM REDE</t>
        </is>
      </c>
      <c r="G20" t="inlineStr">
        <is>
          <t>top 50</t>
        </is>
      </c>
      <c r="H20" t="inlineStr">
        <is>
          <t>LARISSA PADILHA</t>
        </is>
      </c>
    </row>
    <row r="21">
      <c r="A21" t="n">
        <v>2.663665</v>
      </c>
      <c r="B21" t="inlineStr">
        <is>
          <t>SEM GRUPO</t>
        </is>
      </c>
      <c r="C21" t="inlineStr">
        <is>
          <t>SC</t>
        </is>
      </c>
      <c r="D21" t="n">
        <v>4797392571</v>
      </c>
      <c r="E21" t="inlineStr">
        <is>
          <t>JBP</t>
        </is>
      </c>
      <c r="F21" t="inlineStr">
        <is>
          <t>SEM REDE</t>
        </is>
      </c>
      <c r="G21" t="inlineStr">
        <is>
          <t>top 50</t>
        </is>
      </c>
      <c r="H21" t="inlineStr">
        <is>
          <t>HEMANUELE DITZEL (MANU)</t>
        </is>
      </c>
    </row>
    <row r="22">
      <c r="A22" t="n">
        <v>2.496041</v>
      </c>
      <c r="B22" t="inlineStr">
        <is>
          <t>SEM GRUPO</t>
        </is>
      </c>
      <c r="C22" t="inlineStr">
        <is>
          <t>MG</t>
        </is>
      </c>
      <c r="D22" t="n">
        <v>3136166485</v>
      </c>
      <c r="E22" t="inlineStr">
        <is>
          <t>JBP</t>
        </is>
      </c>
      <c r="F22" t="inlineStr">
        <is>
          <t>SEM REDE</t>
        </is>
      </c>
      <c r="G22" t="inlineStr">
        <is>
          <t>top 50</t>
        </is>
      </c>
      <c r="H22" t="inlineStr">
        <is>
          <t>LARISSA PADILHA</t>
        </is>
      </c>
    </row>
    <row r="23">
      <c r="A23" t="n">
        <v>2.426737</v>
      </c>
      <c r="B23" t="inlineStr">
        <is>
          <t>SEM GRUPO</t>
        </is>
      </c>
      <c r="C23" t="inlineStr">
        <is>
          <t>SP</t>
        </is>
      </c>
      <c r="D23" t="n">
        <v>11993142494</v>
      </c>
      <c r="E23" t="inlineStr">
        <is>
          <t>JBP</t>
        </is>
      </c>
      <c r="F23" t="inlineStr">
        <is>
          <t>SEM REDE</t>
        </is>
      </c>
      <c r="G23" t="inlineStr">
        <is>
          <t>top 50</t>
        </is>
      </c>
      <c r="H23" t="inlineStr">
        <is>
          <t>LARISSA PADILHA</t>
        </is>
      </c>
    </row>
    <row r="24">
      <c r="A24" t="n">
        <v>2.38106</v>
      </c>
      <c r="B24" t="inlineStr">
        <is>
          <t>SEM GRUPO</t>
        </is>
      </c>
      <c r="C24" t="inlineStr">
        <is>
          <t>SP</t>
        </is>
      </c>
      <c r="D24" t="n">
        <v>16988037695</v>
      </c>
      <c r="E24" t="inlineStr">
        <is>
          <t>JBP</t>
        </is>
      </c>
      <c r="F24" t="inlineStr">
        <is>
          <t>SEM REDE</t>
        </is>
      </c>
      <c r="G24" t="inlineStr">
        <is>
          <t>top 50</t>
        </is>
      </c>
      <c r="H24" t="inlineStr">
        <is>
          <t>LARISSA PADILHA</t>
        </is>
      </c>
    </row>
    <row r="25">
      <c r="A25" t="n">
        <v>1.22149</v>
      </c>
      <c r="B25" t="inlineStr">
        <is>
          <t>CIA DA SAUDE</t>
        </is>
      </c>
      <c r="C25" t="inlineStr">
        <is>
          <t>SC</t>
        </is>
      </c>
      <c r="D25" t="n">
        <v>4733047708</v>
      </c>
      <c r="E25" t="inlineStr">
        <is>
          <t>JBP</t>
        </is>
      </c>
      <c r="F25" t="inlineStr">
        <is>
          <t>CIA DA SAUDE</t>
        </is>
      </c>
      <c r="G25" t="inlineStr">
        <is>
          <t>top 50</t>
        </is>
      </c>
      <c r="H25" t="inlineStr">
        <is>
          <t>JULIO GADRET</t>
        </is>
      </c>
    </row>
    <row r="26">
      <c r="A26" t="n">
        <v>2.295619</v>
      </c>
      <c r="B26" t="inlineStr">
        <is>
          <t>SEM GRUPO</t>
        </is>
      </c>
      <c r="C26" t="inlineStr">
        <is>
          <t>PA</t>
        </is>
      </c>
      <c r="D26" t="n">
        <v>1</v>
      </c>
      <c r="E26" t="inlineStr">
        <is>
          <t>JBP</t>
        </is>
      </c>
      <c r="F26" t="inlineStr">
        <is>
          <t>SEM REDE</t>
        </is>
      </c>
      <c r="G26" t="inlineStr">
        <is>
          <t>top 50</t>
        </is>
      </c>
      <c r="H26" t="inlineStr">
        <is>
          <t>LARISSA PADILHA</t>
        </is>
      </c>
    </row>
    <row r="27">
      <c r="A27" t="n">
        <v>2.246637</v>
      </c>
      <c r="B27" t="inlineStr">
        <is>
          <t>SEM GRUPO</t>
        </is>
      </c>
      <c r="C27" t="inlineStr">
        <is>
          <t>SP</t>
        </is>
      </c>
      <c r="D27" t="n">
        <v>1150807000</v>
      </c>
      <c r="E27" t="inlineStr">
        <is>
          <t>JBP</t>
        </is>
      </c>
      <c r="F27" t="inlineStr">
        <is>
          <t>SEM REDE</t>
        </is>
      </c>
      <c r="G27" t="inlineStr">
        <is>
          <t>top 50</t>
        </is>
      </c>
      <c r="H27" t="inlineStr">
        <is>
          <t>LARISSA PADILHA</t>
        </is>
      </c>
    </row>
    <row r="28">
      <c r="A28" t="n">
        <v>1.031064</v>
      </c>
      <c r="B28" t="inlineStr">
        <is>
          <t>NATURVIDA</t>
        </is>
      </c>
      <c r="C28" t="inlineStr">
        <is>
          <t>RS</t>
        </is>
      </c>
      <c r="D28" t="n">
        <v>5139027349</v>
      </c>
      <c r="E28" t="inlineStr">
        <is>
          <t>JBP</t>
        </is>
      </c>
      <c r="F28" t="inlineStr">
        <is>
          <t>NATURVIDA</t>
        </is>
      </c>
      <c r="G28" t="inlineStr">
        <is>
          <t>top 50</t>
        </is>
      </c>
      <c r="H28" t="inlineStr">
        <is>
          <t>HEMANUELE DITZEL (MANU)</t>
        </is>
      </c>
    </row>
    <row r="29">
      <c r="A29" t="n">
        <v>2.198577</v>
      </c>
      <c r="B29" t="inlineStr">
        <is>
          <t>SEM GRUPO</t>
        </is>
      </c>
      <c r="C29" t="inlineStr">
        <is>
          <t>PE</t>
        </is>
      </c>
      <c r="D29" t="n">
        <v>81997040498</v>
      </c>
      <c r="E29" t="inlineStr">
        <is>
          <t>JBP</t>
        </is>
      </c>
      <c r="F29" t="inlineStr">
        <is>
          <t>SEM REDE</t>
        </is>
      </c>
      <c r="G29" t="inlineStr">
        <is>
          <t>top 50</t>
        </is>
      </c>
      <c r="H29" t="inlineStr">
        <is>
          <t>LARISSA PADILHA</t>
        </is>
      </c>
    </row>
    <row r="30">
      <c r="A30" t="n">
        <v>2.191064</v>
      </c>
      <c r="B30" t="inlineStr">
        <is>
          <t>SEM GRUPO</t>
        </is>
      </c>
      <c r="C30" t="inlineStr">
        <is>
          <t>PR</t>
        </is>
      </c>
      <c r="D30" t="n">
        <v>43999144144</v>
      </c>
      <c r="E30" t="inlineStr">
        <is>
          <t>JBP</t>
        </is>
      </c>
      <c r="F30" t="inlineStr">
        <is>
          <t>SEM REDE</t>
        </is>
      </c>
      <c r="G30" t="inlineStr">
        <is>
          <t>top 50</t>
        </is>
      </c>
      <c r="H30" t="inlineStr">
        <is>
          <t>HEMANUELE DITZEL (MANU)</t>
        </is>
      </c>
    </row>
    <row r="31">
      <c r="A31" t="n">
        <v>2.12091</v>
      </c>
      <c r="B31" t="inlineStr">
        <is>
          <t>SEM GRUPO</t>
        </is>
      </c>
      <c r="C31" t="inlineStr">
        <is>
          <t>SC</t>
        </is>
      </c>
      <c r="D31" t="n">
        <v>4733636986</v>
      </c>
      <c r="E31" t="inlineStr">
        <is>
          <t>JBP</t>
        </is>
      </c>
      <c r="F31" t="inlineStr">
        <is>
          <t>SEM REDE</t>
        </is>
      </c>
      <c r="G31" t="inlineStr">
        <is>
          <t>top 50</t>
        </is>
      </c>
      <c r="H31" t="inlineStr">
        <is>
          <t>HEMANUELE DITZEL (MANU)</t>
        </is>
      </c>
    </row>
    <row r="32">
      <c r="A32" t="n">
        <v>1.79635</v>
      </c>
      <c r="B32" t="inlineStr">
        <is>
          <t>DIVINA TERRA</t>
        </is>
      </c>
      <c r="C32" t="inlineStr">
        <is>
          <t>RS</t>
        </is>
      </c>
      <c r="D32" t="n">
        <v>51985429000</v>
      </c>
      <c r="E32" t="inlineStr">
        <is>
          <t>JBP</t>
        </is>
      </c>
      <c r="F32" t="inlineStr">
        <is>
          <t>DIVINA TERRA</t>
        </is>
      </c>
      <c r="G32" t="inlineStr">
        <is>
          <t>top 50</t>
        </is>
      </c>
      <c r="H32" t="inlineStr">
        <is>
          <t>DAIANE STAVICKI</t>
        </is>
      </c>
    </row>
    <row r="33">
      <c r="A33" t="n">
        <v>2.005843</v>
      </c>
      <c r="B33" t="inlineStr">
        <is>
          <t>SEM GRUPO</t>
        </is>
      </c>
      <c r="C33" t="inlineStr">
        <is>
          <t>SP</t>
        </is>
      </c>
      <c r="D33" t="n">
        <v>1435542046</v>
      </c>
      <c r="E33" t="inlineStr">
        <is>
          <t>JBP</t>
        </is>
      </c>
      <c r="F33" t="inlineStr">
        <is>
          <t>SEM REDE</t>
        </is>
      </c>
      <c r="G33" t="inlineStr">
        <is>
          <t>top 50</t>
        </is>
      </c>
      <c r="H33" t="inlineStr">
        <is>
          <t>LARISSA PADILHA</t>
        </is>
      </c>
    </row>
    <row r="34">
      <c r="A34" t="n">
        <v>1.00462</v>
      </c>
      <c r="B34" t="inlineStr">
        <is>
          <t>FITLAND</t>
        </is>
      </c>
      <c r="C34" t="inlineStr">
        <is>
          <t>SC</t>
        </is>
      </c>
      <c r="D34" t="n">
        <v>4799956980</v>
      </c>
      <c r="E34" t="inlineStr">
        <is>
          <t>JBP</t>
        </is>
      </c>
      <c r="F34" t="inlineStr">
        <is>
          <t>FITLAND</t>
        </is>
      </c>
      <c r="G34" t="inlineStr">
        <is>
          <t>top 50</t>
        </is>
      </c>
      <c r="H34" t="inlineStr">
        <is>
          <t>JULIO GADRET</t>
        </is>
      </c>
    </row>
    <row r="35">
      <c r="A35" t="n">
        <v>0.97781</v>
      </c>
      <c r="B35" t="inlineStr">
        <is>
          <t>FITLAND</t>
        </is>
      </c>
      <c r="C35" t="inlineStr">
        <is>
          <t>SC</t>
        </is>
      </c>
      <c r="D35" t="n">
        <v>47992780085</v>
      </c>
      <c r="E35" t="inlineStr">
        <is>
          <t>JBP</t>
        </is>
      </c>
      <c r="F35" t="inlineStr">
        <is>
          <t>FITLAND</t>
        </is>
      </c>
      <c r="G35" t="inlineStr">
        <is>
          <t>top 50</t>
        </is>
      </c>
      <c r="H35" t="inlineStr">
        <is>
          <t>JULIO GADRET</t>
        </is>
      </c>
    </row>
    <row r="36">
      <c r="A36" t="n">
        <v>0.971903</v>
      </c>
      <c r="B36" t="inlineStr">
        <is>
          <t>FITLAND</t>
        </is>
      </c>
      <c r="C36" t="inlineStr">
        <is>
          <t>SC</t>
        </is>
      </c>
      <c r="D36" t="n">
        <v>47999956980</v>
      </c>
      <c r="E36" t="inlineStr">
        <is>
          <t>JBP</t>
        </is>
      </c>
      <c r="F36" t="inlineStr">
        <is>
          <t>FITLAND</t>
        </is>
      </c>
      <c r="G36" t="inlineStr">
        <is>
          <t>top 50</t>
        </is>
      </c>
      <c r="H36" t="inlineStr">
        <is>
          <t>JULIO GADRET</t>
        </is>
      </c>
    </row>
    <row r="37">
      <c r="A37" t="n">
        <v>0.960942</v>
      </c>
      <c r="B37" t="inlineStr">
        <is>
          <t>FITLAND</t>
        </is>
      </c>
      <c r="C37" t="inlineStr">
        <is>
          <t>SC</t>
        </is>
      </c>
      <c r="D37" t="n">
        <v>4799956980</v>
      </c>
      <c r="E37" t="inlineStr">
        <is>
          <t>JBP</t>
        </is>
      </c>
      <c r="F37" t="inlineStr">
        <is>
          <t>FITLAND</t>
        </is>
      </c>
      <c r="G37" t="inlineStr">
        <is>
          <t>top 50</t>
        </is>
      </c>
      <c r="H37" t="inlineStr">
        <is>
          <t>JULIO GADRET</t>
        </is>
      </c>
    </row>
    <row r="38">
      <c r="A38" t="n">
        <v>1.821657</v>
      </c>
      <c r="B38" t="inlineStr">
        <is>
          <t>SEM GRUPO</t>
        </is>
      </c>
      <c r="C38" t="inlineStr">
        <is>
          <t>PR</t>
        </is>
      </c>
      <c r="D38" t="n">
        <v>4132177700</v>
      </c>
      <c r="E38" t="inlineStr">
        <is>
          <t>JBP</t>
        </is>
      </c>
      <c r="F38" t="inlineStr">
        <is>
          <t>SEM REDE</t>
        </is>
      </c>
      <c r="G38" t="inlineStr">
        <is>
          <t>top 50</t>
        </is>
      </c>
      <c r="H38" t="inlineStr">
        <is>
          <t>HEMANUELE DITZEL (MANU)</t>
        </is>
      </c>
    </row>
    <row r="39">
      <c r="A39" t="n">
        <v>1.778423</v>
      </c>
      <c r="B39" t="inlineStr">
        <is>
          <t>SEM GRUPO</t>
        </is>
      </c>
      <c r="C39" t="inlineStr">
        <is>
          <t>MG</t>
        </is>
      </c>
      <c r="D39" t="n">
        <v>3196193930</v>
      </c>
      <c r="E39" t="inlineStr">
        <is>
          <t>JBP</t>
        </is>
      </c>
      <c r="F39" t="inlineStr">
        <is>
          <t>SEM REDE</t>
        </is>
      </c>
      <c r="G39" t="inlineStr">
        <is>
          <t>top 50</t>
        </is>
      </c>
      <c r="H39" t="inlineStr">
        <is>
          <t>LARISSA PADILHA</t>
        </is>
      </c>
    </row>
    <row r="40">
      <c r="A40" t="n">
        <v>1.762428</v>
      </c>
      <c r="B40" t="inlineStr">
        <is>
          <t>SEM GRUPO</t>
        </is>
      </c>
      <c r="C40" t="inlineStr">
        <is>
          <t>MG</t>
        </is>
      </c>
      <c r="D40" t="n">
        <v>31377187303</v>
      </c>
      <c r="E40" t="inlineStr">
        <is>
          <t>JBP</t>
        </is>
      </c>
      <c r="F40" t="inlineStr">
        <is>
          <t>SEM REDE</t>
        </is>
      </c>
      <c r="G40" t="inlineStr">
        <is>
          <t>top 50</t>
        </is>
      </c>
      <c r="H40" t="inlineStr">
        <is>
          <t>LARISSA PADILHA</t>
        </is>
      </c>
    </row>
    <row r="41">
      <c r="A41" t="n">
        <v>1.751966</v>
      </c>
      <c r="B41" t="inlineStr">
        <is>
          <t>SEM GRUPO</t>
        </is>
      </c>
      <c r="C41" t="inlineStr">
        <is>
          <t>GO</t>
        </is>
      </c>
      <c r="D41" t="n">
        <v>1</v>
      </c>
      <c r="E41" t="inlineStr">
        <is>
          <t>JBP</t>
        </is>
      </c>
      <c r="F41" t="inlineStr">
        <is>
          <t>SEM REDE</t>
        </is>
      </c>
      <c r="G41" t="inlineStr">
        <is>
          <t>top 50</t>
        </is>
      </c>
      <c r="H41" t="inlineStr">
        <is>
          <t>LARISSA PADILHA</t>
        </is>
      </c>
    </row>
    <row r="42">
      <c r="A42" t="n">
        <v>1.751009</v>
      </c>
      <c r="B42" t="inlineStr">
        <is>
          <t>SEM GRUPO</t>
        </is>
      </c>
      <c r="C42" t="inlineStr">
        <is>
          <t>PR</t>
        </is>
      </c>
      <c r="D42" t="n">
        <v>4388368610</v>
      </c>
      <c r="E42" t="inlineStr">
        <is>
          <t>JBP</t>
        </is>
      </c>
      <c r="F42" t="inlineStr">
        <is>
          <t>SEM REDE</t>
        </is>
      </c>
      <c r="G42" t="inlineStr">
        <is>
          <t>top 50</t>
        </is>
      </c>
      <c r="H42" t="inlineStr">
        <is>
          <t>HEMANUELE DITZEL (MANU)</t>
        </is>
      </c>
    </row>
    <row r="43">
      <c r="A43" t="n">
        <v>1.720269</v>
      </c>
      <c r="B43" t="inlineStr">
        <is>
          <t>SEM GRUPO</t>
        </is>
      </c>
      <c r="C43" t="inlineStr">
        <is>
          <t>PR</t>
        </is>
      </c>
      <c r="D43" t="n">
        <v>4188205031</v>
      </c>
      <c r="E43" t="inlineStr">
        <is>
          <t>JBP</t>
        </is>
      </c>
      <c r="F43" t="inlineStr">
        <is>
          <t>SEM REDE</t>
        </is>
      </c>
      <c r="G43" t="inlineStr">
        <is>
          <t>top 50</t>
        </is>
      </c>
      <c r="H43" t="inlineStr">
        <is>
          <t>HEMANUELE DITZEL (MANU)</t>
        </is>
      </c>
    </row>
    <row r="44">
      <c r="A44" t="n">
        <v>1.698547</v>
      </c>
      <c r="B44" t="inlineStr">
        <is>
          <t>SEM GRUPO</t>
        </is>
      </c>
      <c r="C44" t="inlineStr">
        <is>
          <t>SP</t>
        </is>
      </c>
      <c r="D44" t="n">
        <v>11996144707</v>
      </c>
      <c r="E44" t="inlineStr">
        <is>
          <t>JBP</t>
        </is>
      </c>
      <c r="F44" t="inlineStr">
        <is>
          <t>SEM REDE</t>
        </is>
      </c>
      <c r="G44" t="inlineStr">
        <is>
          <t>top 50</t>
        </is>
      </c>
      <c r="H44" t="inlineStr">
        <is>
          <t>LARISSA PADILHA</t>
        </is>
      </c>
    </row>
    <row r="45">
      <c r="A45" t="n">
        <v>1.656129</v>
      </c>
      <c r="B45" t="inlineStr">
        <is>
          <t>SEM GRUPO</t>
        </is>
      </c>
      <c r="C45" t="inlineStr">
        <is>
          <t>RS</t>
        </is>
      </c>
      <c r="D45" t="n">
        <v>5199944079</v>
      </c>
      <c r="E45" t="inlineStr">
        <is>
          <t>JBP</t>
        </is>
      </c>
      <c r="F45" t="inlineStr">
        <is>
          <t>SEM REDE</t>
        </is>
      </c>
      <c r="G45" t="inlineStr">
        <is>
          <t>top 50</t>
        </is>
      </c>
      <c r="H45" t="inlineStr">
        <is>
          <t>HEMANUELE DITZEL (MANU)</t>
        </is>
      </c>
    </row>
    <row r="46">
      <c r="A46" t="n">
        <v>1.580278</v>
      </c>
      <c r="B46" t="inlineStr">
        <is>
          <t>SEM GRUPO</t>
        </is>
      </c>
      <c r="C46" t="inlineStr">
        <is>
          <t>MT</t>
        </is>
      </c>
      <c r="D46" t="n">
        <v>66353200506</v>
      </c>
      <c r="E46" t="inlineStr">
        <is>
          <t>JBP</t>
        </is>
      </c>
      <c r="F46" t="inlineStr">
        <is>
          <t>SEM REDE</t>
        </is>
      </c>
      <c r="G46" t="inlineStr">
        <is>
          <t>top 50</t>
        </is>
      </c>
      <c r="H46" t="inlineStr">
        <is>
          <t>LARISSA PADILHA</t>
        </is>
      </c>
    </row>
    <row r="47">
      <c r="A47" t="n">
        <v>1.507793</v>
      </c>
      <c r="B47" t="inlineStr">
        <is>
          <t>SEM GRUPO</t>
        </is>
      </c>
      <c r="C47" t="inlineStr">
        <is>
          <t>PR</t>
        </is>
      </c>
      <c r="D47" t="n">
        <v>4191966888</v>
      </c>
      <c r="E47" t="inlineStr">
        <is>
          <t>JBP</t>
        </is>
      </c>
      <c r="F47" t="inlineStr">
        <is>
          <t>SEM REDE</t>
        </is>
      </c>
      <c r="G47" t="inlineStr">
        <is>
          <t>top 50</t>
        </is>
      </c>
      <c r="H47" t="inlineStr">
        <is>
          <t>HEMANUELE DITZEL (MANU)</t>
        </is>
      </c>
    </row>
    <row r="48">
      <c r="A48" t="n">
        <v>0.704813</v>
      </c>
      <c r="B48" t="inlineStr">
        <is>
          <t>NATURVIDA</t>
        </is>
      </c>
      <c r="C48" t="inlineStr">
        <is>
          <t>RS</t>
        </is>
      </c>
      <c r="D48" t="n">
        <v>5137193512</v>
      </c>
      <c r="E48" t="inlineStr">
        <is>
          <t>JBP</t>
        </is>
      </c>
      <c r="F48" t="inlineStr">
        <is>
          <t>NATURVIDA</t>
        </is>
      </c>
      <c r="G48" t="inlineStr">
        <is>
          <t>top 50</t>
        </is>
      </c>
      <c r="H48" t="inlineStr">
        <is>
          <t>HEMANUELE DITZEL (MANU)</t>
        </is>
      </c>
    </row>
    <row r="49">
      <c r="A49" t="n">
        <v>0.772213</v>
      </c>
      <c r="B49" t="inlineStr">
        <is>
          <t>FITLAND</t>
        </is>
      </c>
      <c r="C49" t="inlineStr">
        <is>
          <t>SC</t>
        </is>
      </c>
      <c r="D49" t="n">
        <v>4799956980</v>
      </c>
      <c r="E49" t="inlineStr">
        <is>
          <t>JBP</t>
        </is>
      </c>
      <c r="F49" t="inlineStr">
        <is>
          <t>FITLAND</t>
        </is>
      </c>
      <c r="G49" t="inlineStr">
        <is>
          <t>top 50</t>
        </is>
      </c>
      <c r="H49" t="inlineStr">
        <is>
          <t>JULIO GADRET</t>
        </is>
      </c>
    </row>
    <row r="50">
      <c r="A50" t="n">
        <v>1.467188</v>
      </c>
      <c r="B50" t="inlineStr">
        <is>
          <t>SEM GRUPO</t>
        </is>
      </c>
      <c r="C50" t="inlineStr">
        <is>
          <t>SP</t>
        </is>
      </c>
      <c r="D50" t="n">
        <v>11980250123</v>
      </c>
      <c r="E50" t="inlineStr">
        <is>
          <t>JBP</t>
        </is>
      </c>
      <c r="F50" t="inlineStr">
        <is>
          <t>SEM REDE</t>
        </is>
      </c>
      <c r="G50" t="inlineStr">
        <is>
          <t>top 50</t>
        </is>
      </c>
      <c r="H50" t="inlineStr">
        <is>
          <t>LARISSA PADILHA</t>
        </is>
      </c>
    </row>
    <row r="51">
      <c r="A51" t="n">
        <v>1.466333</v>
      </c>
      <c r="B51" t="inlineStr">
        <is>
          <t>SEM GRUPO</t>
        </is>
      </c>
      <c r="C51" t="inlineStr">
        <is>
          <t>SP</t>
        </is>
      </c>
      <c r="D51" t="n">
        <v>1140811061</v>
      </c>
      <c r="E51" t="inlineStr">
        <is>
          <t>JBP</t>
        </is>
      </c>
      <c r="F51" t="inlineStr">
        <is>
          <t>SEM REDE</t>
        </is>
      </c>
      <c r="G51" t="inlineStr">
        <is>
          <t>top 50</t>
        </is>
      </c>
      <c r="H51" t="inlineStr">
        <is>
          <t>LARISSA PADILHA</t>
        </is>
      </c>
    </row>
    <row r="52">
      <c r="A52" t="n">
        <v>1.445315</v>
      </c>
      <c r="B52" t="inlineStr">
        <is>
          <t>SEM GRUPO</t>
        </is>
      </c>
      <c r="C52" t="inlineStr">
        <is>
          <t>MG</t>
        </is>
      </c>
      <c r="D52" t="n">
        <v>3584162455</v>
      </c>
      <c r="E52" t="inlineStr">
        <is>
          <t>JBP</t>
        </is>
      </c>
      <c r="F52" t="inlineStr">
        <is>
          <t>SEM REDE</t>
        </is>
      </c>
      <c r="G52" t="inlineStr">
        <is>
          <t>top 100</t>
        </is>
      </c>
      <c r="H52" t="inlineStr">
        <is>
          <t>LARISSA PADILHA</t>
        </is>
      </c>
    </row>
    <row r="53">
      <c r="A53" t="n">
        <v>1.430799</v>
      </c>
      <c r="B53" t="inlineStr">
        <is>
          <t>SEM GRUPO</t>
        </is>
      </c>
      <c r="C53" t="inlineStr">
        <is>
          <t>BA</t>
        </is>
      </c>
      <c r="D53" t="n">
        <v>75999105787</v>
      </c>
      <c r="E53" t="inlineStr">
        <is>
          <t>JBP</t>
        </is>
      </c>
      <c r="F53" t="inlineStr">
        <is>
          <t>SEM REDE</t>
        </is>
      </c>
      <c r="G53" t="inlineStr">
        <is>
          <t>top 100</t>
        </is>
      </c>
      <c r="H53" t="inlineStr">
        <is>
          <t>HEMANUELE DITZEL (MANU)</t>
        </is>
      </c>
    </row>
    <row r="54">
      <c r="A54" t="n">
        <v>1.414922</v>
      </c>
      <c r="B54" t="inlineStr">
        <is>
          <t>SEM GRUPO</t>
        </is>
      </c>
      <c r="C54" t="inlineStr">
        <is>
          <t>PR</t>
        </is>
      </c>
      <c r="D54" t="n">
        <v>4184420498</v>
      </c>
      <c r="E54" t="inlineStr">
        <is>
          <t>JBP</t>
        </is>
      </c>
      <c r="F54" t="inlineStr">
        <is>
          <t>SEM REDE</t>
        </is>
      </c>
      <c r="G54" t="inlineStr">
        <is>
          <t>top 100</t>
        </is>
      </c>
      <c r="H54" t="inlineStr">
        <is>
          <t>HEMANUELE DITZEL (MANU)</t>
        </is>
      </c>
    </row>
    <row r="55">
      <c r="A55" t="n">
        <v>1.404136</v>
      </c>
      <c r="B55" t="inlineStr">
        <is>
          <t>SEM GRUPO</t>
        </is>
      </c>
      <c r="C55" t="inlineStr">
        <is>
          <t>PA</t>
        </is>
      </c>
      <c r="D55" t="n">
        <v>9491722241</v>
      </c>
      <c r="E55" t="inlineStr">
        <is>
          <t>JBP</t>
        </is>
      </c>
      <c r="F55" t="inlineStr">
        <is>
          <t>SEM REDE</t>
        </is>
      </c>
      <c r="G55" t="inlineStr">
        <is>
          <t>top 100</t>
        </is>
      </c>
      <c r="H55" t="inlineStr">
        <is>
          <t>LARISSA PADILHA</t>
        </is>
      </c>
    </row>
    <row r="56">
      <c r="A56" t="n">
        <v>1.397575</v>
      </c>
      <c r="B56" t="inlineStr">
        <is>
          <t>SEM GRUPO</t>
        </is>
      </c>
      <c r="C56" t="inlineStr">
        <is>
          <t>ES</t>
        </is>
      </c>
      <c r="D56" t="n">
        <v>27999386912</v>
      </c>
      <c r="E56" t="inlineStr">
        <is>
          <t>JBP</t>
        </is>
      </c>
      <c r="F56" t="inlineStr">
        <is>
          <t>SEM REDE</t>
        </is>
      </c>
      <c r="G56" t="inlineStr">
        <is>
          <t>top 100</t>
        </is>
      </c>
      <c r="H56" t="inlineStr">
        <is>
          <t>LARISSA PADILHA</t>
        </is>
      </c>
    </row>
    <row r="57">
      <c r="A57" t="n">
        <v>1.388812</v>
      </c>
      <c r="B57" t="inlineStr">
        <is>
          <t>SEM GRUPO</t>
        </is>
      </c>
      <c r="C57" t="inlineStr">
        <is>
          <t>MG</t>
        </is>
      </c>
      <c r="D57" t="n">
        <v>33988822904</v>
      </c>
      <c r="E57" t="inlineStr">
        <is>
          <t>JBP</t>
        </is>
      </c>
      <c r="F57" t="inlineStr">
        <is>
          <t>SEM REDE</t>
        </is>
      </c>
      <c r="G57" t="inlineStr">
        <is>
          <t>top 100</t>
        </is>
      </c>
      <c r="H57" t="inlineStr">
        <is>
          <t>LARISSA PADILHA</t>
        </is>
      </c>
    </row>
    <row r="58">
      <c r="A58" t="n">
        <v>0.262383</v>
      </c>
      <c r="B58" t="inlineStr">
        <is>
          <t>MAIS NATURAL</t>
        </is>
      </c>
      <c r="C58" t="inlineStr">
        <is>
          <t>RS</t>
        </is>
      </c>
      <c r="D58" t="n">
        <v>5535351201</v>
      </c>
      <c r="E58" t="inlineStr">
        <is>
          <t>Plano de Negócio</t>
        </is>
      </c>
      <c r="F58" t="inlineStr">
        <is>
          <t>MAIS NATURAL</t>
        </is>
      </c>
      <c r="G58" t="inlineStr">
        <is>
          <t>top 100</t>
        </is>
      </c>
      <c r="H58" t="inlineStr">
        <is>
          <t>DAIANE STAVICKI</t>
        </is>
      </c>
    </row>
    <row r="59">
      <c r="A59" t="n">
        <v>0.8441</v>
      </c>
      <c r="B59" t="inlineStr">
        <is>
          <t>TUDO EM GRAOS / VGA</t>
        </is>
      </c>
      <c r="C59" t="inlineStr">
        <is>
          <t>RS</t>
        </is>
      </c>
      <c r="D59" t="n">
        <v>5196592848</v>
      </c>
      <c r="E59" t="inlineStr">
        <is>
          <t>JBP</t>
        </is>
      </c>
      <c r="F59" t="inlineStr">
        <is>
          <t>TUDO EM GRAOS</t>
        </is>
      </c>
      <c r="G59" t="inlineStr">
        <is>
          <t>top 100</t>
        </is>
      </c>
      <c r="H59" t="inlineStr">
        <is>
          <t>DAIANE STAVICKI</t>
        </is>
      </c>
    </row>
    <row r="60">
      <c r="A60" t="n">
        <v>1.320152</v>
      </c>
      <c r="B60" t="inlineStr">
        <is>
          <t>SEM GRUPO</t>
        </is>
      </c>
      <c r="C60" t="inlineStr">
        <is>
          <t>RJ</t>
        </is>
      </c>
      <c r="D60" t="n">
        <v>22981040677</v>
      </c>
      <c r="E60" t="inlineStr">
        <is>
          <t>JBP</t>
        </is>
      </c>
      <c r="F60" t="inlineStr">
        <is>
          <t>SEM REDE</t>
        </is>
      </c>
      <c r="G60" t="inlineStr">
        <is>
          <t>top 100</t>
        </is>
      </c>
      <c r="H60" t="inlineStr">
        <is>
          <t>LARISSA PADILHA</t>
        </is>
      </c>
    </row>
    <row r="61">
      <c r="A61" t="n">
        <v>1.293106</v>
      </c>
      <c r="B61" t="inlineStr">
        <is>
          <t>SEM GRUPO</t>
        </is>
      </c>
      <c r="C61" t="inlineStr">
        <is>
          <t>MS</t>
        </is>
      </c>
      <c r="D61" t="n">
        <v>6796842698</v>
      </c>
      <c r="E61" t="inlineStr">
        <is>
          <t>JBP</t>
        </is>
      </c>
      <c r="F61" t="inlineStr">
        <is>
          <t>SEM REDE</t>
        </is>
      </c>
      <c r="G61" t="inlineStr">
        <is>
          <t>top 100</t>
        </is>
      </c>
      <c r="H61" t="inlineStr">
        <is>
          <t>LARISSA PADILHA</t>
        </is>
      </c>
    </row>
    <row r="62">
      <c r="A62" t="n">
        <v>1.284932</v>
      </c>
      <c r="B62" t="inlineStr">
        <is>
          <t>SEM GRUPO</t>
        </is>
      </c>
      <c r="C62" t="inlineStr">
        <is>
          <t>PE</t>
        </is>
      </c>
      <c r="D62" t="n">
        <v>81995212316</v>
      </c>
      <c r="E62" t="inlineStr">
        <is>
          <t>JBP</t>
        </is>
      </c>
      <c r="F62" t="inlineStr">
        <is>
          <t>SEM REDE</t>
        </is>
      </c>
      <c r="G62" t="inlineStr">
        <is>
          <t>top 100</t>
        </is>
      </c>
      <c r="H62" t="inlineStr">
        <is>
          <t>JULIO GADRET</t>
        </is>
      </c>
    </row>
    <row r="63">
      <c r="A63" t="n">
        <v>1.267605</v>
      </c>
      <c r="B63" t="inlineStr">
        <is>
          <t>SEM GRUPO</t>
        </is>
      </c>
      <c r="C63" t="inlineStr">
        <is>
          <t>MA</t>
        </is>
      </c>
      <c r="D63" t="n">
        <v>98984017711</v>
      </c>
      <c r="E63" t="inlineStr">
        <is>
          <t>JBP</t>
        </is>
      </c>
      <c r="F63" t="inlineStr">
        <is>
          <t>SEM REDE</t>
        </is>
      </c>
      <c r="G63" t="inlineStr">
        <is>
          <t>top 100</t>
        </is>
      </c>
      <c r="H63" t="inlineStr">
        <is>
          <t>LARISSA PADILHA</t>
        </is>
      </c>
    </row>
    <row r="64">
      <c r="A64" t="n">
        <v>1.260261</v>
      </c>
      <c r="B64" t="inlineStr">
        <is>
          <t>SEM GRUPO</t>
        </is>
      </c>
      <c r="C64" t="inlineStr">
        <is>
          <t>SC</t>
        </is>
      </c>
      <c r="D64" t="n">
        <v>4792695047</v>
      </c>
      <c r="E64" t="inlineStr">
        <is>
          <t>JBP</t>
        </is>
      </c>
      <c r="F64" t="inlineStr">
        <is>
          <t>SEM REDE</t>
        </is>
      </c>
      <c r="G64" t="inlineStr">
        <is>
          <t>top 100</t>
        </is>
      </c>
      <c r="H64" t="inlineStr">
        <is>
          <t>HEMANUELE DITZEL (MANU)</t>
        </is>
      </c>
    </row>
    <row r="65">
      <c r="A65" t="n">
        <v>1.235864</v>
      </c>
      <c r="B65" t="inlineStr">
        <is>
          <t>SEM GRUPO</t>
        </is>
      </c>
      <c r="C65" t="inlineStr">
        <is>
          <t>PR</t>
        </is>
      </c>
      <c r="D65" t="n">
        <v>4430289322</v>
      </c>
      <c r="E65" t="inlineStr">
        <is>
          <t>JBP</t>
        </is>
      </c>
      <c r="F65" t="inlineStr">
        <is>
          <t>SEM REDE</t>
        </is>
      </c>
      <c r="G65" t="inlineStr">
        <is>
          <t>top 100</t>
        </is>
      </c>
      <c r="H65" t="inlineStr">
        <is>
          <t>HEMANUELE DITZEL (MANU)</t>
        </is>
      </c>
    </row>
    <row r="66">
      <c r="A66" t="n">
        <v>1.204879</v>
      </c>
      <c r="B66" t="inlineStr">
        <is>
          <t>SEM GRUPO</t>
        </is>
      </c>
      <c r="C66" t="inlineStr">
        <is>
          <t>SC</t>
        </is>
      </c>
      <c r="D66" t="n">
        <v>4731219552</v>
      </c>
      <c r="E66" t="inlineStr">
        <is>
          <t>JBP</t>
        </is>
      </c>
      <c r="F66" t="inlineStr">
        <is>
          <t>SEM REDE</t>
        </is>
      </c>
      <c r="G66" t="inlineStr">
        <is>
          <t>top 100</t>
        </is>
      </c>
      <c r="H66" t="inlineStr">
        <is>
          <t>HEMANUELE DITZEL (MANU)</t>
        </is>
      </c>
    </row>
    <row r="67">
      <c r="A67" t="n">
        <v>0.738911</v>
      </c>
      <c r="B67" t="inlineStr">
        <is>
          <t>TRIP</t>
        </is>
      </c>
      <c r="C67" t="inlineStr">
        <is>
          <t>PR</t>
        </is>
      </c>
      <c r="D67" t="n">
        <v>4188063826</v>
      </c>
      <c r="E67" t="inlineStr">
        <is>
          <t>JBP</t>
        </is>
      </c>
      <c r="F67" t="inlineStr">
        <is>
          <t>TRIP</t>
        </is>
      </c>
      <c r="G67" t="inlineStr">
        <is>
          <t>top 100</t>
        </is>
      </c>
      <c r="H67" t="inlineStr">
        <is>
          <t>DAIANE STAVICKI</t>
        </is>
      </c>
    </row>
    <row r="68">
      <c r="A68" t="n">
        <v>1.175935</v>
      </c>
      <c r="B68" t="inlineStr">
        <is>
          <t>SEM GRUPO</t>
        </is>
      </c>
      <c r="C68" t="inlineStr">
        <is>
          <t>PE</t>
        </is>
      </c>
      <c r="D68" t="n">
        <v>81996894202</v>
      </c>
      <c r="E68" t="inlineStr">
        <is>
          <t>JBP</t>
        </is>
      </c>
      <c r="F68" t="inlineStr">
        <is>
          <t>SEM REDE</t>
        </is>
      </c>
      <c r="G68" t="inlineStr">
        <is>
          <t>top 100</t>
        </is>
      </c>
      <c r="H68" t="inlineStr">
        <is>
          <t>LARISSA PADILHA</t>
        </is>
      </c>
    </row>
    <row r="69">
      <c r="A69" t="n">
        <v>1.153756</v>
      </c>
      <c r="B69" t="inlineStr">
        <is>
          <t>SEM GRUPO</t>
        </is>
      </c>
      <c r="C69" t="inlineStr">
        <is>
          <t>TO</t>
        </is>
      </c>
      <c r="D69" t="n">
        <v>6381482975</v>
      </c>
      <c r="E69" t="inlineStr">
        <is>
          <t>JBP</t>
        </is>
      </c>
      <c r="F69" t="inlineStr">
        <is>
          <t>SEM REDE</t>
        </is>
      </c>
      <c r="G69" t="inlineStr">
        <is>
          <t>top 100</t>
        </is>
      </c>
      <c r="H69" t="inlineStr">
        <is>
          <t>LARISSA PADILHA</t>
        </is>
      </c>
    </row>
    <row r="70">
      <c r="A70" t="n">
        <v>1.143157</v>
      </c>
      <c r="B70" t="inlineStr">
        <is>
          <t>SEM GRUPO</t>
        </is>
      </c>
      <c r="C70" t="inlineStr">
        <is>
          <t>ES</t>
        </is>
      </c>
      <c r="D70" t="n">
        <v>27995190618</v>
      </c>
      <c r="E70" t="inlineStr">
        <is>
          <t>JBP</t>
        </is>
      </c>
      <c r="F70" t="inlineStr">
        <is>
          <t>SEM REDE</t>
        </is>
      </c>
      <c r="G70" t="inlineStr">
        <is>
          <t>top 100</t>
        </is>
      </c>
      <c r="H70" t="inlineStr">
        <is>
          <t>LARISSA PADILHA</t>
        </is>
      </c>
    </row>
    <row r="71">
      <c r="A71" t="n">
        <v>1.123655</v>
      </c>
      <c r="B71" t="inlineStr">
        <is>
          <t>SEM GRUPO</t>
        </is>
      </c>
      <c r="C71" t="inlineStr">
        <is>
          <t>BA</t>
        </is>
      </c>
      <c r="D71" t="n">
        <v>75999105787</v>
      </c>
      <c r="E71" t="inlineStr">
        <is>
          <t>JBP</t>
        </is>
      </c>
      <c r="F71" t="inlineStr">
        <is>
          <t>SEM REDE</t>
        </is>
      </c>
      <c r="G71" t="inlineStr">
        <is>
          <t>top 100</t>
        </is>
      </c>
      <c r="H71" t="inlineStr">
        <is>
          <t>HEMANUELE DITZEL (MANU)</t>
        </is>
      </c>
    </row>
    <row r="72">
      <c r="A72" t="n">
        <v>1.107126</v>
      </c>
      <c r="B72" t="inlineStr">
        <is>
          <t>SEM GRUPO</t>
        </is>
      </c>
      <c r="C72" t="inlineStr">
        <is>
          <t>PE</t>
        </is>
      </c>
      <c r="D72" t="n">
        <v>8198699280</v>
      </c>
      <c r="E72" t="inlineStr">
        <is>
          <t>JBP</t>
        </is>
      </c>
      <c r="F72" t="inlineStr">
        <is>
          <t>SEM REDE</t>
        </is>
      </c>
      <c r="G72" t="inlineStr">
        <is>
          <t>top 100</t>
        </is>
      </c>
      <c r="H72" t="inlineStr">
        <is>
          <t>LARISSA PADILHA</t>
        </is>
      </c>
    </row>
    <row r="73">
      <c r="A73" t="n">
        <v>1.03359</v>
      </c>
      <c r="B73" t="inlineStr">
        <is>
          <t>LIGEIRINHO</t>
        </is>
      </c>
      <c r="C73" t="inlineStr">
        <is>
          <t>RJ</t>
        </is>
      </c>
      <c r="D73" t="n">
        <v>2137880348</v>
      </c>
      <c r="E73" t="inlineStr">
        <is>
          <t>JBP</t>
        </is>
      </c>
      <c r="F73" t="inlineStr">
        <is>
          <t>LIGEIRINHO</t>
        </is>
      </c>
      <c r="G73" t="inlineStr">
        <is>
          <t>top 100</t>
        </is>
      </c>
      <c r="H73" t="inlineStr">
        <is>
          <t>LARISSA PADILHA</t>
        </is>
      </c>
    </row>
    <row r="74">
      <c r="A74" t="n">
        <v>1.094824</v>
      </c>
      <c r="B74" t="inlineStr">
        <is>
          <t>SEM GRUPO</t>
        </is>
      </c>
      <c r="C74" t="inlineStr">
        <is>
          <t>MS</t>
        </is>
      </c>
      <c r="D74" t="n">
        <v>6734230280</v>
      </c>
      <c r="E74" t="inlineStr">
        <is>
          <t>JBP</t>
        </is>
      </c>
      <c r="F74" t="inlineStr">
        <is>
          <t>SEM REDE</t>
        </is>
      </c>
      <c r="G74" t="inlineStr">
        <is>
          <t>top 100</t>
        </is>
      </c>
      <c r="H74" t="inlineStr">
        <is>
          <t>LARISSA PADILHA</t>
        </is>
      </c>
    </row>
    <row r="75">
      <c r="A75" t="n">
        <v>0.5096619999999999</v>
      </c>
      <c r="B75" t="inlineStr">
        <is>
          <t>NATURVIDA</t>
        </is>
      </c>
      <c r="C75" t="inlineStr">
        <is>
          <t>RS</t>
        </is>
      </c>
      <c r="D75" t="n">
        <v>5137193512</v>
      </c>
      <c r="E75" t="inlineStr">
        <is>
          <t>Plano de Sell Out</t>
        </is>
      </c>
      <c r="F75" t="inlineStr">
        <is>
          <t>NATURVIDA</t>
        </is>
      </c>
      <c r="G75" t="inlineStr">
        <is>
          <t>top 100</t>
        </is>
      </c>
      <c r="H75" t="inlineStr">
        <is>
          <t>HEMANUELE DITZEL (MANU)</t>
        </is>
      </c>
    </row>
    <row r="76">
      <c r="A76" t="n">
        <v>0.599075</v>
      </c>
      <c r="B76" t="inlineStr">
        <is>
          <t>VIDA LEVE</t>
        </is>
      </c>
      <c r="C76" t="inlineStr">
        <is>
          <t>GO</t>
        </is>
      </c>
      <c r="D76" t="n">
        <v>64992783399</v>
      </c>
      <c r="E76" t="inlineStr">
        <is>
          <t>Plano de Sell Out</t>
        </is>
      </c>
      <c r="F76" t="inlineStr">
        <is>
          <t>VIDA LEVE</t>
        </is>
      </c>
      <c r="G76" t="inlineStr">
        <is>
          <t>top 100</t>
        </is>
      </c>
      <c r="H76" t="inlineStr">
        <is>
          <t>HEMANUELE DITZEL (MANU)</t>
        </is>
      </c>
    </row>
    <row r="77">
      <c r="A77" t="n">
        <v>1.086141</v>
      </c>
      <c r="B77" t="inlineStr">
        <is>
          <t>SEM GRUPO</t>
        </is>
      </c>
      <c r="C77" t="inlineStr">
        <is>
          <t>SP</t>
        </is>
      </c>
      <c r="D77" t="n">
        <v>12988122166</v>
      </c>
      <c r="E77" t="inlineStr">
        <is>
          <t>JBP</t>
        </is>
      </c>
      <c r="F77" t="inlineStr">
        <is>
          <t>SEM REDE</t>
        </is>
      </c>
      <c r="G77" t="inlineStr">
        <is>
          <t>top 100</t>
        </is>
      </c>
      <c r="H77" t="inlineStr">
        <is>
          <t>LARISSA PADILHA</t>
        </is>
      </c>
    </row>
    <row r="78">
      <c r="A78" t="n">
        <v>0.94475</v>
      </c>
      <c r="B78" t="inlineStr">
        <is>
          <t>BIO MUNDO</t>
        </is>
      </c>
      <c r="C78" t="inlineStr">
        <is>
          <t>SC</t>
        </is>
      </c>
      <c r="D78" t="n">
        <v>4833804868</v>
      </c>
      <c r="E78" t="inlineStr">
        <is>
          <t>JBP</t>
        </is>
      </c>
      <c r="F78" t="inlineStr">
        <is>
          <t>BIO MUNDO</t>
        </is>
      </c>
      <c r="G78" t="inlineStr">
        <is>
          <t>top 100</t>
        </is>
      </c>
      <c r="H78" t="inlineStr">
        <is>
          <t>DAIANE STAVICKI</t>
        </is>
      </c>
    </row>
    <row r="79">
      <c r="A79" t="n">
        <v>0.529843</v>
      </c>
      <c r="B79" t="inlineStr">
        <is>
          <t>FITLAND</t>
        </is>
      </c>
      <c r="C79" t="inlineStr">
        <is>
          <t>SC</t>
        </is>
      </c>
      <c r="D79" t="n">
        <v>4792254513</v>
      </c>
      <c r="E79" t="inlineStr">
        <is>
          <t>Plano de Sell Out</t>
        </is>
      </c>
      <c r="F79" t="inlineStr">
        <is>
          <t>FITLAND</t>
        </is>
      </c>
      <c r="G79" t="inlineStr">
        <is>
          <t>top 100</t>
        </is>
      </c>
      <c r="H79" t="inlineStr">
        <is>
          <t>JULIO GADRET</t>
        </is>
      </c>
    </row>
    <row r="80">
      <c r="A80" t="n">
        <v>1.009064</v>
      </c>
      <c r="B80" t="inlineStr">
        <is>
          <t>SEM GRUPO</t>
        </is>
      </c>
      <c r="C80" t="inlineStr">
        <is>
          <t>PR</t>
        </is>
      </c>
      <c r="D80" t="n">
        <v>4133512200</v>
      </c>
      <c r="E80" t="inlineStr">
        <is>
          <t>JBP</t>
        </is>
      </c>
      <c r="F80" t="inlineStr">
        <is>
          <t>SEM REDE</t>
        </is>
      </c>
      <c r="G80" t="inlineStr">
        <is>
          <t>top 100</t>
        </is>
      </c>
      <c r="H80" t="inlineStr">
        <is>
          <t>HEMANUELE DITZEL (MANU)</t>
        </is>
      </c>
    </row>
    <row r="81">
      <c r="A81" t="n">
        <v>0.992573</v>
      </c>
      <c r="B81" t="inlineStr">
        <is>
          <t>SEM GRUPO</t>
        </is>
      </c>
      <c r="C81" t="inlineStr">
        <is>
          <t>RS</t>
        </is>
      </c>
      <c r="D81" t="n">
        <v>5135828602</v>
      </c>
      <c r="E81" t="inlineStr">
        <is>
          <t>JBP</t>
        </is>
      </c>
      <c r="F81" t="inlineStr">
        <is>
          <t>SEM REDE</t>
        </is>
      </c>
      <c r="G81" t="inlineStr">
        <is>
          <t>top 100</t>
        </is>
      </c>
      <c r="H81" t="inlineStr">
        <is>
          <t>HEMANUELE DITZEL (MANU)</t>
        </is>
      </c>
    </row>
    <row r="82">
      <c r="A82" t="n">
        <v>0.989411</v>
      </c>
      <c r="B82" t="inlineStr">
        <is>
          <t>SEM GRUPO</t>
        </is>
      </c>
      <c r="C82" t="inlineStr">
        <is>
          <t>SC</t>
        </is>
      </c>
      <c r="D82" t="n">
        <v>4530553644</v>
      </c>
      <c r="E82" t="inlineStr">
        <is>
          <t>JBP</t>
        </is>
      </c>
      <c r="F82" t="inlineStr">
        <is>
          <t>SEM REDE</t>
        </is>
      </c>
      <c r="G82" t="inlineStr">
        <is>
          <t>top 100</t>
        </is>
      </c>
      <c r="H82" t="inlineStr">
        <is>
          <t>HEMANUELE DITZEL (MANU)</t>
        </is>
      </c>
    </row>
    <row r="83">
      <c r="A83" t="n">
        <v>0.982565</v>
      </c>
      <c r="B83" t="inlineStr">
        <is>
          <t>SEM GRUPO</t>
        </is>
      </c>
      <c r="C83" t="inlineStr">
        <is>
          <t>PR</t>
        </is>
      </c>
      <c r="D83" t="n">
        <v>41998819180</v>
      </c>
      <c r="E83" t="inlineStr">
        <is>
          <t>JBP</t>
        </is>
      </c>
      <c r="F83" t="inlineStr">
        <is>
          <t>SEM REDE</t>
        </is>
      </c>
      <c r="G83" t="inlineStr">
        <is>
          <t>top 100</t>
        </is>
      </c>
      <c r="H83" t="inlineStr">
        <is>
          <t>HEMANUELE DITZEL (MANU)</t>
        </is>
      </c>
    </row>
    <row r="84">
      <c r="A84" t="n">
        <v>0.96667</v>
      </c>
      <c r="B84" t="inlineStr">
        <is>
          <t>SEM GRUPO</t>
        </is>
      </c>
      <c r="C84" t="inlineStr">
        <is>
          <t>DF</t>
        </is>
      </c>
      <c r="D84" t="n">
        <v>6136867677</v>
      </c>
      <c r="E84" t="inlineStr">
        <is>
          <t>JBP</t>
        </is>
      </c>
      <c r="F84" t="inlineStr">
        <is>
          <t>SEM REDE</t>
        </is>
      </c>
      <c r="G84" t="inlineStr">
        <is>
          <t>top 100</t>
        </is>
      </c>
      <c r="H84" t="inlineStr">
        <is>
          <t>LARISSA PADILHA</t>
        </is>
      </c>
    </row>
    <row r="85">
      <c r="A85" t="n">
        <v>0.495924</v>
      </c>
      <c r="B85" t="inlineStr">
        <is>
          <t>FITLAND</t>
        </is>
      </c>
      <c r="C85" t="inlineStr">
        <is>
          <t>SC</t>
        </is>
      </c>
      <c r="D85" t="n">
        <v>4796102611</v>
      </c>
      <c r="E85" t="inlineStr">
        <is>
          <t>Plano de Sell Out</t>
        </is>
      </c>
      <c r="F85" t="inlineStr">
        <is>
          <t>FITLAND</t>
        </is>
      </c>
      <c r="G85" t="inlineStr">
        <is>
          <t>top 100</t>
        </is>
      </c>
      <c r="H85" t="inlineStr">
        <is>
          <t>JULIO GADRET</t>
        </is>
      </c>
    </row>
    <row r="86">
      <c r="A86" t="n">
        <v>0.94493</v>
      </c>
      <c r="B86" t="inlineStr">
        <is>
          <t>SEM GRUPO</t>
        </is>
      </c>
      <c r="C86" t="inlineStr">
        <is>
          <t>SC</t>
        </is>
      </c>
      <c r="D86" t="n">
        <v>47997065444</v>
      </c>
      <c r="E86" t="inlineStr">
        <is>
          <t>JBP</t>
        </is>
      </c>
      <c r="F86" t="inlineStr">
        <is>
          <t>SEM REDE</t>
        </is>
      </c>
      <c r="G86" t="inlineStr">
        <is>
          <t>top 100</t>
        </is>
      </c>
      <c r="H86" t="inlineStr">
        <is>
          <t>HEMANUELE DITZEL (MANU)</t>
        </is>
      </c>
    </row>
    <row r="87">
      <c r="A87" t="n">
        <v>0.940779</v>
      </c>
      <c r="B87" t="inlineStr">
        <is>
          <t>SEM GRUPO</t>
        </is>
      </c>
      <c r="C87" t="inlineStr">
        <is>
          <t>SC</t>
        </is>
      </c>
      <c r="D87" t="n">
        <v>4733874642</v>
      </c>
      <c r="E87" t="inlineStr">
        <is>
          <t>JBP</t>
        </is>
      </c>
      <c r="F87" t="inlineStr">
        <is>
          <t>SEM REDE</t>
        </is>
      </c>
      <c r="G87" t="inlineStr">
        <is>
          <t>top 100</t>
        </is>
      </c>
      <c r="H87" t="inlineStr">
        <is>
          <t>HEMANUELE DITZEL (MANU)</t>
        </is>
      </c>
    </row>
    <row r="88">
      <c r="A88" t="n">
        <v>0.487815</v>
      </c>
      <c r="B88" t="inlineStr">
        <is>
          <t>FITLAND</t>
        </is>
      </c>
      <c r="C88" t="inlineStr">
        <is>
          <t>SC</t>
        </is>
      </c>
      <c r="D88" t="n">
        <v>4899570928</v>
      </c>
      <c r="E88" t="inlineStr">
        <is>
          <t>Plano de Sell Out</t>
        </is>
      </c>
      <c r="F88" t="inlineStr">
        <is>
          <t>FITLAND</t>
        </is>
      </c>
      <c r="G88" t="inlineStr">
        <is>
          <t>top 100</t>
        </is>
      </c>
      <c r="H88" t="inlineStr">
        <is>
          <t>JULIO GADRET</t>
        </is>
      </c>
    </row>
    <row r="89">
      <c r="A89" t="n">
        <v>0.927279</v>
      </c>
      <c r="B89" t="inlineStr">
        <is>
          <t>SEM GRUPO</t>
        </is>
      </c>
      <c r="C89" t="inlineStr">
        <is>
          <t>BA</t>
        </is>
      </c>
      <c r="D89" t="n">
        <v>7599893413</v>
      </c>
      <c r="E89" t="inlineStr">
        <is>
          <t>JBP</t>
        </is>
      </c>
      <c r="F89" t="inlineStr">
        <is>
          <t>SEM REDE</t>
        </is>
      </c>
      <c r="G89" t="inlineStr">
        <is>
          <t>top 100</t>
        </is>
      </c>
      <c r="H89" t="inlineStr">
        <is>
          <t>LARISSA PADILHA</t>
        </is>
      </c>
    </row>
    <row r="90">
      <c r="A90" t="n">
        <v>0.474218</v>
      </c>
      <c r="B90" t="inlineStr">
        <is>
          <t>FITLAND</t>
        </is>
      </c>
      <c r="C90" t="inlineStr">
        <is>
          <t>SC</t>
        </is>
      </c>
      <c r="D90" t="n">
        <v>4899277117</v>
      </c>
      <c r="E90" t="inlineStr">
        <is>
          <t>Plano de Sell Out</t>
        </is>
      </c>
      <c r="F90" t="inlineStr">
        <is>
          <t>FITLAND</t>
        </is>
      </c>
      <c r="G90" t="inlineStr">
        <is>
          <t>top 100</t>
        </is>
      </c>
      <c r="H90" t="inlineStr">
        <is>
          <t>JULIO GADRET</t>
        </is>
      </c>
    </row>
    <row r="91">
      <c r="A91" t="n">
        <v>0.895546</v>
      </c>
      <c r="B91" t="inlineStr">
        <is>
          <t>SEM GRUPO</t>
        </is>
      </c>
      <c r="C91" t="inlineStr">
        <is>
          <t>MG</t>
        </is>
      </c>
      <c r="D91" t="n">
        <v>17991844024</v>
      </c>
      <c r="E91" t="inlineStr">
        <is>
          <t>JBP</t>
        </is>
      </c>
      <c r="F91" t="inlineStr">
        <is>
          <t>SEM REDE</t>
        </is>
      </c>
      <c r="G91" t="inlineStr">
        <is>
          <t>top 100</t>
        </is>
      </c>
      <c r="H91" t="inlineStr">
        <is>
          <t>LARISSA PADILHA</t>
        </is>
      </c>
    </row>
    <row r="92">
      <c r="A92" t="n">
        <v>0.895312</v>
      </c>
      <c r="B92" t="inlineStr">
        <is>
          <t>SEM GRUPO</t>
        </is>
      </c>
      <c r="C92" t="inlineStr">
        <is>
          <t>RJ</t>
        </is>
      </c>
      <c r="D92" t="n">
        <v>21968769347</v>
      </c>
      <c r="E92" t="inlineStr">
        <is>
          <t>JBP</t>
        </is>
      </c>
      <c r="F92" t="inlineStr">
        <is>
          <t>SEM REDE</t>
        </is>
      </c>
      <c r="G92" t="inlineStr">
        <is>
          <t>top 100</t>
        </is>
      </c>
      <c r="H92" t="inlineStr">
        <is>
          <t>HEMANUELE DITZEL (MANU)</t>
        </is>
      </c>
    </row>
    <row r="93">
      <c r="A93" t="n">
        <v>0.8949780000000001</v>
      </c>
      <c r="B93" t="inlineStr">
        <is>
          <t>SEM GRUPO</t>
        </is>
      </c>
      <c r="C93" t="inlineStr">
        <is>
          <t>RJ</t>
        </is>
      </c>
      <c r="D93" t="n">
        <v>22999447675</v>
      </c>
      <c r="E93" t="inlineStr">
        <is>
          <t>JBP</t>
        </is>
      </c>
      <c r="F93" t="inlineStr">
        <is>
          <t>SEM REDE</t>
        </is>
      </c>
      <c r="G93" t="inlineStr">
        <is>
          <t>top 100</t>
        </is>
      </c>
      <c r="H93" t="inlineStr">
        <is>
          <t>LARISSA PADILHA</t>
        </is>
      </c>
    </row>
    <row r="94">
      <c r="A94" t="n">
        <v>0.876167</v>
      </c>
      <c r="B94" t="inlineStr">
        <is>
          <t>SEM GRUPO</t>
        </is>
      </c>
      <c r="C94" t="inlineStr">
        <is>
          <t>GO</t>
        </is>
      </c>
      <c r="D94" t="n">
        <v>6299448165</v>
      </c>
      <c r="E94" t="inlineStr">
        <is>
          <t>JBP</t>
        </is>
      </c>
      <c r="F94" t="inlineStr">
        <is>
          <t>SEM REDE</t>
        </is>
      </c>
      <c r="G94" t="inlineStr">
        <is>
          <t>top 100</t>
        </is>
      </c>
      <c r="H94" t="inlineStr">
        <is>
          <t>LARISSA PADILHA</t>
        </is>
      </c>
    </row>
    <row r="95">
      <c r="A95" t="n">
        <v>0.871161</v>
      </c>
      <c r="B95" t="inlineStr">
        <is>
          <t>SEM GRUPO</t>
        </is>
      </c>
      <c r="C95" t="inlineStr">
        <is>
          <t>SP</t>
        </is>
      </c>
      <c r="D95" t="n">
        <v>1166425526</v>
      </c>
      <c r="E95" t="inlineStr">
        <is>
          <t>JBP</t>
        </is>
      </c>
      <c r="F95" t="inlineStr">
        <is>
          <t>SEM REDE</t>
        </is>
      </c>
      <c r="G95" t="inlineStr">
        <is>
          <t>top 100</t>
        </is>
      </c>
      <c r="H95" t="inlineStr">
        <is>
          <t>LARISSA PADILHA</t>
        </is>
      </c>
    </row>
    <row r="96">
      <c r="A96" t="n">
        <v>0.411259</v>
      </c>
      <c r="B96" t="inlineStr">
        <is>
          <t>MUNDO VERDE</t>
        </is>
      </c>
      <c r="C96" t="inlineStr">
        <is>
          <t>RJ</t>
        </is>
      </c>
      <c r="D96" t="n">
        <v>22981512892</v>
      </c>
      <c r="E96" t="inlineStr">
        <is>
          <t>Plano de Sell Out</t>
        </is>
      </c>
      <c r="F96" t="inlineStr">
        <is>
          <t>MUNDO VERDE</t>
        </is>
      </c>
      <c r="G96" t="inlineStr">
        <is>
          <t>top 100</t>
        </is>
      </c>
      <c r="H96" t="inlineStr">
        <is>
          <t>HEMANUELE DITZEL (MANU)</t>
        </is>
      </c>
    </row>
    <row r="97">
      <c r="A97" t="n">
        <v>0.8470569999999999</v>
      </c>
      <c r="B97" t="inlineStr">
        <is>
          <t>SEM GRUPO</t>
        </is>
      </c>
      <c r="C97" t="inlineStr">
        <is>
          <t>PR</t>
        </is>
      </c>
      <c r="D97" t="n">
        <v>43305638984</v>
      </c>
      <c r="E97" t="inlineStr">
        <is>
          <t>JBP</t>
        </is>
      </c>
      <c r="F97" t="inlineStr">
        <is>
          <t>SEM REDE</t>
        </is>
      </c>
      <c r="G97" t="inlineStr">
        <is>
          <t>top 100</t>
        </is>
      </c>
      <c r="H97" t="inlineStr">
        <is>
          <t>HEMANUELE DITZEL (MANU)</t>
        </is>
      </c>
    </row>
    <row r="98">
      <c r="A98" t="n">
        <v>0.832032</v>
      </c>
      <c r="B98" t="inlineStr">
        <is>
          <t>SEM GRUPO</t>
        </is>
      </c>
      <c r="C98" t="inlineStr">
        <is>
          <t>RJ</t>
        </is>
      </c>
      <c r="D98" t="n">
        <v>24248461152</v>
      </c>
      <c r="E98" t="inlineStr">
        <is>
          <t>JBP</t>
        </is>
      </c>
      <c r="F98" t="inlineStr">
        <is>
          <t>SEM REDE</t>
        </is>
      </c>
      <c r="G98" t="inlineStr">
        <is>
          <t>top 100</t>
        </is>
      </c>
      <c r="H98" t="inlineStr">
        <is>
          <t>LARISSA PADILHA</t>
        </is>
      </c>
    </row>
    <row r="99">
      <c r="A99" t="n">
        <v>0.826341</v>
      </c>
      <c r="B99" t="inlineStr">
        <is>
          <t>SEM GRUPO</t>
        </is>
      </c>
      <c r="C99" t="inlineStr">
        <is>
          <t>SC</t>
        </is>
      </c>
      <c r="D99" t="n">
        <v>4899466830</v>
      </c>
      <c r="E99" t="inlineStr">
        <is>
          <t>JBP</t>
        </is>
      </c>
      <c r="F99" t="inlineStr">
        <is>
          <t>SEM REDE</t>
        </is>
      </c>
      <c r="G99" t="inlineStr">
        <is>
          <t>top 100</t>
        </is>
      </c>
      <c r="H99" t="inlineStr">
        <is>
          <t>HEMANUELE DITZEL (MANU)</t>
        </is>
      </c>
    </row>
    <row r="100">
      <c r="A100" t="n">
        <v>0.512482</v>
      </c>
      <c r="B100" t="inlineStr">
        <is>
          <t>TRIP</t>
        </is>
      </c>
      <c r="C100" t="inlineStr">
        <is>
          <t>PR</t>
        </is>
      </c>
      <c r="D100" t="n">
        <v>41992150461</v>
      </c>
      <c r="E100" t="inlineStr">
        <is>
          <t>Plano de Sell Out</t>
        </is>
      </c>
      <c r="F100" t="inlineStr">
        <is>
          <t>TRIP</t>
        </is>
      </c>
      <c r="G100" t="inlineStr">
        <is>
          <t>top 100</t>
        </is>
      </c>
      <c r="H100" t="inlineStr">
        <is>
          <t>DAIANE STAVICKI</t>
        </is>
      </c>
    </row>
    <row r="101">
      <c r="A101" t="n">
        <v>0.820475</v>
      </c>
      <c r="B101" t="inlineStr">
        <is>
          <t>SEM GRUPO</t>
        </is>
      </c>
      <c r="C101" t="inlineStr">
        <is>
          <t>PE</t>
        </is>
      </c>
      <c r="D101" t="n">
        <v>81999226106</v>
      </c>
      <c r="E101" t="inlineStr">
        <is>
          <t>JBP</t>
        </is>
      </c>
      <c r="F101" t="inlineStr">
        <is>
          <t>SEM REDE</t>
        </is>
      </c>
      <c r="G101" t="inlineStr">
        <is>
          <t>top 100</t>
        </is>
      </c>
      <c r="H101" t="inlineStr">
        <is>
          <t>LARISSA PADILHA</t>
        </is>
      </c>
    </row>
    <row r="102">
      <c r="A102" t="n">
        <v>0.8083979999999999</v>
      </c>
      <c r="B102" t="inlineStr">
        <is>
          <t>SEM GRUPO</t>
        </is>
      </c>
      <c r="C102" t="inlineStr">
        <is>
          <t>PI</t>
        </is>
      </c>
      <c r="D102" t="n">
        <v>86999385815</v>
      </c>
      <c r="E102" t="inlineStr">
        <is>
          <t>JBP</t>
        </is>
      </c>
      <c r="F102" t="inlineStr">
        <is>
          <t>SEM REDE</t>
        </is>
      </c>
      <c r="G102" t="inlineStr">
        <is>
          <t>top 200</t>
        </is>
      </c>
      <c r="H102" t="inlineStr">
        <is>
          <t>LARISSA PADILHA</t>
        </is>
      </c>
    </row>
    <row r="103">
      <c r="A103" t="n">
        <v>0.796847</v>
      </c>
      <c r="B103" t="inlineStr">
        <is>
          <t>SEM GRUPO</t>
        </is>
      </c>
      <c r="C103" t="inlineStr">
        <is>
          <t>TO</t>
        </is>
      </c>
      <c r="D103" t="n">
        <v>6334120602</v>
      </c>
      <c r="E103" t="inlineStr">
        <is>
          <t>JBP</t>
        </is>
      </c>
      <c r="F103" t="inlineStr">
        <is>
          <t>SEM REDE</t>
        </is>
      </c>
      <c r="G103" t="inlineStr">
        <is>
          <t>top 200</t>
        </is>
      </c>
      <c r="H103" t="inlineStr">
        <is>
          <t>LARISSA PADILHA</t>
        </is>
      </c>
    </row>
    <row r="104">
      <c r="A104" t="n">
        <v>0.377109</v>
      </c>
      <c r="B104" t="inlineStr">
        <is>
          <t>MUNDO VERDE</t>
        </is>
      </c>
      <c r="C104" t="inlineStr">
        <is>
          <t>SP</t>
        </is>
      </c>
      <c r="D104" t="n">
        <v>1433016896</v>
      </c>
      <c r="E104" t="inlineStr">
        <is>
          <t>Plano de Negócio</t>
        </is>
      </c>
      <c r="F104" t="inlineStr">
        <is>
          <t>MUNDO VERDE</t>
        </is>
      </c>
      <c r="G104" t="inlineStr">
        <is>
          <t>top 200</t>
        </is>
      </c>
      <c r="H104" t="inlineStr">
        <is>
          <t>LARISSA PADILHA</t>
        </is>
      </c>
    </row>
    <row r="105">
      <c r="A105" t="n">
        <v>0.784841</v>
      </c>
      <c r="B105" t="inlineStr">
        <is>
          <t>SEM GRUPO</t>
        </is>
      </c>
      <c r="C105" t="inlineStr">
        <is>
          <t>RJ</t>
        </is>
      </c>
      <c r="D105" t="n">
        <v>21996572344</v>
      </c>
      <c r="E105" t="inlineStr">
        <is>
          <t>JBP</t>
        </is>
      </c>
      <c r="F105" t="inlineStr">
        <is>
          <t>SEM REDE</t>
        </is>
      </c>
      <c r="G105" t="inlineStr">
        <is>
          <t>top 200</t>
        </is>
      </c>
      <c r="H105" t="inlineStr">
        <is>
          <t>LARISSA PADILHA</t>
        </is>
      </c>
    </row>
    <row r="106">
      <c r="A106" t="n">
        <v>0.781586</v>
      </c>
      <c r="B106" t="inlineStr">
        <is>
          <t>SEM GRUPO</t>
        </is>
      </c>
      <c r="C106" t="inlineStr">
        <is>
          <t>SP</t>
        </is>
      </c>
      <c r="D106" t="n">
        <v>1141872356</v>
      </c>
      <c r="E106" t="inlineStr">
        <is>
          <t>JBP</t>
        </is>
      </c>
      <c r="F106" t="inlineStr">
        <is>
          <t>SEM REDE</t>
        </is>
      </c>
      <c r="G106" t="inlineStr">
        <is>
          <t>top 200</t>
        </is>
      </c>
      <c r="H106" t="inlineStr">
        <is>
          <t>LARISSA PADILHA</t>
        </is>
      </c>
    </row>
    <row r="107">
      <c r="A107" t="n">
        <v>0.372439</v>
      </c>
      <c r="B107" t="inlineStr">
        <is>
          <t>MUNDO VERDE</t>
        </is>
      </c>
      <c r="C107" t="inlineStr">
        <is>
          <t>RJ</t>
        </is>
      </c>
      <c r="D107" t="n">
        <v>2225231684</v>
      </c>
      <c r="E107" t="inlineStr">
        <is>
          <t>Plano de Negócio</t>
        </is>
      </c>
      <c r="F107" t="inlineStr">
        <is>
          <t>MUNDO VERDE</t>
        </is>
      </c>
      <c r="G107" t="inlineStr">
        <is>
          <t>top 200</t>
        </is>
      </c>
      <c r="H107" t="inlineStr">
        <is>
          <t>HEMANUELE DITZEL (MANU)</t>
        </is>
      </c>
    </row>
    <row r="108">
      <c r="A108" t="n">
        <v>0.768444</v>
      </c>
      <c r="B108" t="inlineStr">
        <is>
          <t>SEM GRUPO</t>
        </is>
      </c>
      <c r="C108" t="inlineStr">
        <is>
          <t>RJ</t>
        </is>
      </c>
      <c r="D108" t="n">
        <v>2125687899</v>
      </c>
      <c r="E108" t="inlineStr">
        <is>
          <t>JBP</t>
        </is>
      </c>
      <c r="F108" t="inlineStr">
        <is>
          <t>SEM REDE</t>
        </is>
      </c>
      <c r="G108" t="inlineStr">
        <is>
          <t>top 200</t>
        </is>
      </c>
      <c r="H108" t="inlineStr">
        <is>
          <t>LARISSA PADILHA</t>
        </is>
      </c>
    </row>
    <row r="109">
      <c r="A109" t="n">
        <v>0.765853</v>
      </c>
      <c r="B109" t="inlineStr">
        <is>
          <t>SEM GRUPO</t>
        </is>
      </c>
      <c r="C109" t="inlineStr">
        <is>
          <t>PR</t>
        </is>
      </c>
      <c r="D109" t="n">
        <v>4191786674</v>
      </c>
      <c r="E109" t="inlineStr">
        <is>
          <t>JBP</t>
        </is>
      </c>
      <c r="F109" t="inlineStr">
        <is>
          <t>SEM REDE</t>
        </is>
      </c>
      <c r="G109" t="inlineStr">
        <is>
          <t>top 200</t>
        </is>
      </c>
      <c r="H109" t="inlineStr">
        <is>
          <t>HEMANUELE DITZEL (MANU)</t>
        </is>
      </c>
    </row>
    <row r="110">
      <c r="A110" t="n">
        <v>0.747153</v>
      </c>
      <c r="B110" t="inlineStr">
        <is>
          <t>SEM GRUPO</t>
        </is>
      </c>
      <c r="C110" t="inlineStr">
        <is>
          <t>PR</t>
        </is>
      </c>
      <c r="D110" t="n">
        <v>4599791742</v>
      </c>
      <c r="E110" t="inlineStr">
        <is>
          <t>JBP</t>
        </is>
      </c>
      <c r="F110" t="inlineStr">
        <is>
          <t>SEM REDE</t>
        </is>
      </c>
      <c r="G110" t="inlineStr">
        <is>
          <t>top 200</t>
        </is>
      </c>
      <c r="H110" t="inlineStr">
        <is>
          <t>HEMANUELE DITZEL (MANU)</t>
        </is>
      </c>
    </row>
    <row r="111">
      <c r="A111" t="n">
        <v>0.386618</v>
      </c>
      <c r="B111" t="inlineStr">
        <is>
          <t>FITLAND</t>
        </is>
      </c>
      <c r="C111" t="inlineStr">
        <is>
          <t>RS</t>
        </is>
      </c>
      <c r="D111" t="n">
        <v>53991811072</v>
      </c>
      <c r="E111" t="inlineStr">
        <is>
          <t>Plano de Negócio</t>
        </is>
      </c>
      <c r="F111" t="inlineStr">
        <is>
          <t>FITLAND</t>
        </is>
      </c>
      <c r="G111" t="inlineStr">
        <is>
          <t>top 200</t>
        </is>
      </c>
      <c r="H111" t="inlineStr">
        <is>
          <t>JULIO GADRET</t>
        </is>
      </c>
    </row>
    <row r="112">
      <c r="A112" t="n">
        <v>0.729694</v>
      </c>
      <c r="B112" t="inlineStr">
        <is>
          <t>SEM GRUPO</t>
        </is>
      </c>
      <c r="C112" t="inlineStr">
        <is>
          <t>MS</t>
        </is>
      </c>
      <c r="D112" t="n">
        <v>17991844024</v>
      </c>
      <c r="E112" t="inlineStr">
        <is>
          <t>JBP</t>
        </is>
      </c>
      <c r="F112" t="inlineStr">
        <is>
          <t>SEM REDE</t>
        </is>
      </c>
      <c r="G112" t="inlineStr">
        <is>
          <t>top 200</t>
        </is>
      </c>
      <c r="H112" t="inlineStr">
        <is>
          <t>LARISSA PADILHA</t>
        </is>
      </c>
    </row>
    <row r="113">
      <c r="A113" t="n">
        <v>0.726542</v>
      </c>
      <c r="B113" t="inlineStr">
        <is>
          <t>SEM GRUPO</t>
        </is>
      </c>
      <c r="C113" t="inlineStr">
        <is>
          <t>RS</t>
        </is>
      </c>
      <c r="D113" t="n">
        <v>5391064552</v>
      </c>
      <c r="E113" t="inlineStr">
        <is>
          <t>JBP</t>
        </is>
      </c>
      <c r="F113" t="inlineStr">
        <is>
          <t>SEM REDE</t>
        </is>
      </c>
      <c r="G113" t="inlineStr">
        <is>
          <t>top 200</t>
        </is>
      </c>
      <c r="H113" t="inlineStr">
        <is>
          <t>HEMANUELE DITZEL (MANU)</t>
        </is>
      </c>
    </row>
    <row r="114">
      <c r="A114" t="n">
        <v>0.713738</v>
      </c>
      <c r="B114" t="inlineStr">
        <is>
          <t>SEM GRUPO</t>
        </is>
      </c>
      <c r="C114" t="inlineStr">
        <is>
          <t>SP</t>
        </is>
      </c>
      <c r="D114" t="n">
        <v>1143288977</v>
      </c>
      <c r="E114" t="inlineStr">
        <is>
          <t>JBP</t>
        </is>
      </c>
      <c r="F114" t="inlineStr">
        <is>
          <t>SEM REDE</t>
        </is>
      </c>
      <c r="G114" t="inlineStr">
        <is>
          <t>top 200</t>
        </is>
      </c>
      <c r="H114" t="inlineStr">
        <is>
          <t>HEMANUELE DITZEL (MANU)</t>
        </is>
      </c>
    </row>
    <row r="115">
      <c r="A115" t="n">
        <v>0.36388</v>
      </c>
      <c r="B115" t="inlineStr">
        <is>
          <t>CIA DA SAUDE</t>
        </is>
      </c>
      <c r="C115" t="inlineStr">
        <is>
          <t>SC</t>
        </is>
      </c>
      <c r="D115" t="n">
        <v>11952819565</v>
      </c>
      <c r="E115" t="inlineStr">
        <is>
          <t>Plano de Negócio</t>
        </is>
      </c>
      <c r="F115" t="inlineStr">
        <is>
          <t>CIA DA SAUDE</t>
        </is>
      </c>
      <c r="G115" t="inlineStr">
        <is>
          <t>top 200</t>
        </is>
      </c>
      <c r="H115" t="inlineStr">
        <is>
          <t>JULIO GADRET</t>
        </is>
      </c>
    </row>
    <row r="116">
      <c r="A116" t="n">
        <v>0.701141</v>
      </c>
      <c r="B116" t="inlineStr">
        <is>
          <t>SEM GRUPO</t>
        </is>
      </c>
      <c r="C116" t="inlineStr">
        <is>
          <t>SC</t>
        </is>
      </c>
      <c r="D116" t="n">
        <v>48999658556</v>
      </c>
      <c r="E116" t="inlineStr">
        <is>
          <t>JBP</t>
        </is>
      </c>
      <c r="F116" t="inlineStr">
        <is>
          <t>SEM REDE</t>
        </is>
      </c>
      <c r="G116" t="inlineStr">
        <is>
          <t>top 200</t>
        </is>
      </c>
      <c r="H116" t="inlineStr">
        <is>
          <t>HEMANUELE DITZEL (MANU)</t>
        </is>
      </c>
    </row>
    <row r="117">
      <c r="A117" t="n">
        <v>0.701063</v>
      </c>
      <c r="B117" t="inlineStr">
        <is>
          <t>SEM GRUPO</t>
        </is>
      </c>
      <c r="C117" t="inlineStr">
        <is>
          <t>BA</t>
        </is>
      </c>
      <c r="D117" t="n">
        <v>77991192548</v>
      </c>
      <c r="E117" t="inlineStr">
        <is>
          <t>JBP</t>
        </is>
      </c>
      <c r="F117" t="inlineStr">
        <is>
          <t>SEM REDE</t>
        </is>
      </c>
      <c r="G117" t="inlineStr">
        <is>
          <t>top 200</t>
        </is>
      </c>
      <c r="H117" t="inlineStr">
        <is>
          <t>HEMANUELE DITZEL (MANU)</t>
        </is>
      </c>
    </row>
    <row r="118">
      <c r="A118" t="n">
        <v>0.688547</v>
      </c>
      <c r="B118" t="inlineStr">
        <is>
          <t>SEM GRUPO</t>
        </is>
      </c>
      <c r="C118" t="inlineStr">
        <is>
          <t>GO</t>
        </is>
      </c>
      <c r="D118" t="n">
        <v>6291825564</v>
      </c>
      <c r="E118" t="inlineStr">
        <is>
          <t>JBP</t>
        </is>
      </c>
      <c r="F118" t="inlineStr">
        <is>
          <t>SEM REDE</t>
        </is>
      </c>
      <c r="G118" t="inlineStr">
        <is>
          <t>top 200</t>
        </is>
      </c>
      <c r="H118" t="inlineStr">
        <is>
          <t>LARISSA PADILHA</t>
        </is>
      </c>
    </row>
    <row r="119">
      <c r="A119" t="n">
        <v>0.357494</v>
      </c>
      <c r="B119" t="inlineStr">
        <is>
          <t>FITLAND</t>
        </is>
      </c>
      <c r="C119" t="inlineStr">
        <is>
          <t>SC</t>
        </is>
      </c>
      <c r="D119" t="n">
        <v>4984192453</v>
      </c>
      <c r="E119" t="inlineStr">
        <is>
          <t>Plano de Negócio</t>
        </is>
      </c>
      <c r="F119" t="inlineStr">
        <is>
          <t>FITLAND</t>
        </is>
      </c>
      <c r="G119" t="inlineStr">
        <is>
          <t>top 200</t>
        </is>
      </c>
      <c r="H119" t="inlineStr">
        <is>
          <t>JULIO GADRET</t>
        </is>
      </c>
    </row>
    <row r="120">
      <c r="A120" t="n">
        <v>0.679334</v>
      </c>
      <c r="B120" t="inlineStr">
        <is>
          <t>SEM GRUPO</t>
        </is>
      </c>
      <c r="C120" t="inlineStr">
        <is>
          <t>DF</t>
        </is>
      </c>
      <c r="D120" t="n">
        <v>61991077250</v>
      </c>
      <c r="E120" t="inlineStr">
        <is>
          <t>JBP</t>
        </is>
      </c>
      <c r="F120" t="inlineStr">
        <is>
          <t>SEM REDE</t>
        </is>
      </c>
      <c r="G120" t="inlineStr">
        <is>
          <t>top 200</t>
        </is>
      </c>
      <c r="H120" t="inlineStr">
        <is>
          <t>LARISSA PADILHA</t>
        </is>
      </c>
    </row>
    <row r="121">
      <c r="A121" t="n">
        <v>0.678197</v>
      </c>
      <c r="B121" t="inlineStr">
        <is>
          <t>SEM GRUPO</t>
        </is>
      </c>
      <c r="C121" t="inlineStr">
        <is>
          <t>MG</t>
        </is>
      </c>
      <c r="D121" t="n">
        <v>34998721908</v>
      </c>
      <c r="E121" t="inlineStr">
        <is>
          <t>JBP</t>
        </is>
      </c>
      <c r="F121" t="inlineStr">
        <is>
          <t>SEM REDE</t>
        </is>
      </c>
      <c r="G121" t="inlineStr">
        <is>
          <t>top 200</t>
        </is>
      </c>
      <c r="H121" t="inlineStr">
        <is>
          <t>LARISSA PADILHA</t>
        </is>
      </c>
    </row>
    <row r="122">
      <c r="A122" t="n">
        <v>0.673218</v>
      </c>
      <c r="B122" t="inlineStr">
        <is>
          <t>SEM GRUPO</t>
        </is>
      </c>
      <c r="C122" t="inlineStr">
        <is>
          <t>MS</t>
        </is>
      </c>
      <c r="D122" t="n">
        <v>6730291316</v>
      </c>
      <c r="E122" t="inlineStr">
        <is>
          <t>JBP</t>
        </is>
      </c>
      <c r="F122" t="inlineStr">
        <is>
          <t>SEM REDE</t>
        </is>
      </c>
      <c r="G122" t="inlineStr">
        <is>
          <t>top 200</t>
        </is>
      </c>
      <c r="H122" t="inlineStr">
        <is>
          <t>LARISSA PADILHA</t>
        </is>
      </c>
    </row>
    <row r="123">
      <c r="A123" t="n">
        <v>0.6688460000000001</v>
      </c>
      <c r="B123" t="inlineStr">
        <is>
          <t>SEM GRUPO</t>
        </is>
      </c>
      <c r="C123" t="inlineStr">
        <is>
          <t>RS</t>
        </is>
      </c>
      <c r="D123" t="n">
        <v>54996910111</v>
      </c>
      <c r="E123" t="inlineStr">
        <is>
          <t>JBP</t>
        </is>
      </c>
      <c r="F123" t="inlineStr">
        <is>
          <t>SEM REDE</t>
        </is>
      </c>
      <c r="G123" t="inlineStr">
        <is>
          <t>top 200</t>
        </is>
      </c>
      <c r="H123" t="inlineStr">
        <is>
          <t>HEMANUELE DITZEL (MANU)</t>
        </is>
      </c>
    </row>
    <row r="124">
      <c r="A124" t="n">
        <v>0.667256</v>
      </c>
      <c r="B124" t="inlineStr">
        <is>
          <t>SEM GRUPO</t>
        </is>
      </c>
      <c r="C124" t="inlineStr">
        <is>
          <t>GO</t>
        </is>
      </c>
      <c r="D124" t="n">
        <v>62982750512</v>
      </c>
      <c r="E124" t="inlineStr">
        <is>
          <t>JBP</t>
        </is>
      </c>
      <c r="F124" t="inlineStr">
        <is>
          <t>SEM REDE</t>
        </is>
      </c>
      <c r="G124" t="inlineStr">
        <is>
          <t>top 200</t>
        </is>
      </c>
      <c r="H124" t="inlineStr">
        <is>
          <t>LARISSA PADILHA</t>
        </is>
      </c>
    </row>
    <row r="125">
      <c r="A125" t="n">
        <v>0.653434</v>
      </c>
      <c r="B125" t="inlineStr">
        <is>
          <t>SEM GRUPO</t>
        </is>
      </c>
      <c r="C125" t="inlineStr">
        <is>
          <t>SP</t>
        </is>
      </c>
      <c r="D125" t="n">
        <v>15997063738</v>
      </c>
      <c r="E125" t="inlineStr">
        <is>
          <t>JBP</t>
        </is>
      </c>
      <c r="F125" t="inlineStr">
        <is>
          <t>SEM REDE</t>
        </is>
      </c>
      <c r="G125" t="inlineStr">
        <is>
          <t>top 200</t>
        </is>
      </c>
      <c r="H125" t="inlineStr">
        <is>
          <t>LARISSA PADILHA</t>
        </is>
      </c>
    </row>
    <row r="126">
      <c r="A126" t="n">
        <v>0.653042</v>
      </c>
      <c r="B126" t="inlineStr">
        <is>
          <t>SEM GRUPO</t>
        </is>
      </c>
      <c r="C126" t="inlineStr">
        <is>
          <t>PR</t>
        </is>
      </c>
      <c r="D126" t="n">
        <v>4137611180</v>
      </c>
      <c r="E126" t="inlineStr">
        <is>
          <t>JBP</t>
        </is>
      </c>
      <c r="F126" t="inlineStr">
        <is>
          <t>SEM REDE</t>
        </is>
      </c>
      <c r="G126" t="inlineStr">
        <is>
          <t>top 200</t>
        </is>
      </c>
      <c r="H126" t="inlineStr">
        <is>
          <t>HEMANUELE DITZEL (MANU)</t>
        </is>
      </c>
    </row>
    <row r="127">
      <c r="A127" t="n">
        <v>0.648424</v>
      </c>
      <c r="B127" t="inlineStr">
        <is>
          <t>SEM GRUPO</t>
        </is>
      </c>
      <c r="C127" t="inlineStr">
        <is>
          <t>ES</t>
        </is>
      </c>
      <c r="D127" t="n">
        <v>28988055897</v>
      </c>
      <c r="E127" t="inlineStr">
        <is>
          <t>JBP</t>
        </is>
      </c>
      <c r="F127" t="inlineStr">
        <is>
          <t>SEM REDE</t>
        </is>
      </c>
      <c r="G127" t="inlineStr">
        <is>
          <t>top 200</t>
        </is>
      </c>
      <c r="H127" t="inlineStr">
        <is>
          <t>LARISSA PADILHA</t>
        </is>
      </c>
    </row>
    <row r="128">
      <c r="A128" t="n">
        <v>0.694991</v>
      </c>
      <c r="B128" t="inlineStr">
        <is>
          <t>ESMERALDA</t>
        </is>
      </c>
      <c r="C128" t="inlineStr">
        <is>
          <t>PR</t>
        </is>
      </c>
      <c r="D128" t="n">
        <v>41992329799</v>
      </c>
      <c r="E128" t="inlineStr">
        <is>
          <t>JBP</t>
        </is>
      </c>
      <c r="F128" t="inlineStr">
        <is>
          <t>ESMERALDA</t>
        </is>
      </c>
      <c r="G128" t="inlineStr">
        <is>
          <t>top 200</t>
        </is>
      </c>
      <c r="H128" t="inlineStr">
        <is>
          <t>DAIANE STAVICKI</t>
        </is>
      </c>
    </row>
    <row r="129">
      <c r="A129" t="n">
        <v>0.6334109999999999</v>
      </c>
      <c r="B129" t="inlineStr">
        <is>
          <t>SEM GRUPO</t>
        </is>
      </c>
      <c r="C129" t="inlineStr">
        <is>
          <t>SP</t>
        </is>
      </c>
      <c r="D129" t="n">
        <v>16993154374</v>
      </c>
      <c r="E129" t="inlineStr">
        <is>
          <t>JBP</t>
        </is>
      </c>
      <c r="F129" t="inlineStr">
        <is>
          <t>SEM REDE</t>
        </is>
      </c>
      <c r="G129" t="inlineStr">
        <is>
          <t>top 200</t>
        </is>
      </c>
      <c r="H129" t="inlineStr">
        <is>
          <t>LARISSA PADILHA</t>
        </is>
      </c>
    </row>
    <row r="130">
      <c r="A130" t="n">
        <v>0.633229</v>
      </c>
      <c r="B130" t="inlineStr">
        <is>
          <t>SEM GRUPO</t>
        </is>
      </c>
      <c r="C130" t="inlineStr">
        <is>
          <t>PE</t>
        </is>
      </c>
      <c r="D130" t="n">
        <v>81999226106</v>
      </c>
      <c r="E130" t="inlineStr">
        <is>
          <t>JBP</t>
        </is>
      </c>
      <c r="F130" t="inlineStr">
        <is>
          <t>SEM REDE</t>
        </is>
      </c>
      <c r="G130" t="inlineStr">
        <is>
          <t>top 200</t>
        </is>
      </c>
      <c r="H130" t="inlineStr">
        <is>
          <t>LARISSA PADILHA</t>
        </is>
      </c>
    </row>
    <row r="131">
      <c r="A131" t="n">
        <v>0.6902160000000001</v>
      </c>
      <c r="B131" t="inlineStr">
        <is>
          <t>ESMERALDA</t>
        </is>
      </c>
      <c r="C131" t="inlineStr">
        <is>
          <t>RS</t>
        </is>
      </c>
      <c r="D131" t="n">
        <v>41992329799</v>
      </c>
      <c r="E131" t="inlineStr">
        <is>
          <t>JBP</t>
        </is>
      </c>
      <c r="F131" t="inlineStr">
        <is>
          <t>ESMERALDA</t>
        </is>
      </c>
      <c r="G131" t="inlineStr">
        <is>
          <t>top 200</t>
        </is>
      </c>
      <c r="H131" t="inlineStr">
        <is>
          <t>DAIANE STAVICKI</t>
        </is>
      </c>
    </row>
    <row r="132">
      <c r="A132" t="n">
        <v>0.630588</v>
      </c>
      <c r="B132" t="inlineStr">
        <is>
          <t>SEM GRUPO</t>
        </is>
      </c>
      <c r="C132" t="inlineStr">
        <is>
          <t>SP</t>
        </is>
      </c>
      <c r="D132" t="n">
        <v>11983697240</v>
      </c>
      <c r="E132" t="inlineStr">
        <is>
          <t>JBP</t>
        </is>
      </c>
      <c r="F132" t="inlineStr">
        <is>
          <t>SEM REDE</t>
        </is>
      </c>
      <c r="G132" t="inlineStr">
        <is>
          <t>top 200</t>
        </is>
      </c>
      <c r="H132" t="inlineStr">
        <is>
          <t>LARISSA PADILHA</t>
        </is>
      </c>
    </row>
    <row r="133">
      <c r="A133" t="n">
        <v>0.629124</v>
      </c>
      <c r="B133" t="inlineStr">
        <is>
          <t>SEM GRUPO</t>
        </is>
      </c>
      <c r="C133" t="inlineStr">
        <is>
          <t>PR</t>
        </is>
      </c>
      <c r="D133" t="n">
        <v>4130199221</v>
      </c>
      <c r="E133" t="inlineStr">
        <is>
          <t>JBP</t>
        </is>
      </c>
      <c r="F133" t="inlineStr">
        <is>
          <t>SEM REDE</t>
        </is>
      </c>
      <c r="G133" t="inlineStr">
        <is>
          <t>top 200</t>
        </is>
      </c>
      <c r="H133" t="inlineStr">
        <is>
          <t>HEMANUELE DITZEL (MANU)</t>
        </is>
      </c>
    </row>
    <row r="134">
      <c r="A134" t="n">
        <v>0.626305</v>
      </c>
      <c r="B134" t="inlineStr">
        <is>
          <t>SEM GRUPO</t>
        </is>
      </c>
      <c r="C134" t="inlineStr">
        <is>
          <t>PR</t>
        </is>
      </c>
      <c r="D134" t="n">
        <v>41991664635</v>
      </c>
      <c r="E134" t="inlineStr">
        <is>
          <t>JBP</t>
        </is>
      </c>
      <c r="F134" t="inlineStr">
        <is>
          <t>SEM REDE</t>
        </is>
      </c>
      <c r="G134" t="inlineStr">
        <is>
          <t>top 200</t>
        </is>
      </c>
      <c r="H134" t="inlineStr">
        <is>
          <t>HEMANUELE DITZEL (MANU)</t>
        </is>
      </c>
    </row>
    <row r="135">
      <c r="A135" t="n">
        <v>0.618513</v>
      </c>
      <c r="B135" t="inlineStr">
        <is>
          <t>SEM GRUPO</t>
        </is>
      </c>
      <c r="C135" t="inlineStr">
        <is>
          <t>TO</t>
        </is>
      </c>
      <c r="D135" t="n">
        <v>6381443572</v>
      </c>
      <c r="E135" t="inlineStr">
        <is>
          <t>JBP</t>
        </is>
      </c>
      <c r="F135" t="inlineStr">
        <is>
          <t>SEM REDE</t>
        </is>
      </c>
      <c r="G135" t="inlineStr">
        <is>
          <t>top 200</t>
        </is>
      </c>
      <c r="H135" t="inlineStr">
        <is>
          <t>LARISSA PADILHA</t>
        </is>
      </c>
    </row>
    <row r="136">
      <c r="A136" t="n">
        <v>0.615259</v>
      </c>
      <c r="B136" t="inlineStr">
        <is>
          <t>SEM GRUPO</t>
        </is>
      </c>
      <c r="C136" t="inlineStr">
        <is>
          <t>PE</t>
        </is>
      </c>
      <c r="D136" t="n">
        <v>81998985588</v>
      </c>
      <c r="E136" t="inlineStr">
        <is>
          <t>JBP</t>
        </is>
      </c>
      <c r="F136" t="inlineStr">
        <is>
          <t>SEM REDE</t>
        </is>
      </c>
      <c r="G136" t="inlineStr">
        <is>
          <t>top 200</t>
        </is>
      </c>
      <c r="H136" t="inlineStr">
        <is>
          <t>LARISSA PADILHA</t>
        </is>
      </c>
    </row>
    <row r="137">
      <c r="A137" t="n">
        <v>0.6067669999999999</v>
      </c>
      <c r="B137" t="inlineStr">
        <is>
          <t>SEM GRUPO</t>
        </is>
      </c>
      <c r="C137" t="inlineStr">
        <is>
          <t>SP</t>
        </is>
      </c>
      <c r="D137" t="n">
        <v>17988307140</v>
      </c>
      <c r="E137" t="inlineStr">
        <is>
          <t>JBP</t>
        </is>
      </c>
      <c r="F137" t="inlineStr">
        <is>
          <t>SEM REDE</t>
        </is>
      </c>
      <c r="G137" t="inlineStr">
        <is>
          <t>top 200</t>
        </is>
      </c>
      <c r="H137" t="inlineStr">
        <is>
          <t>LARISSA PADILHA</t>
        </is>
      </c>
    </row>
    <row r="138">
      <c r="A138" t="n">
        <v>0.606193</v>
      </c>
      <c r="B138" t="inlineStr">
        <is>
          <t>SEM GRUPO</t>
        </is>
      </c>
      <c r="C138" t="inlineStr">
        <is>
          <t>SP</t>
        </is>
      </c>
      <c r="D138" t="n">
        <v>11979855778</v>
      </c>
      <c r="E138" t="inlineStr">
        <is>
          <t>JBP</t>
        </is>
      </c>
      <c r="F138" t="inlineStr">
        <is>
          <t>SEM REDE</t>
        </is>
      </c>
      <c r="G138" t="inlineStr">
        <is>
          <t>top 200</t>
        </is>
      </c>
      <c r="H138" t="inlineStr">
        <is>
          <t>LARISSA PADILHA</t>
        </is>
      </c>
    </row>
    <row r="139">
      <c r="A139" t="n">
        <v>0.605997</v>
      </c>
      <c r="B139" t="inlineStr">
        <is>
          <t>SEM GRUPO</t>
        </is>
      </c>
      <c r="C139" t="inlineStr">
        <is>
          <t>MA</t>
        </is>
      </c>
      <c r="D139" t="n">
        <v>9981223533</v>
      </c>
      <c r="E139" t="inlineStr">
        <is>
          <t>JBP</t>
        </is>
      </c>
      <c r="F139" t="inlineStr">
        <is>
          <t>SEM REDE</t>
        </is>
      </c>
      <c r="G139" t="inlineStr">
        <is>
          <t>top 200</t>
        </is>
      </c>
      <c r="H139" t="inlineStr">
        <is>
          <t>LARISSA PADILHA</t>
        </is>
      </c>
    </row>
    <row r="140">
      <c r="A140" t="n">
        <v>0.660079</v>
      </c>
      <c r="B140" t="inlineStr">
        <is>
          <t>ESMERALDA</t>
        </is>
      </c>
      <c r="C140" t="inlineStr">
        <is>
          <t>PR</t>
        </is>
      </c>
      <c r="D140" t="n">
        <v>41002320799</v>
      </c>
      <c r="E140" t="inlineStr">
        <is>
          <t>JBP</t>
        </is>
      </c>
      <c r="F140" t="inlineStr">
        <is>
          <t>ESMERALDA</t>
        </is>
      </c>
      <c r="G140" t="inlineStr">
        <is>
          <t>top 200</t>
        </is>
      </c>
      <c r="H140" t="inlineStr">
        <is>
          <t>DAIANE STAVICKI</t>
        </is>
      </c>
    </row>
    <row r="141">
      <c r="A141" t="n">
        <v>0.660079</v>
      </c>
      <c r="B141" t="inlineStr">
        <is>
          <t>ESMERALDA</t>
        </is>
      </c>
      <c r="C141" t="inlineStr">
        <is>
          <t>PR</t>
        </is>
      </c>
      <c r="D141" t="n">
        <v>41992329799</v>
      </c>
      <c r="E141" t="inlineStr">
        <is>
          <t>JBP</t>
        </is>
      </c>
      <c r="F141" t="inlineStr">
        <is>
          <t>ESMERALDA</t>
        </is>
      </c>
      <c r="G141" t="inlineStr">
        <is>
          <t>top 200</t>
        </is>
      </c>
      <c r="H141" t="inlineStr">
        <is>
          <t>DAIANE STAVICKI</t>
        </is>
      </c>
    </row>
    <row r="142">
      <c r="A142" t="n">
        <v>0.659618</v>
      </c>
      <c r="B142" t="inlineStr">
        <is>
          <t>ESMERALDA</t>
        </is>
      </c>
      <c r="C142" t="inlineStr">
        <is>
          <t>PR</t>
        </is>
      </c>
      <c r="D142" t="n">
        <v>41992329799</v>
      </c>
      <c r="E142" t="inlineStr">
        <is>
          <t>JBP</t>
        </is>
      </c>
      <c r="F142" t="inlineStr">
        <is>
          <t>ESMERALDA</t>
        </is>
      </c>
      <c r="G142" t="inlineStr">
        <is>
          <t>top 200</t>
        </is>
      </c>
      <c r="H142" t="inlineStr">
        <is>
          <t>DAIANE STAVICKI</t>
        </is>
      </c>
    </row>
    <row r="143">
      <c r="A143" t="n">
        <v>0.5935820000000001</v>
      </c>
      <c r="B143" t="inlineStr">
        <is>
          <t>SEM GRUPO</t>
        </is>
      </c>
      <c r="C143" t="inlineStr">
        <is>
          <t>PR</t>
        </is>
      </c>
      <c r="D143" t="n">
        <v>11971942324</v>
      </c>
      <c r="E143" t="inlineStr">
        <is>
          <t>Plano de Sell Out</t>
        </is>
      </c>
      <c r="F143" t="inlineStr">
        <is>
          <t>SEM REDE</t>
        </is>
      </c>
      <c r="G143" t="inlineStr">
        <is>
          <t>top 200</t>
        </is>
      </c>
      <c r="H143" t="inlineStr">
        <is>
          <t>HEMANUELE DITZEL (MANU)</t>
        </is>
      </c>
    </row>
    <row r="144">
      <c r="A144" t="n">
        <v>0.592289</v>
      </c>
      <c r="B144" t="inlineStr">
        <is>
          <t>SEM GRUPO</t>
        </is>
      </c>
      <c r="C144" t="inlineStr">
        <is>
          <t>BA</t>
        </is>
      </c>
      <c r="D144" t="n">
        <v>57398336448</v>
      </c>
      <c r="E144" t="inlineStr">
        <is>
          <t>Plano de Sell Out</t>
        </is>
      </c>
      <c r="F144" t="inlineStr">
        <is>
          <t>SEM REDE</t>
        </is>
      </c>
      <c r="G144" t="inlineStr">
        <is>
          <t>top 200</t>
        </is>
      </c>
      <c r="H144" t="inlineStr">
        <is>
          <t>LARISSA PADILHA</t>
        </is>
      </c>
    </row>
    <row r="145">
      <c r="A145" t="n">
        <v>0.591625</v>
      </c>
      <c r="B145" t="inlineStr">
        <is>
          <t>SEM GRUPO</t>
        </is>
      </c>
      <c r="C145" t="inlineStr">
        <is>
          <t>DF</t>
        </is>
      </c>
      <c r="D145" t="n">
        <v>61370352966</v>
      </c>
      <c r="E145" t="inlineStr">
        <is>
          <t>Plano de Sell Out</t>
        </is>
      </c>
      <c r="F145" t="inlineStr">
        <is>
          <t>SEM REDE</t>
        </is>
      </c>
      <c r="G145" t="inlineStr">
        <is>
          <t>top 200</t>
        </is>
      </c>
      <c r="H145" t="inlineStr">
        <is>
          <t>LARISSA PADILHA</t>
        </is>
      </c>
    </row>
    <row r="146">
      <c r="A146" t="n">
        <v>0.5876980000000001</v>
      </c>
      <c r="B146" t="inlineStr">
        <is>
          <t>SEM GRUPO</t>
        </is>
      </c>
      <c r="C146" t="inlineStr">
        <is>
          <t>SP</t>
        </is>
      </c>
      <c r="D146" t="n">
        <v>11964347277</v>
      </c>
      <c r="E146" t="inlineStr">
        <is>
          <t>Plano de Sell Out</t>
        </is>
      </c>
      <c r="F146" t="inlineStr">
        <is>
          <t>SEM REDE</t>
        </is>
      </c>
      <c r="G146" t="inlineStr">
        <is>
          <t>top 200</t>
        </is>
      </c>
      <c r="H146" t="inlineStr">
        <is>
          <t>LARISSA PADILHA</t>
        </is>
      </c>
    </row>
    <row r="147">
      <c r="A147" t="n">
        <v>0.587659</v>
      </c>
      <c r="B147" t="inlineStr">
        <is>
          <t>SEM GRUPO</t>
        </is>
      </c>
      <c r="C147" t="inlineStr">
        <is>
          <t>RJ</t>
        </is>
      </c>
      <c r="D147" t="n">
        <v>2220204401</v>
      </c>
      <c r="E147" t="inlineStr">
        <is>
          <t>Plano de Sell Out</t>
        </is>
      </c>
      <c r="F147" t="inlineStr">
        <is>
          <t>SEM REDE</t>
        </is>
      </c>
      <c r="G147" t="inlineStr">
        <is>
          <t>top 200</t>
        </is>
      </c>
      <c r="H147" t="inlineStr">
        <is>
          <t>LARISSA PADILHA</t>
        </is>
      </c>
    </row>
    <row r="148">
      <c r="A148" t="n">
        <v>0.5857599999999999</v>
      </c>
      <c r="B148" t="inlineStr">
        <is>
          <t>SEM GRUPO</t>
        </is>
      </c>
      <c r="C148" t="inlineStr">
        <is>
          <t>SC</t>
        </is>
      </c>
      <c r="D148" t="n">
        <v>4530553644</v>
      </c>
      <c r="E148" t="inlineStr">
        <is>
          <t>Plano de Sell Out</t>
        </is>
      </c>
      <c r="F148" t="inlineStr">
        <is>
          <t>SEM REDE</t>
        </is>
      </c>
      <c r="G148" t="inlineStr">
        <is>
          <t>top 200</t>
        </is>
      </c>
      <c r="H148" t="inlineStr">
        <is>
          <t>HEMANUELE DITZEL (MANU)</t>
        </is>
      </c>
    </row>
    <row r="149">
      <c r="A149" t="n">
        <v>0.583273</v>
      </c>
      <c r="B149" t="inlineStr">
        <is>
          <t>SEM GRUPO</t>
        </is>
      </c>
      <c r="C149" t="inlineStr">
        <is>
          <t>SC</t>
        </is>
      </c>
      <c r="D149" t="n">
        <v>47991692194</v>
      </c>
      <c r="E149" t="inlineStr">
        <is>
          <t>Plano de Sell Out</t>
        </is>
      </c>
      <c r="F149" t="inlineStr">
        <is>
          <t>SEM REDE</t>
        </is>
      </c>
      <c r="G149" t="inlineStr">
        <is>
          <t>top 200</t>
        </is>
      </c>
      <c r="H149" t="inlineStr">
        <is>
          <t>HEMANUELE DITZEL (MANU)</t>
        </is>
      </c>
    </row>
    <row r="150">
      <c r="A150" t="n">
        <v>0.578664</v>
      </c>
      <c r="B150" t="inlineStr">
        <is>
          <t>SEM GRUPO</t>
        </is>
      </c>
      <c r="C150" t="inlineStr">
        <is>
          <t>MA</t>
        </is>
      </c>
      <c r="D150" t="n">
        <v>989921635</v>
      </c>
      <c r="E150" t="inlineStr">
        <is>
          <t>Plano de Sell Out</t>
        </is>
      </c>
      <c r="F150" t="inlineStr">
        <is>
          <t>SEM REDE</t>
        </is>
      </c>
      <c r="G150" t="inlineStr">
        <is>
          <t>top 200</t>
        </is>
      </c>
      <c r="H150" t="inlineStr">
        <is>
          <t>LARISSA PADILHA</t>
        </is>
      </c>
    </row>
    <row r="151">
      <c r="A151" t="n">
        <v>0.57816</v>
      </c>
      <c r="B151" t="inlineStr">
        <is>
          <t>SEM GRUPO</t>
        </is>
      </c>
      <c r="C151" t="inlineStr">
        <is>
          <t>ES</t>
        </is>
      </c>
      <c r="D151" t="n">
        <v>27996079076</v>
      </c>
      <c r="E151" t="inlineStr">
        <is>
          <t>Plano de Sell Out</t>
        </is>
      </c>
      <c r="F151" t="inlineStr">
        <is>
          <t>SEM REDE</t>
        </is>
      </c>
      <c r="G151" t="inlineStr">
        <is>
          <t>top 200</t>
        </is>
      </c>
      <c r="H151" t="inlineStr">
        <is>
          <t>LARISSA PADILHA</t>
        </is>
      </c>
    </row>
    <row r="152">
      <c r="A152" t="n">
        <v>0.573966</v>
      </c>
      <c r="B152" t="inlineStr">
        <is>
          <t>SEM GRUPO</t>
        </is>
      </c>
      <c r="C152" t="inlineStr">
        <is>
          <t>MG</t>
        </is>
      </c>
      <c r="D152" t="n">
        <v>31992886861</v>
      </c>
      <c r="E152" t="inlineStr">
        <is>
          <t>Plano de Sell Out</t>
        </is>
      </c>
      <c r="F152" t="inlineStr">
        <is>
          <t>SEM REDE</t>
        </is>
      </c>
      <c r="G152" t="inlineStr">
        <is>
          <t>top 200</t>
        </is>
      </c>
      <c r="H152" t="inlineStr">
        <is>
          <t>LARISSA PADILHA</t>
        </is>
      </c>
    </row>
    <row r="153">
      <c r="A153" t="n">
        <v>0.57257</v>
      </c>
      <c r="B153" t="inlineStr">
        <is>
          <t>SEM GRUPO</t>
        </is>
      </c>
      <c r="C153" t="inlineStr">
        <is>
          <t>SC</t>
        </is>
      </c>
      <c r="D153" t="n">
        <v>4888362409</v>
      </c>
      <c r="E153" t="inlineStr">
        <is>
          <t>Plano de Sell Out</t>
        </is>
      </c>
      <c r="F153" t="inlineStr">
        <is>
          <t>SEM REDE</t>
        </is>
      </c>
      <c r="G153" t="inlineStr">
        <is>
          <t>top 200</t>
        </is>
      </c>
      <c r="H153" t="inlineStr">
        <is>
          <t>JULIO GADRET</t>
        </is>
      </c>
    </row>
    <row r="154">
      <c r="A154" t="n">
        <v>0.571632</v>
      </c>
      <c r="B154" t="inlineStr">
        <is>
          <t>SEM GRUPO</t>
        </is>
      </c>
      <c r="C154" t="inlineStr">
        <is>
          <t>SC</t>
        </is>
      </c>
      <c r="D154" t="n">
        <v>48984867502</v>
      </c>
      <c r="E154" t="inlineStr">
        <is>
          <t>Plano de Sell Out</t>
        </is>
      </c>
      <c r="F154" t="inlineStr">
        <is>
          <t>SEM REDE</t>
        </is>
      </c>
      <c r="G154" t="inlineStr">
        <is>
          <t>top 200</t>
        </is>
      </c>
      <c r="H154" t="inlineStr">
        <is>
          <t>JULIO GADRET</t>
        </is>
      </c>
    </row>
    <row r="155">
      <c r="A155" t="n">
        <v>0.571632</v>
      </c>
      <c r="B155" t="inlineStr">
        <is>
          <t>SEM GRUPO</t>
        </is>
      </c>
      <c r="C155" t="inlineStr">
        <is>
          <t>SC</t>
        </is>
      </c>
      <c r="D155" t="n">
        <v>4891791849</v>
      </c>
      <c r="E155" t="inlineStr">
        <is>
          <t>Plano de Sell Out</t>
        </is>
      </c>
      <c r="F155" t="inlineStr">
        <is>
          <t>SEM REDE</t>
        </is>
      </c>
      <c r="G155" t="inlineStr">
        <is>
          <t>top 200</t>
        </is>
      </c>
      <c r="H155" t="inlineStr">
        <is>
          <t>JULIO GADRET</t>
        </is>
      </c>
    </row>
    <row r="156">
      <c r="A156" t="n">
        <v>0.571365</v>
      </c>
      <c r="B156" t="inlineStr">
        <is>
          <t>SEM GRUPO</t>
        </is>
      </c>
      <c r="C156" t="inlineStr">
        <is>
          <t>RS</t>
        </is>
      </c>
      <c r="D156" t="n">
        <v>5199044648</v>
      </c>
      <c r="E156" t="inlineStr">
        <is>
          <t>Plano de Sell Out</t>
        </is>
      </c>
      <c r="F156" t="inlineStr">
        <is>
          <t>SEM REDE</t>
        </is>
      </c>
      <c r="G156" t="inlineStr">
        <is>
          <t>top 200</t>
        </is>
      </c>
      <c r="H156" t="inlineStr">
        <is>
          <t>HEMANUELE DITZEL (MANU)</t>
        </is>
      </c>
    </row>
    <row r="157">
      <c r="A157" t="n">
        <v>0.566895</v>
      </c>
      <c r="B157" t="inlineStr">
        <is>
          <t>SEM GRUPO</t>
        </is>
      </c>
      <c r="C157" t="inlineStr">
        <is>
          <t>SP</t>
        </is>
      </c>
      <c r="D157" t="n">
        <v>139967332</v>
      </c>
      <c r="E157" t="inlineStr">
        <is>
          <t>Plano de Sell Out</t>
        </is>
      </c>
      <c r="F157" t="inlineStr">
        <is>
          <t>SEM REDE</t>
        </is>
      </c>
      <c r="G157" t="inlineStr">
        <is>
          <t>top 200</t>
        </is>
      </c>
      <c r="H157" t="inlineStr">
        <is>
          <t>LARISSA PADILHA</t>
        </is>
      </c>
    </row>
    <row r="158">
      <c r="A158" t="n">
        <v>0.563253</v>
      </c>
      <c r="B158" t="inlineStr">
        <is>
          <t>SEM GRUPO</t>
        </is>
      </c>
      <c r="C158" t="inlineStr">
        <is>
          <t>GO</t>
        </is>
      </c>
      <c r="D158" t="n">
        <v>62984432869</v>
      </c>
      <c r="E158" t="inlineStr">
        <is>
          <t>Plano de Sell Out</t>
        </is>
      </c>
      <c r="F158" t="inlineStr">
        <is>
          <t>SEM REDE</t>
        </is>
      </c>
      <c r="G158" t="inlineStr">
        <is>
          <t>top 200</t>
        </is>
      </c>
      <c r="H158" t="inlineStr">
        <is>
          <t>LARISSA PADILHA</t>
        </is>
      </c>
    </row>
    <row r="159">
      <c r="A159" t="n">
        <v>0.614573</v>
      </c>
      <c r="B159" t="inlineStr">
        <is>
          <t>ESMERALDA</t>
        </is>
      </c>
      <c r="C159" t="inlineStr">
        <is>
          <t>RS</t>
        </is>
      </c>
      <c r="D159" t="n">
        <v>41992329799</v>
      </c>
      <c r="E159" t="inlineStr">
        <is>
          <t>JBP</t>
        </is>
      </c>
      <c r="F159" t="inlineStr">
        <is>
          <t>ESMERALDA</t>
        </is>
      </c>
      <c r="G159" t="inlineStr">
        <is>
          <t>top 200</t>
        </is>
      </c>
      <c r="H159" t="inlineStr">
        <is>
          <t>DAIANE STAVICKI</t>
        </is>
      </c>
    </row>
    <row r="160">
      <c r="A160" t="n">
        <v>0.6077129999999999</v>
      </c>
      <c r="B160" t="inlineStr">
        <is>
          <t>ESMERALDA</t>
        </is>
      </c>
      <c r="C160" t="inlineStr">
        <is>
          <t>PR</t>
        </is>
      </c>
      <c r="D160" t="n">
        <v>41992329799</v>
      </c>
      <c r="E160" t="inlineStr">
        <is>
          <t>JBP</t>
        </is>
      </c>
      <c r="F160" t="inlineStr">
        <is>
          <t>ESMERALDA</t>
        </is>
      </c>
      <c r="G160" t="inlineStr">
        <is>
          <t>top 200</t>
        </is>
      </c>
      <c r="H160" t="inlineStr">
        <is>
          <t>DAIANE STAVICKI</t>
        </is>
      </c>
    </row>
    <row r="161">
      <c r="A161" t="n">
        <v>0.496075</v>
      </c>
      <c r="B161" t="inlineStr">
        <is>
          <t>BIO MUNDO</t>
        </is>
      </c>
      <c r="C161" t="inlineStr">
        <is>
          <t>PE</t>
        </is>
      </c>
      <c r="D161" t="n">
        <v>8132659901</v>
      </c>
      <c r="E161" t="inlineStr">
        <is>
          <t>Plano de Sell Out</t>
        </is>
      </c>
      <c r="F161" t="inlineStr">
        <is>
          <t>BIO MUNDO</t>
        </is>
      </c>
      <c r="G161" t="inlineStr">
        <is>
          <t>top 200</t>
        </is>
      </c>
      <c r="H161" t="inlineStr">
        <is>
          <t>DAIANE STAVICKI</t>
        </is>
      </c>
    </row>
    <row r="162">
      <c r="A162" t="n">
        <v>0.551281</v>
      </c>
      <c r="B162" t="inlineStr">
        <is>
          <t>SEM GRUPO</t>
        </is>
      </c>
      <c r="C162" t="inlineStr">
        <is>
          <t>SC</t>
        </is>
      </c>
      <c r="D162" t="n">
        <v>47337165984</v>
      </c>
      <c r="E162" t="inlineStr">
        <is>
          <t>Plano de Sell Out</t>
        </is>
      </c>
      <c r="F162" t="inlineStr">
        <is>
          <t>SEM REDE</t>
        </is>
      </c>
      <c r="G162" t="inlineStr">
        <is>
          <t>top 200</t>
        </is>
      </c>
      <c r="H162" t="inlineStr">
        <is>
          <t>HEMANUELE DITZEL (MANU)</t>
        </is>
      </c>
    </row>
    <row r="163">
      <c r="A163" t="n">
        <v>0.542858</v>
      </c>
      <c r="B163" t="inlineStr">
        <is>
          <t>SEM GRUPO</t>
        </is>
      </c>
      <c r="C163" t="inlineStr">
        <is>
          <t>SP</t>
        </is>
      </c>
      <c r="D163" t="n">
        <v>19997925463</v>
      </c>
      <c r="E163" t="inlineStr">
        <is>
          <t>Plano de Sell Out</t>
        </is>
      </c>
      <c r="F163" t="inlineStr">
        <is>
          <t>SEM REDE</t>
        </is>
      </c>
      <c r="G163" t="inlineStr">
        <is>
          <t>top 200</t>
        </is>
      </c>
      <c r="H163" t="inlineStr">
        <is>
          <t>LARISSA PADILHA</t>
        </is>
      </c>
    </row>
    <row r="164">
      <c r="A164" t="n">
        <v>0.5282520000000001</v>
      </c>
      <c r="B164" t="inlineStr">
        <is>
          <t>SEM GRUPO</t>
        </is>
      </c>
      <c r="C164" t="inlineStr">
        <is>
          <t>SP</t>
        </is>
      </c>
      <c r="D164" t="n">
        <v>11958901366</v>
      </c>
      <c r="E164" t="inlineStr">
        <is>
          <t>Plano de Sell Out</t>
        </is>
      </c>
      <c r="F164" t="inlineStr">
        <is>
          <t>SEM REDE</t>
        </is>
      </c>
      <c r="G164" t="inlineStr">
        <is>
          <t>top 200</t>
        </is>
      </c>
      <c r="H164" t="inlineStr">
        <is>
          <t>LARISSA PADILHA</t>
        </is>
      </c>
    </row>
    <row r="165">
      <c r="A165" t="n">
        <v>0.526403</v>
      </c>
      <c r="B165" t="inlineStr">
        <is>
          <t>SEM GRUPO</t>
        </is>
      </c>
      <c r="C165" t="inlineStr">
        <is>
          <t>AL</t>
        </is>
      </c>
      <c r="D165" t="n">
        <v>82993177548</v>
      </c>
      <c r="E165" t="inlineStr">
        <is>
          <t>Plano de Sell Out</t>
        </is>
      </c>
      <c r="F165" t="inlineStr">
        <is>
          <t>SEM REDE</t>
        </is>
      </c>
      <c r="G165" t="inlineStr">
        <is>
          <t>top 200</t>
        </is>
      </c>
      <c r="H165" t="inlineStr">
        <is>
          <t>LARISSA PADILHA</t>
        </is>
      </c>
    </row>
    <row r="166">
      <c r="A166" t="n">
        <v>0.523802</v>
      </c>
      <c r="B166" t="inlineStr">
        <is>
          <t>SEM GRUPO</t>
        </is>
      </c>
      <c r="C166" t="inlineStr">
        <is>
          <t>RS</t>
        </is>
      </c>
      <c r="D166" t="n">
        <v>53991480884</v>
      </c>
      <c r="E166" t="inlineStr">
        <is>
          <t>Plano de Sell Out</t>
        </is>
      </c>
      <c r="F166" t="inlineStr">
        <is>
          <t>SEM REDE</t>
        </is>
      </c>
      <c r="G166" t="inlineStr">
        <is>
          <t>top 200</t>
        </is>
      </c>
      <c r="H166" t="inlineStr">
        <is>
          <t>HEMANUELE DITZEL (MANU)</t>
        </is>
      </c>
    </row>
    <row r="167">
      <c r="A167" t="n">
        <v>0.5122100000000001</v>
      </c>
      <c r="B167" t="inlineStr">
        <is>
          <t>SEM GRUPO</t>
        </is>
      </c>
      <c r="C167" t="inlineStr">
        <is>
          <t>SP</t>
        </is>
      </c>
      <c r="D167" t="n">
        <v>16997395135</v>
      </c>
      <c r="E167" t="inlineStr">
        <is>
          <t>Plano de Sell Out</t>
        </is>
      </c>
      <c r="F167" t="inlineStr">
        <is>
          <t>SEM REDE</t>
        </is>
      </c>
      <c r="G167" t="inlineStr">
        <is>
          <t>top 200</t>
        </is>
      </c>
      <c r="H167" t="inlineStr">
        <is>
          <t>LARISSA PADILHA</t>
        </is>
      </c>
    </row>
    <row r="168">
      <c r="A168" t="n">
        <v>0.265808</v>
      </c>
      <c r="B168" t="inlineStr">
        <is>
          <t>FITLAND</t>
        </is>
      </c>
      <c r="C168" t="inlineStr">
        <is>
          <t>SC</t>
        </is>
      </c>
      <c r="D168" t="n">
        <v>4791232956</v>
      </c>
      <c r="E168" t="inlineStr">
        <is>
          <t>Plano de Negócio</t>
        </is>
      </c>
      <c r="F168" t="inlineStr">
        <is>
          <t>FITLAND</t>
        </is>
      </c>
      <c r="G168" t="inlineStr">
        <is>
          <t>top 200</t>
        </is>
      </c>
      <c r="H168" t="inlineStr">
        <is>
          <t>JULIO GADRET</t>
        </is>
      </c>
    </row>
    <row r="169">
      <c r="A169" t="n">
        <v>0.50596</v>
      </c>
      <c r="B169" t="inlineStr">
        <is>
          <t>SEM GRUPO</t>
        </is>
      </c>
      <c r="C169" t="inlineStr">
        <is>
          <t>RJ</t>
        </is>
      </c>
      <c r="D169" t="n">
        <v>21965142281</v>
      </c>
      <c r="E169" t="inlineStr">
        <is>
          <t>Plano de Sell Out</t>
        </is>
      </c>
      <c r="F169" t="inlineStr">
        <is>
          <t>SEM REDE</t>
        </is>
      </c>
      <c r="G169" t="inlineStr">
        <is>
          <t>top 200</t>
        </is>
      </c>
      <c r="H169" t="inlineStr">
        <is>
          <t>LARISSA PADILHA</t>
        </is>
      </c>
    </row>
    <row r="170">
      <c r="A170" t="n">
        <v>0.50593</v>
      </c>
      <c r="B170" t="inlineStr">
        <is>
          <t>SEM GRUPO</t>
        </is>
      </c>
      <c r="C170" t="inlineStr">
        <is>
          <t>SP</t>
        </is>
      </c>
      <c r="D170" t="n">
        <v>17992275775</v>
      </c>
      <c r="E170" t="inlineStr">
        <is>
          <t>Plano de Sell Out</t>
        </is>
      </c>
      <c r="F170" t="inlineStr">
        <is>
          <t>SEM REDE</t>
        </is>
      </c>
      <c r="G170" t="inlineStr">
        <is>
          <t>top 200</t>
        </is>
      </c>
      <c r="H170" t="inlineStr">
        <is>
          <t>LARISSA PADILHA</t>
        </is>
      </c>
    </row>
    <row r="171">
      <c r="A171" t="n">
        <v>0.5039439999999999</v>
      </c>
      <c r="B171" t="inlineStr">
        <is>
          <t>SEM GRUPO</t>
        </is>
      </c>
      <c r="C171" t="inlineStr">
        <is>
          <t>PR</t>
        </is>
      </c>
      <c r="D171" t="n">
        <v>41988205031</v>
      </c>
      <c r="E171" t="inlineStr">
        <is>
          <t>Plano de Sell Out</t>
        </is>
      </c>
      <c r="F171" t="inlineStr">
        <is>
          <t>SEM REDE</t>
        </is>
      </c>
      <c r="G171" t="inlineStr">
        <is>
          <t>top 200</t>
        </is>
      </c>
      <c r="H171" t="inlineStr">
        <is>
          <t>HEMANUELE DITZEL (MANU)</t>
        </is>
      </c>
    </row>
    <row r="172">
      <c r="A172" t="n">
        <v>0.276289</v>
      </c>
      <c r="B172" t="inlineStr">
        <is>
          <t>VIDA LEVE</t>
        </is>
      </c>
      <c r="C172" t="inlineStr">
        <is>
          <t>RS</t>
        </is>
      </c>
      <c r="D172" t="n">
        <v>51981272028</v>
      </c>
      <c r="E172" t="inlineStr">
        <is>
          <t>Plano de Negócio</t>
        </is>
      </c>
      <c r="F172" t="inlineStr">
        <is>
          <t>VIDA LEVE</t>
        </is>
      </c>
      <c r="G172" t="inlineStr">
        <is>
          <t>top 200</t>
        </is>
      </c>
      <c r="H172" t="inlineStr">
        <is>
          <t>HEMANUELE DITZEL (MANU)</t>
        </is>
      </c>
    </row>
    <row r="173">
      <c r="A173" t="n">
        <v>0.26225</v>
      </c>
      <c r="B173" t="inlineStr">
        <is>
          <t>FITLAND</t>
        </is>
      </c>
      <c r="C173" t="inlineStr">
        <is>
          <t>SC</t>
        </is>
      </c>
      <c r="D173" t="n">
        <v>48992101077</v>
      </c>
      <c r="E173" t="inlineStr">
        <is>
          <t>Plano de Negócio</t>
        </is>
      </c>
      <c r="F173" t="inlineStr">
        <is>
          <t>FITLAND</t>
        </is>
      </c>
      <c r="G173" t="inlineStr">
        <is>
          <t>top 200</t>
        </is>
      </c>
      <c r="H173" t="inlineStr">
        <is>
          <t>JULIO GADRET</t>
        </is>
      </c>
    </row>
    <row r="174">
      <c r="A174" t="n">
        <v>0.49951</v>
      </c>
      <c r="B174" t="inlineStr">
        <is>
          <t>SEM GRUPO</t>
        </is>
      </c>
      <c r="C174" t="inlineStr">
        <is>
          <t>BA</t>
        </is>
      </c>
      <c r="D174" t="n">
        <v>75981451013</v>
      </c>
      <c r="E174" t="inlineStr">
        <is>
          <t>Plano de Sell Out</t>
        </is>
      </c>
      <c r="F174" t="inlineStr">
        <is>
          <t>SEM REDE</t>
        </is>
      </c>
      <c r="G174" t="inlineStr">
        <is>
          <t>top 200</t>
        </is>
      </c>
      <c r="H174" t="inlineStr">
        <is>
          <t>LARISSA PADILHA</t>
        </is>
      </c>
    </row>
    <row r="175">
      <c r="A175" t="n">
        <v>0.490472</v>
      </c>
      <c r="B175" t="inlineStr">
        <is>
          <t>SEM GRUPO</t>
        </is>
      </c>
      <c r="C175" t="inlineStr">
        <is>
          <t>RJ</t>
        </is>
      </c>
      <c r="D175" t="n">
        <v>2433672385</v>
      </c>
      <c r="E175" t="inlineStr">
        <is>
          <t>Plano de Sell Out</t>
        </is>
      </c>
      <c r="F175" t="inlineStr">
        <is>
          <t>SEM REDE</t>
        </is>
      </c>
      <c r="G175" t="inlineStr">
        <is>
          <t>top 200</t>
        </is>
      </c>
      <c r="H175" t="inlineStr">
        <is>
          <t>LARISSA PADILHA</t>
        </is>
      </c>
    </row>
    <row r="176">
      <c r="A176" t="n">
        <v>0.489254</v>
      </c>
      <c r="B176" t="inlineStr">
        <is>
          <t>SEM GRUPO</t>
        </is>
      </c>
      <c r="C176" t="inlineStr">
        <is>
          <t>RN</t>
        </is>
      </c>
      <c r="D176" t="n">
        <v>84988880400</v>
      </c>
      <c r="E176" t="inlineStr">
        <is>
          <t>Plano de Sell Out</t>
        </is>
      </c>
      <c r="F176" t="inlineStr">
        <is>
          <t>SEM REDE</t>
        </is>
      </c>
      <c r="G176" t="inlineStr">
        <is>
          <t>top 200</t>
        </is>
      </c>
      <c r="H176" t="inlineStr">
        <is>
          <t>LARISSA PADILHA</t>
        </is>
      </c>
    </row>
    <row r="177">
      <c r="A177" t="n">
        <v>0.48469</v>
      </c>
      <c r="B177" t="inlineStr">
        <is>
          <t>SEM GRUPO</t>
        </is>
      </c>
      <c r="C177" t="inlineStr">
        <is>
          <t>SP</t>
        </is>
      </c>
      <c r="D177" t="n">
        <v>18998127959</v>
      </c>
      <c r="E177" t="inlineStr">
        <is>
          <t>Plano de Sell Out</t>
        </is>
      </c>
      <c r="F177" t="inlineStr">
        <is>
          <t>SEM REDE</t>
        </is>
      </c>
      <c r="G177" t="inlineStr">
        <is>
          <t>top 200</t>
        </is>
      </c>
      <c r="H177" t="inlineStr">
        <is>
          <t>LARISSA PADILHA</t>
        </is>
      </c>
    </row>
    <row r="178">
      <c r="A178" t="n">
        <v>0.483727</v>
      </c>
      <c r="B178" t="inlineStr">
        <is>
          <t>SEM GRUPO</t>
        </is>
      </c>
      <c r="C178" t="inlineStr">
        <is>
          <t>GO</t>
        </is>
      </c>
      <c r="D178" t="n">
        <v>6233573862</v>
      </c>
      <c r="E178" t="inlineStr">
        <is>
          <t>Plano de Sell Out</t>
        </is>
      </c>
      <c r="F178" t="inlineStr">
        <is>
          <t>SEM REDE</t>
        </is>
      </c>
      <c r="G178" t="inlineStr">
        <is>
          <t>top 200</t>
        </is>
      </c>
      <c r="H178" t="inlineStr">
        <is>
          <t>LARISSA PADILHA</t>
        </is>
      </c>
    </row>
    <row r="179">
      <c r="A179" t="n">
        <v>0.483483</v>
      </c>
      <c r="B179" t="inlineStr">
        <is>
          <t>SEM GRUPO</t>
        </is>
      </c>
      <c r="C179" t="inlineStr">
        <is>
          <t>PE</t>
        </is>
      </c>
      <c r="D179" t="n">
        <v>8737625659</v>
      </c>
      <c r="E179" t="inlineStr">
        <is>
          <t>Plano de Sell Out</t>
        </is>
      </c>
      <c r="F179" t="inlineStr">
        <is>
          <t>SEM REDE</t>
        </is>
      </c>
      <c r="G179" t="inlineStr">
        <is>
          <t>top 200</t>
        </is>
      </c>
      <c r="H179" t="inlineStr">
        <is>
          <t>LARISSA PADILHA</t>
        </is>
      </c>
    </row>
    <row r="180">
      <c r="A180" t="n">
        <v>0.250148</v>
      </c>
      <c r="B180" t="inlineStr">
        <is>
          <t>FITLAND</t>
        </is>
      </c>
      <c r="C180" t="inlineStr">
        <is>
          <t>SC</t>
        </is>
      </c>
      <c r="D180" t="n">
        <v>4796102611</v>
      </c>
      <c r="E180" t="inlineStr">
        <is>
          <t>Plano de Negócio</t>
        </is>
      </c>
      <c r="F180" t="inlineStr">
        <is>
          <t>FITLAND</t>
        </is>
      </c>
      <c r="G180" t="inlineStr">
        <is>
          <t>top 200</t>
        </is>
      </c>
      <c r="H180" t="inlineStr">
        <is>
          <t>JULIO GADRET</t>
        </is>
      </c>
    </row>
    <row r="181">
      <c r="A181" t="n">
        <v>0.473653</v>
      </c>
      <c r="B181" t="inlineStr">
        <is>
          <t>SEM GRUPO</t>
        </is>
      </c>
      <c r="C181" t="inlineStr">
        <is>
          <t>PR</t>
        </is>
      </c>
      <c r="D181" t="n">
        <v>41991714752</v>
      </c>
      <c r="E181" t="inlineStr">
        <is>
          <t>Plano de Sell Out</t>
        </is>
      </c>
      <c r="F181" t="inlineStr">
        <is>
          <t>SEM REDE</t>
        </is>
      </c>
      <c r="G181" t="inlineStr">
        <is>
          <t>top 200</t>
        </is>
      </c>
      <c r="H181" t="inlineStr">
        <is>
          <t>HEMANUELE DITZEL (MANU)</t>
        </is>
      </c>
    </row>
    <row r="182">
      <c r="A182" t="n">
        <v>0.471398</v>
      </c>
      <c r="B182" t="inlineStr">
        <is>
          <t>SEM GRUPO</t>
        </is>
      </c>
      <c r="C182" t="inlineStr">
        <is>
          <t>SP</t>
        </is>
      </c>
      <c r="D182" t="n">
        <v>17996183126</v>
      </c>
      <c r="E182" t="inlineStr">
        <is>
          <t>Plano de Sell Out</t>
        </is>
      </c>
      <c r="F182" t="inlineStr">
        <is>
          <t>SEM REDE</t>
        </is>
      </c>
      <c r="G182" t="inlineStr">
        <is>
          <t>top 200</t>
        </is>
      </c>
      <c r="H182" t="inlineStr">
        <is>
          <t>LARISSA PADILHA</t>
        </is>
      </c>
    </row>
    <row r="183">
      <c r="A183" t="n">
        <v>0.471222</v>
      </c>
      <c r="B183" t="inlineStr">
        <is>
          <t>SEM GRUPO</t>
        </is>
      </c>
      <c r="C183" t="inlineStr">
        <is>
          <t>SP</t>
        </is>
      </c>
      <c r="D183" t="n">
        <v>1532571511</v>
      </c>
      <c r="E183" t="inlineStr">
        <is>
          <t>Plano de Sell Out</t>
        </is>
      </c>
      <c r="F183" t="inlineStr">
        <is>
          <t>SEM REDE</t>
        </is>
      </c>
      <c r="G183" t="inlineStr">
        <is>
          <t>top 200</t>
        </is>
      </c>
      <c r="H183" t="inlineStr">
        <is>
          <t>LARISSA PADILHA</t>
        </is>
      </c>
    </row>
    <row r="184">
      <c r="A184" t="n">
        <v>0.25625</v>
      </c>
      <c r="B184" t="inlineStr">
        <is>
          <t>VIDA LEVE</t>
        </is>
      </c>
      <c r="C184" t="inlineStr">
        <is>
          <t>BA</t>
        </is>
      </c>
      <c r="D184" t="n">
        <v>71992847946</v>
      </c>
      <c r="E184" t="inlineStr">
        <is>
          <t>Plano de Negócio</t>
        </is>
      </c>
      <c r="F184" t="inlineStr">
        <is>
          <t>VIDA LEVE</t>
        </is>
      </c>
      <c r="G184" t="inlineStr">
        <is>
          <t>top 200</t>
        </is>
      </c>
      <c r="H184" t="inlineStr">
        <is>
          <t>DAIANE STAVICKI</t>
        </is>
      </c>
    </row>
    <row r="185">
      <c r="A185" t="n">
        <v>0.239936</v>
      </c>
      <c r="B185" t="inlineStr">
        <is>
          <t>FITLAND</t>
        </is>
      </c>
      <c r="C185" t="inlineStr">
        <is>
          <t>SC</t>
        </is>
      </c>
      <c r="D185" t="n">
        <v>4791640830</v>
      </c>
      <c r="E185" t="inlineStr">
        <is>
          <t>Plano de Negócio</t>
        </is>
      </c>
      <c r="F185" t="inlineStr">
        <is>
          <t>FITLAND</t>
        </is>
      </c>
      <c r="G185" t="inlineStr">
        <is>
          <t>top 200</t>
        </is>
      </c>
      <c r="H185" t="inlineStr">
        <is>
          <t>JULIO GADRET</t>
        </is>
      </c>
    </row>
    <row r="186">
      <c r="A186" t="n">
        <v>0.457385</v>
      </c>
      <c r="B186" t="inlineStr">
        <is>
          <t>SEM GRUPO</t>
        </is>
      </c>
      <c r="C186" t="inlineStr">
        <is>
          <t>RJ</t>
        </is>
      </c>
      <c r="D186" t="n">
        <v>22999447675</v>
      </c>
      <c r="E186" t="inlineStr">
        <is>
          <t>Plano de Sell Out</t>
        </is>
      </c>
      <c r="F186" t="inlineStr">
        <is>
          <t>SEM REDE</t>
        </is>
      </c>
      <c r="G186" t="inlineStr">
        <is>
          <t>top 200</t>
        </is>
      </c>
      <c r="H186" t="inlineStr">
        <is>
          <t>LARISSA PADILHA</t>
        </is>
      </c>
    </row>
    <row r="187">
      <c r="A187" t="n">
        <v>0.457035</v>
      </c>
      <c r="B187" t="inlineStr">
        <is>
          <t>SEM GRUPO</t>
        </is>
      </c>
      <c r="C187" t="inlineStr">
        <is>
          <t>RO</t>
        </is>
      </c>
      <c r="D187" t="n">
        <v>69984747043</v>
      </c>
      <c r="E187" t="inlineStr">
        <is>
          <t>Plano de Sell Out</t>
        </is>
      </c>
      <c r="F187" t="inlineStr">
        <is>
          <t>SEM REDE</t>
        </is>
      </c>
      <c r="G187" t="inlineStr">
        <is>
          <t>top 200</t>
        </is>
      </c>
      <c r="H187" t="inlineStr">
        <is>
          <t>LARISSA PADILHA</t>
        </is>
      </c>
    </row>
    <row r="188">
      <c r="A188" t="n">
        <v>0.456477</v>
      </c>
      <c r="B188" t="inlineStr">
        <is>
          <t>SEM GRUPO</t>
        </is>
      </c>
      <c r="C188" t="inlineStr">
        <is>
          <t>MG</t>
        </is>
      </c>
      <c r="D188" t="n">
        <v>33999951133</v>
      </c>
      <c r="E188" t="inlineStr">
        <is>
          <t>Plano de Sell Out</t>
        </is>
      </c>
      <c r="F188" t="inlineStr">
        <is>
          <t>SEM REDE</t>
        </is>
      </c>
      <c r="G188" t="inlineStr">
        <is>
          <t>top 200</t>
        </is>
      </c>
      <c r="H188" t="inlineStr">
        <is>
          <t>LARISSA PADILHA</t>
        </is>
      </c>
    </row>
    <row r="189">
      <c r="A189" t="n">
        <v>0.455453</v>
      </c>
      <c r="B189" t="inlineStr">
        <is>
          <t>SEM GRUPO</t>
        </is>
      </c>
      <c r="C189" t="inlineStr">
        <is>
          <t>RJ</t>
        </is>
      </c>
      <c r="D189" t="n">
        <v>22999447675</v>
      </c>
      <c r="E189" t="inlineStr">
        <is>
          <t>Plano de Sell Out</t>
        </is>
      </c>
      <c r="F189" t="inlineStr">
        <is>
          <t>SEM REDE</t>
        </is>
      </c>
      <c r="G189" t="inlineStr">
        <is>
          <t>top 200</t>
        </is>
      </c>
      <c r="H189" t="inlineStr">
        <is>
          <t>LARISSA PADILHA</t>
        </is>
      </c>
    </row>
    <row r="190">
      <c r="A190" t="n">
        <v>0.236756</v>
      </c>
      <c r="B190" t="inlineStr">
        <is>
          <t>FITLAND</t>
        </is>
      </c>
      <c r="C190" t="inlineStr">
        <is>
          <t>SC</t>
        </is>
      </c>
      <c r="D190" t="n">
        <v>4896130715</v>
      </c>
      <c r="E190" t="inlineStr">
        <is>
          <t>Plano de Negócio</t>
        </is>
      </c>
      <c r="F190" t="inlineStr">
        <is>
          <t>FITLAND</t>
        </is>
      </c>
      <c r="G190" t="inlineStr">
        <is>
          <t>top 200</t>
        </is>
      </c>
      <c r="H190" t="inlineStr">
        <is>
          <t>JULIO GADRET</t>
        </is>
      </c>
    </row>
    <row r="191">
      <c r="A191" t="n">
        <v>0.450125</v>
      </c>
      <c r="B191" t="inlineStr">
        <is>
          <t>SEM GRUPO</t>
        </is>
      </c>
      <c r="C191" t="inlineStr">
        <is>
          <t>RJ</t>
        </is>
      </c>
      <c r="D191" t="n">
        <v>22999447675</v>
      </c>
      <c r="E191" t="inlineStr">
        <is>
          <t>Plano de Sell Out</t>
        </is>
      </c>
      <c r="F191" t="inlineStr">
        <is>
          <t>SEM REDE</t>
        </is>
      </c>
      <c r="G191" t="inlineStr">
        <is>
          <t>top 200</t>
        </is>
      </c>
      <c r="H191" t="inlineStr">
        <is>
          <t>LARISSA PADILHA</t>
        </is>
      </c>
    </row>
    <row r="192">
      <c r="A192" t="n">
        <v>0.235144</v>
      </c>
      <c r="B192" t="inlineStr">
        <is>
          <t>FITLAND</t>
        </is>
      </c>
      <c r="C192" t="inlineStr">
        <is>
          <t>SC</t>
        </is>
      </c>
      <c r="D192" t="n">
        <v>4791306999</v>
      </c>
      <c r="E192" t="inlineStr">
        <is>
          <t>Plano de Negócio</t>
        </is>
      </c>
      <c r="F192" t="inlineStr">
        <is>
          <t>FITLAND</t>
        </is>
      </c>
      <c r="G192" t="inlineStr">
        <is>
          <t>top 200</t>
        </is>
      </c>
      <c r="H192" t="inlineStr">
        <is>
          <t>JULIO GADRET</t>
        </is>
      </c>
    </row>
    <row r="193">
      <c r="A193" t="n">
        <v>0.447155</v>
      </c>
      <c r="B193" t="inlineStr">
        <is>
          <t>SEM GRUPO</t>
        </is>
      </c>
      <c r="C193" t="inlineStr">
        <is>
          <t>GO</t>
        </is>
      </c>
      <c r="D193" t="n">
        <v>62985832486</v>
      </c>
      <c r="E193" t="inlineStr">
        <is>
          <t>Plano de Sell Out</t>
        </is>
      </c>
      <c r="F193" t="inlineStr">
        <is>
          <t>SEM REDE</t>
        </is>
      </c>
      <c r="G193" t="inlineStr">
        <is>
          <t>top 200</t>
        </is>
      </c>
      <c r="H193" t="inlineStr">
        <is>
          <t>LARISSA PADILHA</t>
        </is>
      </c>
    </row>
    <row r="194">
      <c r="A194" t="n">
        <v>0.245256</v>
      </c>
      <c r="B194" t="inlineStr">
        <is>
          <t>VIDA LEVE</t>
        </is>
      </c>
      <c r="C194" t="inlineStr">
        <is>
          <t>MA</t>
        </is>
      </c>
      <c r="D194" t="n">
        <v>99984811871</v>
      </c>
      <c r="E194" t="inlineStr">
        <is>
          <t>Plano de Negócio</t>
        </is>
      </c>
      <c r="F194" t="inlineStr">
        <is>
          <t>VIDA LEVE</t>
        </is>
      </c>
      <c r="G194" t="inlineStr">
        <is>
          <t>top 200</t>
        </is>
      </c>
      <c r="H194" t="inlineStr">
        <is>
          <t>DAIANE STAVICKI</t>
        </is>
      </c>
    </row>
    <row r="195">
      <c r="A195" t="n">
        <v>0.445055</v>
      </c>
      <c r="B195" t="inlineStr">
        <is>
          <t>SEM GRUPO</t>
        </is>
      </c>
      <c r="C195" t="inlineStr">
        <is>
          <t>BA</t>
        </is>
      </c>
      <c r="D195" t="n">
        <v>7191418952</v>
      </c>
      <c r="E195" t="inlineStr">
        <is>
          <t>Plano de Sell Out</t>
        </is>
      </c>
      <c r="F195" t="inlineStr">
        <is>
          <t>SEM REDE</t>
        </is>
      </c>
      <c r="G195" t="inlineStr">
        <is>
          <t>top 200</t>
        </is>
      </c>
      <c r="H195" t="inlineStr">
        <is>
          <t>LARISSA PADILHA</t>
        </is>
      </c>
    </row>
    <row r="196">
      <c r="A196" t="n">
        <v>0.444485</v>
      </c>
      <c r="B196" t="inlineStr">
        <is>
          <t>SEM GRUPO</t>
        </is>
      </c>
      <c r="C196" t="inlineStr">
        <is>
          <t>SC</t>
        </is>
      </c>
      <c r="D196" t="n">
        <v>48996248761</v>
      </c>
      <c r="E196" t="inlineStr">
        <is>
          <t>Plano de Sell Out</t>
        </is>
      </c>
      <c r="F196" t="inlineStr">
        <is>
          <t>SEM REDE</t>
        </is>
      </c>
      <c r="G196" t="inlineStr">
        <is>
          <t>top 200</t>
        </is>
      </c>
      <c r="H196" t="inlineStr">
        <is>
          <t>JULIO GADRET</t>
        </is>
      </c>
    </row>
    <row r="197">
      <c r="A197" t="n">
        <v>0.244559</v>
      </c>
      <c r="B197" t="inlineStr">
        <is>
          <t>VIDA LEVE</t>
        </is>
      </c>
      <c r="C197" t="inlineStr">
        <is>
          <t>MA</t>
        </is>
      </c>
      <c r="D197" t="n">
        <v>9899756315</v>
      </c>
      <c r="E197" t="inlineStr">
        <is>
          <t>Plano de Negócio</t>
        </is>
      </c>
      <c r="F197" t="inlineStr">
        <is>
          <t>VIDA LEVE</t>
        </is>
      </c>
      <c r="G197" t="inlineStr">
        <is>
          <t>top 200</t>
        </is>
      </c>
      <c r="H197" t="inlineStr">
        <is>
          <t>DAIANE STAVICKI</t>
        </is>
      </c>
    </row>
    <row r="198">
      <c r="A198" t="n">
        <v>0.43759</v>
      </c>
      <c r="B198" t="inlineStr">
        <is>
          <t>SEM GRUPO</t>
        </is>
      </c>
      <c r="C198" t="inlineStr">
        <is>
          <t>RS</t>
        </is>
      </c>
      <c r="D198" t="n">
        <v>5130858673</v>
      </c>
      <c r="E198" t="inlineStr">
        <is>
          <t>Plano de Sell Out</t>
        </is>
      </c>
      <c r="F198" t="inlineStr">
        <is>
          <t>SEM REDE</t>
        </is>
      </c>
      <c r="G198" t="inlineStr">
        <is>
          <t>top 200</t>
        </is>
      </c>
      <c r="H198" t="inlineStr">
        <is>
          <t>HEMANUELE DITZEL (MANU)</t>
        </is>
      </c>
    </row>
    <row r="199">
      <c r="A199" t="n">
        <v>0.435883</v>
      </c>
      <c r="B199" t="inlineStr">
        <is>
          <t>SEM GRUPO</t>
        </is>
      </c>
      <c r="C199" t="inlineStr">
        <is>
          <t>SC</t>
        </is>
      </c>
      <c r="D199" t="n">
        <v>4733742937</v>
      </c>
      <c r="E199" t="inlineStr">
        <is>
          <t>Plano de Sell Out</t>
        </is>
      </c>
      <c r="F199" t="inlineStr">
        <is>
          <t>SEM REDE</t>
        </is>
      </c>
      <c r="G199" t="inlineStr">
        <is>
          <t>top 200</t>
        </is>
      </c>
      <c r="H199" t="inlineStr">
        <is>
          <t>HEMANUELE DITZEL (MANU)</t>
        </is>
      </c>
    </row>
    <row r="200">
      <c r="A200" t="n">
        <v>0.234245</v>
      </c>
      <c r="B200" t="inlineStr">
        <is>
          <t>VIDA LEVE</t>
        </is>
      </c>
      <c r="C200" t="inlineStr">
        <is>
          <t>MG</t>
        </is>
      </c>
      <c r="D200" t="n">
        <v>31983121817</v>
      </c>
      <c r="E200" t="inlineStr">
        <is>
          <t>Plano de Negócio</t>
        </is>
      </c>
      <c r="F200" t="inlineStr">
        <is>
          <t>VIDA LEVE</t>
        </is>
      </c>
      <c r="G200" t="inlineStr">
        <is>
          <t>top 200</t>
        </is>
      </c>
      <c r="H200" t="inlineStr">
        <is>
          <t>DAIANE STAVICKI</t>
        </is>
      </c>
    </row>
    <row r="201">
      <c r="A201" t="n">
        <v>0.222889</v>
      </c>
      <c r="B201" t="inlineStr">
        <is>
          <t>FITLAND</t>
        </is>
      </c>
      <c r="C201" t="inlineStr">
        <is>
          <t>PR</t>
        </is>
      </c>
      <c r="D201" t="n">
        <v>4432325260</v>
      </c>
      <c r="E201" t="inlineStr">
        <is>
          <t>Plano de Negócio</t>
        </is>
      </c>
      <c r="F201" t="inlineStr">
        <is>
          <t>FITLAND</t>
        </is>
      </c>
      <c r="G201" t="inlineStr">
        <is>
          <t>top 200</t>
        </is>
      </c>
      <c r="H201" t="inlineStr">
        <is>
          <t>JULIO GADRET</t>
        </is>
      </c>
    </row>
    <row r="202">
      <c r="A202" t="n">
        <v>0.421529</v>
      </c>
      <c r="B202" t="inlineStr">
        <is>
          <t>SEM GRUPO</t>
        </is>
      </c>
      <c r="C202" t="inlineStr">
        <is>
          <t>BA</t>
        </is>
      </c>
      <c r="D202" t="n">
        <v>7591750757</v>
      </c>
      <c r="E202" t="inlineStr">
        <is>
          <t>Plano de Sell Out</t>
        </is>
      </c>
      <c r="F202" t="inlineStr">
        <is>
          <t>SEM REDE</t>
        </is>
      </c>
      <c r="G202" t="inlineStr">
        <is>
          <t>top 300</t>
        </is>
      </c>
      <c r="H202" t="inlineStr">
        <is>
          <t>LARISSA PADILHA</t>
        </is>
      </c>
    </row>
    <row r="203">
      <c r="A203" t="n">
        <v>0.420773</v>
      </c>
      <c r="B203" t="inlineStr">
        <is>
          <t>SEM GRUPO</t>
        </is>
      </c>
      <c r="C203" t="inlineStr">
        <is>
          <t>SC</t>
        </is>
      </c>
      <c r="D203" t="n">
        <v>4896543563</v>
      </c>
      <c r="E203" t="inlineStr">
        <is>
          <t>Plano de Sell Out</t>
        </is>
      </c>
      <c r="F203" t="inlineStr">
        <is>
          <t>SEM REDE</t>
        </is>
      </c>
      <c r="G203" t="inlineStr">
        <is>
          <t>top 300</t>
        </is>
      </c>
      <c r="H203" t="inlineStr">
        <is>
          <t>HEMANUELE DITZEL (MANU)</t>
        </is>
      </c>
    </row>
    <row r="204">
      <c r="A204" t="n">
        <v>0.219965</v>
      </c>
      <c r="B204" t="inlineStr">
        <is>
          <t>FITLAND</t>
        </is>
      </c>
      <c r="C204" t="inlineStr">
        <is>
          <t>SC</t>
        </is>
      </c>
      <c r="D204" t="n">
        <v>4891860681</v>
      </c>
      <c r="E204" t="inlineStr">
        <is>
          <t>Plano de Negócio</t>
        </is>
      </c>
      <c r="F204" t="inlineStr">
        <is>
          <t>FITLAND</t>
        </is>
      </c>
      <c r="G204" t="inlineStr">
        <is>
          <t>top 300</t>
        </is>
      </c>
      <c r="H204" t="inlineStr">
        <is>
          <t>JULIO GADRET</t>
        </is>
      </c>
    </row>
    <row r="205">
      <c r="A205" t="n">
        <v>0.417907</v>
      </c>
      <c r="B205" t="inlineStr">
        <is>
          <t>SEM GRUPO</t>
        </is>
      </c>
      <c r="C205" t="inlineStr">
        <is>
          <t>SC</t>
        </is>
      </c>
      <c r="D205" t="n">
        <v>48996248761</v>
      </c>
      <c r="E205" t="inlineStr">
        <is>
          <t>Plano de Sell Out</t>
        </is>
      </c>
      <c r="F205" t="inlineStr">
        <is>
          <t>SEM REDE</t>
        </is>
      </c>
      <c r="G205" t="inlineStr">
        <is>
          <t>top 300</t>
        </is>
      </c>
      <c r="H205" t="inlineStr">
        <is>
          <t>JULIO GADRET</t>
        </is>
      </c>
    </row>
    <row r="206">
      <c r="A206" t="n">
        <v>0.416037</v>
      </c>
      <c r="B206" t="inlineStr">
        <is>
          <t>SEM GRUPO</t>
        </is>
      </c>
      <c r="C206" t="inlineStr">
        <is>
          <t>SP</t>
        </is>
      </c>
      <c r="D206" t="n">
        <v>1150528475</v>
      </c>
      <c r="E206" t="inlineStr">
        <is>
          <t>Plano de Sell Out</t>
        </is>
      </c>
      <c r="F206" t="inlineStr">
        <is>
          <t>SEM REDE</t>
        </is>
      </c>
      <c r="G206" t="inlineStr">
        <is>
          <t>top 300</t>
        </is>
      </c>
      <c r="H206" t="inlineStr">
        <is>
          <t>LARISSA PADILHA</t>
        </is>
      </c>
    </row>
    <row r="207">
      <c r="A207" t="n">
        <v>0.218045</v>
      </c>
      <c r="B207" t="inlineStr">
        <is>
          <t>FITLAND</t>
        </is>
      </c>
      <c r="C207" t="inlineStr">
        <is>
          <t>SC</t>
        </is>
      </c>
      <c r="D207" t="n">
        <v>48999312352</v>
      </c>
      <c r="E207" t="inlineStr">
        <is>
          <t>Plano de Negócio</t>
        </is>
      </c>
      <c r="F207" t="inlineStr">
        <is>
          <t>FITLAND</t>
        </is>
      </c>
      <c r="G207" t="inlineStr">
        <is>
          <t>top 300</t>
        </is>
      </c>
      <c r="H207" t="inlineStr">
        <is>
          <t>JULIO GADRET</t>
        </is>
      </c>
    </row>
    <row r="208">
      <c r="A208" t="n">
        <v>0.411105</v>
      </c>
      <c r="B208" t="inlineStr">
        <is>
          <t>SEM GRUPO</t>
        </is>
      </c>
      <c r="C208" t="inlineStr">
        <is>
          <t>MA</t>
        </is>
      </c>
      <c r="D208" t="n">
        <v>9884597339</v>
      </c>
      <c r="E208" t="inlineStr">
        <is>
          <t>Plano de Sell Out</t>
        </is>
      </c>
      <c r="F208" t="inlineStr">
        <is>
          <t>SEM REDE</t>
        </is>
      </c>
      <c r="G208" t="inlineStr">
        <is>
          <t>top 300</t>
        </is>
      </c>
      <c r="H208" t="inlineStr">
        <is>
          <t>LARISSA PADILHA</t>
        </is>
      </c>
    </row>
    <row r="209">
      <c r="A209" t="n">
        <v>0.410343</v>
      </c>
      <c r="B209" t="inlineStr">
        <is>
          <t>SEM GRUPO</t>
        </is>
      </c>
      <c r="C209" t="inlineStr">
        <is>
          <t>SC</t>
        </is>
      </c>
      <c r="D209" t="n">
        <v>47984326298</v>
      </c>
      <c r="E209" t="inlineStr">
        <is>
          <t>Plano de Sell Out</t>
        </is>
      </c>
      <c r="F209" t="inlineStr">
        <is>
          <t>SEM REDE</t>
        </is>
      </c>
      <c r="G209" t="inlineStr">
        <is>
          <t>top 300</t>
        </is>
      </c>
      <c r="H209" t="inlineStr">
        <is>
          <t>JULIO GADRET</t>
        </is>
      </c>
    </row>
    <row r="210">
      <c r="A210" t="n">
        <v>0.410314</v>
      </c>
      <c r="B210" t="inlineStr">
        <is>
          <t>SEM GRUPO</t>
        </is>
      </c>
      <c r="C210" t="inlineStr">
        <is>
          <t>MG</t>
        </is>
      </c>
      <c r="D210" t="n">
        <v>3196946667</v>
      </c>
      <c r="E210" t="inlineStr">
        <is>
          <t>Plano de Sell Out</t>
        </is>
      </c>
      <c r="F210" t="inlineStr">
        <is>
          <t>SEM REDE</t>
        </is>
      </c>
      <c r="G210" t="inlineStr">
        <is>
          <t>top 300</t>
        </is>
      </c>
      <c r="H210" t="inlineStr">
        <is>
          <t>LARISSA PADILHA</t>
        </is>
      </c>
    </row>
    <row r="211">
      <c r="A211" t="n">
        <v>0.409936</v>
      </c>
      <c r="B211" t="inlineStr">
        <is>
          <t>SEM GRUPO</t>
        </is>
      </c>
      <c r="C211" t="inlineStr">
        <is>
          <t>SC</t>
        </is>
      </c>
      <c r="D211" t="n">
        <v>4797583831</v>
      </c>
      <c r="E211" t="inlineStr">
        <is>
          <t>Plano de Sell Out</t>
        </is>
      </c>
      <c r="F211" t="inlineStr">
        <is>
          <t>SEM REDE</t>
        </is>
      </c>
      <c r="G211" t="inlineStr">
        <is>
          <t>top 300</t>
        </is>
      </c>
      <c r="H211" t="inlineStr">
        <is>
          <t>HEMANUELE DITZEL (MANU)</t>
        </is>
      </c>
    </row>
    <row r="212">
      <c r="A212" t="n">
        <v>0.406329</v>
      </c>
      <c r="B212" t="inlineStr">
        <is>
          <t>SEM GRUPO</t>
        </is>
      </c>
      <c r="C212" t="inlineStr">
        <is>
          <t>SC</t>
        </is>
      </c>
      <c r="D212" t="n">
        <v>4832693010</v>
      </c>
      <c r="E212" t="inlineStr">
        <is>
          <t>Plano de Sell Out</t>
        </is>
      </c>
      <c r="F212" t="inlineStr">
        <is>
          <t>SEM REDE</t>
        </is>
      </c>
      <c r="G212" t="inlineStr">
        <is>
          <t>top 300</t>
        </is>
      </c>
      <c r="H212" t="inlineStr">
        <is>
          <t>JULIO GADRET</t>
        </is>
      </c>
    </row>
    <row r="213">
      <c r="A213" t="n">
        <v>0.405445</v>
      </c>
      <c r="B213" t="inlineStr">
        <is>
          <t>SEM GRUPO</t>
        </is>
      </c>
      <c r="C213" t="inlineStr">
        <is>
          <t>SC</t>
        </is>
      </c>
      <c r="D213" t="n">
        <v>4999195902</v>
      </c>
      <c r="E213" t="inlineStr">
        <is>
          <t>Plano de Sell Out</t>
        </is>
      </c>
      <c r="F213" t="inlineStr">
        <is>
          <t>SEM REDE</t>
        </is>
      </c>
      <c r="G213" t="inlineStr">
        <is>
          <t>top 300</t>
        </is>
      </c>
      <c r="H213" t="inlineStr">
        <is>
          <t>HEMANUELE DITZEL (MANU)</t>
        </is>
      </c>
    </row>
    <row r="214">
      <c r="A214" t="n">
        <v>0.404213</v>
      </c>
      <c r="B214" t="inlineStr">
        <is>
          <t>SEM GRUPO</t>
        </is>
      </c>
      <c r="C214" t="inlineStr">
        <is>
          <t>PR</t>
        </is>
      </c>
      <c r="D214" t="n">
        <v>41991736973</v>
      </c>
      <c r="E214" t="inlineStr">
        <is>
          <t>Plano de Sell Out</t>
        </is>
      </c>
      <c r="F214" t="inlineStr">
        <is>
          <t>SEM REDE</t>
        </is>
      </c>
      <c r="G214" t="inlineStr">
        <is>
          <t>top 300</t>
        </is>
      </c>
      <c r="H214" t="inlineStr">
        <is>
          <t>HEMANUELE DITZEL (MANU)</t>
        </is>
      </c>
    </row>
    <row r="215">
      <c r="A215" t="n">
        <v>0.402632</v>
      </c>
      <c r="B215" t="inlineStr">
        <is>
          <t>SEM GRUPO</t>
        </is>
      </c>
      <c r="C215" t="inlineStr">
        <is>
          <t>SC</t>
        </is>
      </c>
      <c r="D215" t="n">
        <v>4896543563</v>
      </c>
      <c r="E215" t="inlineStr">
        <is>
          <t>Plano de Sell Out</t>
        </is>
      </c>
      <c r="F215" t="inlineStr">
        <is>
          <t>SEM REDE</t>
        </is>
      </c>
      <c r="G215" t="inlineStr">
        <is>
          <t>top 300</t>
        </is>
      </c>
      <c r="H215" t="inlineStr">
        <is>
          <t>HEMANUELE DITZEL (MANU)</t>
        </is>
      </c>
    </row>
    <row r="216">
      <c r="A216" t="n">
        <v>0.210672</v>
      </c>
      <c r="B216" t="inlineStr">
        <is>
          <t>FITLAND</t>
        </is>
      </c>
      <c r="C216" t="inlineStr">
        <is>
          <t>SC</t>
        </is>
      </c>
      <c r="D216" t="n">
        <v>47988910411</v>
      </c>
      <c r="E216" t="inlineStr">
        <is>
          <t>Plano de Negócio</t>
        </is>
      </c>
      <c r="F216" t="inlineStr">
        <is>
          <t>FITLAND</t>
        </is>
      </c>
      <c r="G216" t="inlineStr">
        <is>
          <t>top 300</t>
        </is>
      </c>
      <c r="H216" t="inlineStr">
        <is>
          <t>JULIO GADRET</t>
        </is>
      </c>
    </row>
    <row r="217">
      <c r="A217" t="n">
        <v>0.391402</v>
      </c>
      <c r="B217" t="inlineStr">
        <is>
          <t>SEM GRUPO</t>
        </is>
      </c>
      <c r="C217" t="inlineStr">
        <is>
          <t>RJ</t>
        </is>
      </c>
      <c r="D217" t="n">
        <v>21999960666</v>
      </c>
      <c r="E217" t="inlineStr">
        <is>
          <t>Plano de Negócio</t>
        </is>
      </c>
      <c r="F217" t="inlineStr">
        <is>
          <t>SEM REDE</t>
        </is>
      </c>
      <c r="G217" t="inlineStr">
        <is>
          <t>top 300</t>
        </is>
      </c>
      <c r="H217" t="inlineStr">
        <is>
          <t>LARISSA PADILHA</t>
        </is>
      </c>
    </row>
    <row r="218">
      <c r="A218" t="n">
        <v>0.388754</v>
      </c>
      <c r="B218" t="inlineStr">
        <is>
          <t>SEM GRUPO</t>
        </is>
      </c>
      <c r="C218" t="inlineStr">
        <is>
          <t>SP</t>
        </is>
      </c>
      <c r="D218" t="n">
        <v>12981991010</v>
      </c>
      <c r="E218" t="inlineStr">
        <is>
          <t>Plano de Negócio</t>
        </is>
      </c>
      <c r="F218" t="inlineStr">
        <is>
          <t>SEM REDE</t>
        </is>
      </c>
      <c r="G218" t="inlineStr">
        <is>
          <t>top 300</t>
        </is>
      </c>
      <c r="H218" t="inlineStr">
        <is>
          <t>LARISSA PADILHA</t>
        </is>
      </c>
    </row>
    <row r="219">
      <c r="A219" t="n">
        <v>0.384272</v>
      </c>
      <c r="B219" t="inlineStr">
        <is>
          <t>SEM GRUPO</t>
        </is>
      </c>
      <c r="C219" t="inlineStr">
        <is>
          <t>PR</t>
        </is>
      </c>
      <c r="D219" t="n">
        <v>4199156234</v>
      </c>
      <c r="E219" t="inlineStr">
        <is>
          <t>Plano de Negócio</t>
        </is>
      </c>
      <c r="F219" t="inlineStr">
        <is>
          <t>SEM REDE</t>
        </is>
      </c>
      <c r="G219" t="inlineStr">
        <is>
          <t>top 300</t>
        </is>
      </c>
      <c r="H219" t="inlineStr">
        <is>
          <t>HEMANUELE DITZEL (MANU)</t>
        </is>
      </c>
    </row>
    <row r="220">
      <c r="A220" t="n">
        <v>0.384151</v>
      </c>
      <c r="B220" t="inlineStr">
        <is>
          <t>SEM GRUPO</t>
        </is>
      </c>
      <c r="C220" t="inlineStr">
        <is>
          <t>RS</t>
        </is>
      </c>
      <c r="D220" t="n">
        <v>51992788413</v>
      </c>
      <c r="E220" t="inlineStr">
        <is>
          <t>Plano de Negócio</t>
        </is>
      </c>
      <c r="F220" t="inlineStr">
        <is>
          <t>SEM REDE</t>
        </is>
      </c>
      <c r="G220" t="inlineStr">
        <is>
          <t>top 300</t>
        </is>
      </c>
      <c r="H220" t="inlineStr">
        <is>
          <t>HEMANUELE DITZEL (MANU)</t>
        </is>
      </c>
    </row>
    <row r="221">
      <c r="A221" t="n">
        <v>0.381604</v>
      </c>
      <c r="B221" t="inlineStr">
        <is>
          <t>SEM GRUPO</t>
        </is>
      </c>
      <c r="C221" t="inlineStr">
        <is>
          <t>PR</t>
        </is>
      </c>
      <c r="D221" t="n">
        <v>4626011782</v>
      </c>
      <c r="E221" t="inlineStr">
        <is>
          <t>Plano de Negócio</t>
        </is>
      </c>
      <c r="F221" t="inlineStr">
        <is>
          <t>SEM REDE</t>
        </is>
      </c>
      <c r="G221" t="inlineStr">
        <is>
          <t>top 300</t>
        </is>
      </c>
      <c r="H221" t="inlineStr">
        <is>
          <t>HEMANUELE DITZEL (MANU)</t>
        </is>
      </c>
    </row>
    <row r="222">
      <c r="A222" t="n">
        <v>0.381554</v>
      </c>
      <c r="B222" t="inlineStr">
        <is>
          <t>SEM GRUPO</t>
        </is>
      </c>
      <c r="C222" t="inlineStr">
        <is>
          <t>SP</t>
        </is>
      </c>
      <c r="D222" t="n">
        <v>1991597034</v>
      </c>
      <c r="E222" t="inlineStr">
        <is>
          <t>Plano de Negócio</t>
        </is>
      </c>
      <c r="F222" t="inlineStr">
        <is>
          <t>SEM REDE</t>
        </is>
      </c>
      <c r="G222" t="inlineStr">
        <is>
          <t>top 300</t>
        </is>
      </c>
      <c r="H222" t="inlineStr">
        <is>
          <t>LARISSA PADILHA</t>
        </is>
      </c>
    </row>
    <row r="223">
      <c r="A223" t="n">
        <v>0.207823</v>
      </c>
      <c r="B223" t="inlineStr">
        <is>
          <t>VIDA LEVE</t>
        </is>
      </c>
      <c r="C223" t="inlineStr">
        <is>
          <t>SP</t>
        </is>
      </c>
      <c r="D223" t="n">
        <v>17996133737</v>
      </c>
      <c r="E223" t="inlineStr">
        <is>
          <t>Plano de Negócio</t>
        </is>
      </c>
      <c r="F223" t="inlineStr">
        <is>
          <t>VIDA LEVE</t>
        </is>
      </c>
      <c r="G223" t="inlineStr">
        <is>
          <t>top 300</t>
        </is>
      </c>
      <c r="H223" t="inlineStr">
        <is>
          <t>HEMANUELE DITZEL (MANU)</t>
        </is>
      </c>
    </row>
    <row r="224">
      <c r="A224" t="n">
        <v>0.376102</v>
      </c>
      <c r="B224" t="inlineStr">
        <is>
          <t>SEM GRUPO</t>
        </is>
      </c>
      <c r="C224" t="inlineStr">
        <is>
          <t>SC</t>
        </is>
      </c>
      <c r="D224" t="n">
        <v>4799780533</v>
      </c>
      <c r="E224" t="inlineStr">
        <is>
          <t>Plano de Negócio</t>
        </is>
      </c>
      <c r="F224" t="inlineStr">
        <is>
          <t>SEM REDE</t>
        </is>
      </c>
      <c r="G224" t="inlineStr">
        <is>
          <t>top 300</t>
        </is>
      </c>
      <c r="H224" t="inlineStr">
        <is>
          <t>HEMANUELE DITZEL (MANU)</t>
        </is>
      </c>
    </row>
    <row r="225">
      <c r="A225" t="n">
        <v>0.375184</v>
      </c>
      <c r="B225" t="inlineStr">
        <is>
          <t>SEM GRUPO</t>
        </is>
      </c>
      <c r="C225" t="inlineStr">
        <is>
          <t>SP</t>
        </is>
      </c>
      <c r="D225" t="n">
        <v>11933580088</v>
      </c>
      <c r="E225" t="inlineStr">
        <is>
          <t>Plano de Negócio</t>
        </is>
      </c>
      <c r="F225" t="inlineStr">
        <is>
          <t>SEM REDE</t>
        </is>
      </c>
      <c r="G225" t="inlineStr">
        <is>
          <t>top 300</t>
        </is>
      </c>
      <c r="H225" t="inlineStr">
        <is>
          <t>LARISSA PADILHA</t>
        </is>
      </c>
    </row>
    <row r="226">
      <c r="A226" t="n">
        <v>0.368936</v>
      </c>
      <c r="B226" t="inlineStr">
        <is>
          <t>SEM GRUPO</t>
        </is>
      </c>
      <c r="C226" t="inlineStr">
        <is>
          <t>SC</t>
        </is>
      </c>
      <c r="D226" t="n">
        <v>4999044309</v>
      </c>
      <c r="E226" t="inlineStr">
        <is>
          <t>Plano de Negócio</t>
        </is>
      </c>
      <c r="F226" t="inlineStr">
        <is>
          <t>SEM REDE</t>
        </is>
      </c>
      <c r="G226" t="inlineStr">
        <is>
          <t>top 300</t>
        </is>
      </c>
      <c r="H226" t="inlineStr">
        <is>
          <t>HEMANUELE DITZEL (MANU)</t>
        </is>
      </c>
    </row>
    <row r="227">
      <c r="A227" t="n">
        <v>0.368857</v>
      </c>
      <c r="B227" t="inlineStr">
        <is>
          <t>SEM GRUPO</t>
        </is>
      </c>
      <c r="C227" t="inlineStr">
        <is>
          <t>SC</t>
        </is>
      </c>
      <c r="D227" t="n">
        <v>47996379456</v>
      </c>
      <c r="E227" t="inlineStr">
        <is>
          <t>Plano de Negócio</t>
        </is>
      </c>
      <c r="F227" t="inlineStr">
        <is>
          <t>SEM REDE</t>
        </is>
      </c>
      <c r="G227" t="inlineStr">
        <is>
          <t>top 300</t>
        </is>
      </c>
      <c r="H227" t="inlineStr">
        <is>
          <t>HEMANUELE DITZEL (MANU)</t>
        </is>
      </c>
    </row>
    <row r="228">
      <c r="A228" t="n">
        <v>0.193318</v>
      </c>
      <c r="B228" t="inlineStr">
        <is>
          <t>FITLAND</t>
        </is>
      </c>
      <c r="C228" t="inlineStr">
        <is>
          <t>SC</t>
        </is>
      </c>
      <c r="D228" t="n">
        <v>48999320410</v>
      </c>
      <c r="E228" t="inlineStr">
        <is>
          <t>Plano de Negócio</t>
        </is>
      </c>
      <c r="F228" t="inlineStr">
        <is>
          <t>FITLAND</t>
        </is>
      </c>
      <c r="G228" t="inlineStr">
        <is>
          <t>top 300</t>
        </is>
      </c>
      <c r="H228" t="inlineStr">
        <is>
          <t>JULIO GADRET</t>
        </is>
      </c>
    </row>
    <row r="229">
      <c r="A229" t="n">
        <v>0.367267</v>
      </c>
      <c r="B229" t="inlineStr">
        <is>
          <t>SEM GRUPO</t>
        </is>
      </c>
      <c r="C229" t="inlineStr">
        <is>
          <t>SC</t>
        </is>
      </c>
      <c r="D229" t="n">
        <v>4899481178</v>
      </c>
      <c r="E229" t="inlineStr">
        <is>
          <t>Plano de Negócio</t>
        </is>
      </c>
      <c r="F229" t="inlineStr">
        <is>
          <t>SEM REDE</t>
        </is>
      </c>
      <c r="G229" t="inlineStr">
        <is>
          <t>top 300</t>
        </is>
      </c>
      <c r="H229" t="inlineStr">
        <is>
          <t>HEMANUELE DITZEL (MANU)</t>
        </is>
      </c>
    </row>
    <row r="230">
      <c r="A230" t="n">
        <v>0.367119</v>
      </c>
      <c r="B230" t="inlineStr">
        <is>
          <t>SEM GRUPO</t>
        </is>
      </c>
      <c r="C230" t="inlineStr">
        <is>
          <t>SP</t>
        </is>
      </c>
      <c r="D230" t="n">
        <v>14999082203</v>
      </c>
      <c r="E230" t="inlineStr">
        <is>
          <t>Plano de Negócio</t>
        </is>
      </c>
      <c r="F230" t="inlineStr">
        <is>
          <t>SEM REDE</t>
        </is>
      </c>
      <c r="G230" t="inlineStr">
        <is>
          <t>top 300</t>
        </is>
      </c>
      <c r="H230" t="inlineStr">
        <is>
          <t>LARISSA PADILHA</t>
        </is>
      </c>
    </row>
    <row r="231">
      <c r="A231" t="n">
        <v>0.364455</v>
      </c>
      <c r="B231" t="inlineStr">
        <is>
          <t>SEM GRUPO</t>
        </is>
      </c>
      <c r="C231" t="inlineStr">
        <is>
          <t>MA</t>
        </is>
      </c>
      <c r="D231" t="n">
        <v>98992181903</v>
      </c>
      <c r="E231" t="inlineStr">
        <is>
          <t>Plano de Negócio</t>
        </is>
      </c>
      <c r="F231" t="inlineStr">
        <is>
          <t>SEM REDE</t>
        </is>
      </c>
      <c r="G231" t="inlineStr">
        <is>
          <t>top 300</t>
        </is>
      </c>
      <c r="H231" t="inlineStr">
        <is>
          <t>LARISSA PADILHA</t>
        </is>
      </c>
    </row>
    <row r="232">
      <c r="A232" t="n">
        <v>0.362228</v>
      </c>
      <c r="B232" t="inlineStr">
        <is>
          <t>SEM GRUPO</t>
        </is>
      </c>
      <c r="C232" t="inlineStr">
        <is>
          <t>PR</t>
        </is>
      </c>
      <c r="D232" t="n">
        <v>4133693610</v>
      </c>
      <c r="E232" t="inlineStr">
        <is>
          <t>Plano de Negócio</t>
        </is>
      </c>
      <c r="F232" t="inlineStr">
        <is>
          <t>SEM REDE</t>
        </is>
      </c>
      <c r="G232" t="inlineStr">
        <is>
          <t>top 300</t>
        </is>
      </c>
      <c r="H232" t="inlineStr">
        <is>
          <t>HEMANUELE DITZEL (MANU)</t>
        </is>
      </c>
    </row>
    <row r="233">
      <c r="A233" t="n">
        <v>0.361921</v>
      </c>
      <c r="B233" t="inlineStr">
        <is>
          <t>SEM GRUPO</t>
        </is>
      </c>
      <c r="C233" t="inlineStr">
        <is>
          <t>MG</t>
        </is>
      </c>
      <c r="D233" t="n">
        <v>31985937048</v>
      </c>
      <c r="E233" t="inlineStr">
        <is>
          <t>Plano de Negócio</t>
        </is>
      </c>
      <c r="F233" t="inlineStr">
        <is>
          <t>SEM REDE</t>
        </is>
      </c>
      <c r="G233" t="inlineStr">
        <is>
          <t>top 300</t>
        </is>
      </c>
      <c r="H233" t="inlineStr">
        <is>
          <t>LARISSA PADILHA</t>
        </is>
      </c>
    </row>
    <row r="234">
      <c r="A234" t="n">
        <v>0.361602</v>
      </c>
      <c r="B234" t="inlineStr">
        <is>
          <t>SEM GRUPO</t>
        </is>
      </c>
      <c r="C234" t="inlineStr">
        <is>
          <t>PR</t>
        </is>
      </c>
      <c r="D234" t="n">
        <v>4391970746</v>
      </c>
      <c r="E234" t="inlineStr">
        <is>
          <t>Plano de Negócio</t>
        </is>
      </c>
      <c r="F234" t="inlineStr">
        <is>
          <t>SEM REDE</t>
        </is>
      </c>
      <c r="G234" t="inlineStr">
        <is>
          <t>top 300</t>
        </is>
      </c>
      <c r="H234" t="inlineStr">
        <is>
          <t>HEMANUELE DITZEL (MANU)</t>
        </is>
      </c>
    </row>
    <row r="235">
      <c r="A235" t="n">
        <v>0.186165</v>
      </c>
      <c r="B235" t="inlineStr">
        <is>
          <t>CIA DA SAUDE</t>
        </is>
      </c>
      <c r="C235" t="inlineStr">
        <is>
          <t>SC</t>
        </is>
      </c>
      <c r="D235" t="n">
        <v>47988041731</v>
      </c>
      <c r="E235" t="inlineStr">
        <is>
          <t>Plano de Negócio</t>
        </is>
      </c>
      <c r="F235" t="inlineStr">
        <is>
          <t>CIA DA SAUDE</t>
        </is>
      </c>
      <c r="G235" t="inlineStr">
        <is>
          <t>top 300</t>
        </is>
      </c>
      <c r="H235" t="inlineStr">
        <is>
          <t>JULIO GADRET</t>
        </is>
      </c>
    </row>
    <row r="236">
      <c r="A236" t="n">
        <v>0.358921</v>
      </c>
      <c r="B236" t="inlineStr">
        <is>
          <t>SEM GRUPO</t>
        </is>
      </c>
      <c r="C236" t="inlineStr">
        <is>
          <t>SP</t>
        </is>
      </c>
      <c r="D236" t="n">
        <v>11996548328</v>
      </c>
      <c r="E236" t="inlineStr">
        <is>
          <t>Plano de Negócio</t>
        </is>
      </c>
      <c r="F236" t="inlineStr">
        <is>
          <t>SEM REDE</t>
        </is>
      </c>
      <c r="G236" t="inlineStr">
        <is>
          <t>top 300</t>
        </is>
      </c>
      <c r="H236" t="inlineStr">
        <is>
          <t>LARISSA PADILHA</t>
        </is>
      </c>
    </row>
    <row r="237">
      <c r="A237" t="n">
        <v>0.358908</v>
      </c>
      <c r="B237" t="inlineStr">
        <is>
          <t>SEM GRUPO</t>
        </is>
      </c>
      <c r="C237" t="inlineStr">
        <is>
          <t>SP</t>
        </is>
      </c>
      <c r="D237" t="n">
        <v>16996100364</v>
      </c>
      <c r="E237" t="inlineStr">
        <is>
          <t>Plano de Negócio</t>
        </is>
      </c>
      <c r="F237" t="inlineStr">
        <is>
          <t>SEM REDE</t>
        </is>
      </c>
      <c r="G237" t="inlineStr">
        <is>
          <t>top 300</t>
        </is>
      </c>
      <c r="H237" t="inlineStr">
        <is>
          <t>HEMANUELE DITZEL (MANU)</t>
        </is>
      </c>
    </row>
    <row r="238">
      <c r="A238" t="n">
        <v>0.352002</v>
      </c>
      <c r="B238" t="inlineStr">
        <is>
          <t>SEM GRUPO</t>
        </is>
      </c>
      <c r="C238" t="inlineStr">
        <is>
          <t>RJ</t>
        </is>
      </c>
      <c r="D238" t="n">
        <v>21997156179</v>
      </c>
      <c r="E238" t="inlineStr">
        <is>
          <t>Plano de Negócio</t>
        </is>
      </c>
      <c r="F238" t="inlineStr">
        <is>
          <t>SEM REDE</t>
        </is>
      </c>
      <c r="G238" t="inlineStr">
        <is>
          <t>top 300</t>
        </is>
      </c>
      <c r="H238" t="inlineStr">
        <is>
          <t>LARISSA PADILHA</t>
        </is>
      </c>
    </row>
    <row r="239">
      <c r="A239" t="n">
        <v>0.193531</v>
      </c>
      <c r="B239" t="inlineStr">
        <is>
          <t>VIDA LEVE</t>
        </is>
      </c>
      <c r="C239" t="inlineStr">
        <is>
          <t>PR</t>
        </is>
      </c>
      <c r="D239" t="n">
        <v>17992091540</v>
      </c>
      <c r="E239" t="inlineStr">
        <is>
          <t>Plano de Negócio</t>
        </is>
      </c>
      <c r="F239" t="inlineStr">
        <is>
          <t>VIDA LEVE</t>
        </is>
      </c>
      <c r="G239" t="inlineStr">
        <is>
          <t>top 300</t>
        </is>
      </c>
      <c r="H239" t="inlineStr">
        <is>
          <t>DAIANE STAVICKI</t>
        </is>
      </c>
    </row>
    <row r="240">
      <c r="A240" t="n">
        <v>0.351034</v>
      </c>
      <c r="B240" t="inlineStr">
        <is>
          <t>SEM GRUPO</t>
        </is>
      </c>
      <c r="C240" t="inlineStr">
        <is>
          <t>SP</t>
        </is>
      </c>
      <c r="D240" t="n">
        <v>12996532808</v>
      </c>
      <c r="E240" t="inlineStr">
        <is>
          <t>Plano de Negócio</t>
        </is>
      </c>
      <c r="F240" t="inlineStr">
        <is>
          <t>SEM REDE</t>
        </is>
      </c>
      <c r="G240" t="inlineStr">
        <is>
          <t>top 300</t>
        </is>
      </c>
      <c r="H240" t="inlineStr">
        <is>
          <t>LARISSA PADILHA</t>
        </is>
      </c>
    </row>
    <row r="241">
      <c r="A241" t="n">
        <v>0.344112</v>
      </c>
      <c r="B241" t="inlineStr">
        <is>
          <t>SEM GRUPO</t>
        </is>
      </c>
      <c r="C241" t="inlineStr">
        <is>
          <t>SC</t>
        </is>
      </c>
      <c r="D241" t="n">
        <v>49998205538</v>
      </c>
      <c r="E241" t="inlineStr">
        <is>
          <t>Plano de Negócio</t>
        </is>
      </c>
      <c r="F241" t="inlineStr">
        <is>
          <t>SEM REDE</t>
        </is>
      </c>
      <c r="G241" t="inlineStr">
        <is>
          <t>top 300</t>
        </is>
      </c>
      <c r="H241" t="inlineStr">
        <is>
          <t>HEMANUELE DITZEL (MANU)</t>
        </is>
      </c>
    </row>
    <row r="242">
      <c r="A242" t="n">
        <v>0.2678</v>
      </c>
      <c r="B242" t="inlineStr">
        <is>
          <t>MINHA QUITANDINHA - SP</t>
        </is>
      </c>
      <c r="C242" t="inlineStr">
        <is>
          <t>SP</t>
        </is>
      </c>
      <c r="D242" t="n">
        <v>16982035010</v>
      </c>
      <c r="E242" t="inlineStr">
        <is>
          <t>Plano de Negócio</t>
        </is>
      </c>
      <c r="F242" t="inlineStr">
        <is>
          <t>SEM REDE</t>
        </is>
      </c>
      <c r="G242" t="inlineStr">
        <is>
          <t>top 300</t>
        </is>
      </c>
      <c r="H242" t="inlineStr">
        <is>
          <t>LARISSA PADILHA</t>
        </is>
      </c>
    </row>
    <row r="243">
      <c r="A243" t="n">
        <v>0.343264</v>
      </c>
      <c r="B243" t="inlineStr">
        <is>
          <t>SEM GRUPO</t>
        </is>
      </c>
      <c r="C243" t="inlineStr">
        <is>
          <t>RJ</t>
        </is>
      </c>
      <c r="D243" t="n">
        <v>22999419668</v>
      </c>
      <c r="E243" t="inlineStr">
        <is>
          <t>Plano de Negócio</t>
        </is>
      </c>
      <c r="F243" t="inlineStr">
        <is>
          <t>SEM REDE</t>
        </is>
      </c>
      <c r="G243" t="inlineStr">
        <is>
          <t>top 300</t>
        </is>
      </c>
      <c r="H243" t="inlineStr">
        <is>
          <t>LARISSA PADILHA</t>
        </is>
      </c>
    </row>
    <row r="244">
      <c r="A244" t="n">
        <v>0.186969</v>
      </c>
      <c r="B244" t="inlineStr">
        <is>
          <t>VIDA LEVE</t>
        </is>
      </c>
      <c r="C244" t="inlineStr">
        <is>
          <t>PR</t>
        </is>
      </c>
      <c r="D244" t="n">
        <v>41988589412</v>
      </c>
      <c r="E244" t="inlineStr">
        <is>
          <t>Plano de Negócio</t>
        </is>
      </c>
      <c r="F244" t="inlineStr">
        <is>
          <t>VIDA LEVE</t>
        </is>
      </c>
      <c r="G244" t="inlineStr">
        <is>
          <t>top 300</t>
        </is>
      </c>
      <c r="H244" t="inlineStr">
        <is>
          <t>DAIANE STAVICKI</t>
        </is>
      </c>
    </row>
    <row r="245">
      <c r="A245" t="n">
        <v>0.338741</v>
      </c>
      <c r="B245" t="inlineStr">
        <is>
          <t>SEM GRUPO</t>
        </is>
      </c>
      <c r="C245" t="inlineStr">
        <is>
          <t>MT</t>
        </is>
      </c>
      <c r="D245" t="n">
        <v>65999367619</v>
      </c>
      <c r="E245" t="inlineStr">
        <is>
          <t>Plano de Negócio</t>
        </is>
      </c>
      <c r="F245" t="inlineStr">
        <is>
          <t>SEM REDE</t>
        </is>
      </c>
      <c r="G245" t="inlineStr">
        <is>
          <t>top 300</t>
        </is>
      </c>
      <c r="H245" t="inlineStr">
        <is>
          <t>LARISSA PADILHA</t>
        </is>
      </c>
    </row>
    <row r="246">
      <c r="A246" t="n">
        <v>0.337957</v>
      </c>
      <c r="B246" t="inlineStr">
        <is>
          <t>SEM GRUPO</t>
        </is>
      </c>
      <c r="C246" t="inlineStr">
        <is>
          <t>ES</t>
        </is>
      </c>
      <c r="D246" t="n">
        <v>27992310947</v>
      </c>
      <c r="E246" t="inlineStr">
        <is>
          <t>Plano de Negócio</t>
        </is>
      </c>
      <c r="F246" t="inlineStr">
        <is>
          <t>SEM REDE</t>
        </is>
      </c>
      <c r="G246" t="inlineStr">
        <is>
          <t>top 300</t>
        </is>
      </c>
      <c r="H246" t="inlineStr">
        <is>
          <t>LARISSA PADILHA</t>
        </is>
      </c>
    </row>
    <row r="247">
      <c r="A247" t="n">
        <v>0.337083</v>
      </c>
      <c r="B247" t="inlineStr">
        <is>
          <t>SEM GRUPO</t>
        </is>
      </c>
      <c r="C247" t="inlineStr">
        <is>
          <t>SC</t>
        </is>
      </c>
      <c r="D247" t="n">
        <v>48991730745</v>
      </c>
      <c r="E247" t="inlineStr">
        <is>
          <t>Plano de Negócio</t>
        </is>
      </c>
      <c r="F247" t="inlineStr">
        <is>
          <t>SEM REDE</t>
        </is>
      </c>
      <c r="G247" t="inlineStr">
        <is>
          <t>top 300</t>
        </is>
      </c>
      <c r="H247" t="inlineStr">
        <is>
          <t>HEMANUELE DITZEL (MANU)</t>
        </is>
      </c>
    </row>
    <row r="248">
      <c r="A248" t="n">
        <v>0.170212</v>
      </c>
      <c r="B248" t="inlineStr">
        <is>
          <t>CIA DA SAUDE</t>
        </is>
      </c>
      <c r="C248" t="inlineStr">
        <is>
          <t>SC</t>
        </is>
      </c>
      <c r="D248" t="n">
        <v>4834472489</v>
      </c>
      <c r="E248" t="inlineStr">
        <is>
          <t>Plano de Negócio</t>
        </is>
      </c>
      <c r="F248" t="inlineStr">
        <is>
          <t>CIA DA SAUDE</t>
        </is>
      </c>
      <c r="G248" t="inlineStr">
        <is>
          <t>top 300</t>
        </is>
      </c>
      <c r="H248" t="inlineStr">
        <is>
          <t>JULIO GADRET</t>
        </is>
      </c>
    </row>
    <row r="249">
      <c r="A249" t="n">
        <v>0.326989</v>
      </c>
      <c r="B249" t="inlineStr">
        <is>
          <t>SEM GRUPO</t>
        </is>
      </c>
      <c r="C249" t="inlineStr">
        <is>
          <t>PR</t>
        </is>
      </c>
      <c r="D249" t="n">
        <v>4191464469</v>
      </c>
      <c r="E249" t="inlineStr">
        <is>
          <t>Plano de Negócio</t>
        </is>
      </c>
      <c r="F249" t="inlineStr">
        <is>
          <t>SEM REDE</t>
        </is>
      </c>
      <c r="G249" t="inlineStr">
        <is>
          <t>top 300</t>
        </is>
      </c>
      <c r="H249" t="inlineStr">
        <is>
          <t>HEMANUELE DITZEL (MANU)</t>
        </is>
      </c>
    </row>
    <row r="250">
      <c r="A250" t="n">
        <v>0.32614</v>
      </c>
      <c r="B250" t="inlineStr">
        <is>
          <t>SEM GRUPO</t>
        </is>
      </c>
      <c r="C250" t="inlineStr">
        <is>
          <t>SC</t>
        </is>
      </c>
      <c r="D250" t="n">
        <v>4733238507</v>
      </c>
      <c r="E250" t="inlineStr">
        <is>
          <t>Plano de Negócio</t>
        </is>
      </c>
      <c r="F250" t="inlineStr">
        <is>
          <t>SEM REDE</t>
        </is>
      </c>
      <c r="G250" t="inlineStr">
        <is>
          <t>top 300</t>
        </is>
      </c>
      <c r="H250" t="inlineStr">
        <is>
          <t>HEMANUELE DITZEL (MANU)</t>
        </is>
      </c>
    </row>
    <row r="251">
      <c r="A251" t="n">
        <v>0.32495</v>
      </c>
      <c r="B251" t="inlineStr">
        <is>
          <t>SEM GRUPO</t>
        </is>
      </c>
      <c r="C251" t="inlineStr">
        <is>
          <t>PA</t>
        </is>
      </c>
      <c r="D251" t="n">
        <v>91985331298</v>
      </c>
      <c r="E251" t="inlineStr">
        <is>
          <t>Plano de Negócio</t>
        </is>
      </c>
      <c r="F251" t="inlineStr">
        <is>
          <t>SEM REDE</t>
        </is>
      </c>
      <c r="G251" t="inlineStr">
        <is>
          <t>top 300</t>
        </is>
      </c>
      <c r="H251" t="inlineStr">
        <is>
          <t>LARISSA PADILHA</t>
        </is>
      </c>
    </row>
    <row r="252">
      <c r="A252" t="n">
        <v>0.324001</v>
      </c>
      <c r="B252" t="inlineStr">
        <is>
          <t>SEM GRUPO</t>
        </is>
      </c>
      <c r="C252" t="inlineStr">
        <is>
          <t>PR</t>
        </is>
      </c>
      <c r="D252" t="n">
        <v>4391176642</v>
      </c>
      <c r="E252" t="inlineStr">
        <is>
          <t>Plano de Negócio</t>
        </is>
      </c>
      <c r="F252" t="inlineStr">
        <is>
          <t>SEM REDE</t>
        </is>
      </c>
      <c r="G252" t="inlineStr">
        <is>
          <t>top 300</t>
        </is>
      </c>
      <c r="H252" t="inlineStr">
        <is>
          <t>HEMANUELE DITZEL (MANU)</t>
        </is>
      </c>
    </row>
    <row r="253">
      <c r="A253" t="n">
        <v>0.323711</v>
      </c>
      <c r="B253" t="inlineStr">
        <is>
          <t>SEM GRUPO</t>
        </is>
      </c>
      <c r="C253" t="inlineStr">
        <is>
          <t>SP</t>
        </is>
      </c>
      <c r="D253" t="n">
        <v>11982636370</v>
      </c>
      <c r="E253" t="inlineStr">
        <is>
          <t>Plano de Negócio</t>
        </is>
      </c>
      <c r="F253" t="inlineStr">
        <is>
          <t>SEM REDE</t>
        </is>
      </c>
      <c r="G253" t="inlineStr">
        <is>
          <t>top 300</t>
        </is>
      </c>
      <c r="H253" t="inlineStr">
        <is>
          <t>LARISSA PADILHA</t>
        </is>
      </c>
    </row>
    <row r="254">
      <c r="A254" t="n">
        <v>0.168765</v>
      </c>
      <c r="B254" t="inlineStr">
        <is>
          <t>FITLAND</t>
        </is>
      </c>
      <c r="C254" t="inlineStr">
        <is>
          <t>SC</t>
        </is>
      </c>
      <c r="D254" t="n">
        <v>47992141901</v>
      </c>
      <c r="E254" t="inlineStr">
        <is>
          <t>Plano de Negócio</t>
        </is>
      </c>
      <c r="F254" t="inlineStr">
        <is>
          <t>FITLAND</t>
        </is>
      </c>
      <c r="G254" t="inlineStr">
        <is>
          <t>top 300</t>
        </is>
      </c>
      <c r="H254" t="inlineStr">
        <is>
          <t>JULIO GADRET</t>
        </is>
      </c>
    </row>
    <row r="255">
      <c r="A255" t="n">
        <v>0.315975</v>
      </c>
      <c r="B255" t="inlineStr">
        <is>
          <t>SEM GRUPO</t>
        </is>
      </c>
      <c r="C255" t="inlineStr">
        <is>
          <t>PR</t>
        </is>
      </c>
      <c r="D255" t="n">
        <v>41998795596</v>
      </c>
      <c r="E255" t="inlineStr">
        <is>
          <t>Plano de Negócio</t>
        </is>
      </c>
      <c r="F255" t="inlineStr">
        <is>
          <t>SEM REDE</t>
        </is>
      </c>
      <c r="G255" t="inlineStr">
        <is>
          <t>top 300</t>
        </is>
      </c>
      <c r="H255" t="inlineStr">
        <is>
          <t>HEMANUELE DITZEL (MANU)</t>
        </is>
      </c>
    </row>
    <row r="256">
      <c r="A256" t="n">
        <v>0.315576</v>
      </c>
      <c r="B256" t="inlineStr">
        <is>
          <t>SEM GRUPO</t>
        </is>
      </c>
      <c r="C256" t="inlineStr">
        <is>
          <t>SC</t>
        </is>
      </c>
      <c r="D256" t="n">
        <v>47925240074</v>
      </c>
      <c r="E256" t="inlineStr">
        <is>
          <t>Plano de Negócio</t>
        </is>
      </c>
      <c r="F256" t="inlineStr">
        <is>
          <t>SEM REDE</t>
        </is>
      </c>
      <c r="G256" t="inlineStr">
        <is>
          <t>top 300</t>
        </is>
      </c>
      <c r="H256" t="inlineStr">
        <is>
          <t>HEMANUELE DITZEL (MANU)</t>
        </is>
      </c>
    </row>
    <row r="257">
      <c r="A257" t="n">
        <v>0.165379</v>
      </c>
      <c r="B257" t="inlineStr">
        <is>
          <t>FITLAND</t>
        </is>
      </c>
      <c r="C257" t="inlineStr">
        <is>
          <t>SC</t>
        </is>
      </c>
      <c r="D257" t="n">
        <v>4733680373</v>
      </c>
      <c r="E257" t="inlineStr">
        <is>
          <t>Plano de Negócio</t>
        </is>
      </c>
      <c r="F257" t="inlineStr">
        <is>
          <t>FITLAND</t>
        </is>
      </c>
      <c r="G257" t="inlineStr">
        <is>
          <t>top 300</t>
        </is>
      </c>
      <c r="H257" t="inlineStr">
        <is>
          <t>JULIO GADRET</t>
        </is>
      </c>
    </row>
    <row r="258">
      <c r="A258" t="n">
        <v>0.313874</v>
      </c>
      <c r="B258" t="inlineStr">
        <is>
          <t>SEM GRUPO</t>
        </is>
      </c>
      <c r="C258" t="inlineStr">
        <is>
          <t>SP</t>
        </is>
      </c>
      <c r="D258" t="n">
        <v>15998401484</v>
      </c>
      <c r="E258" t="inlineStr">
        <is>
          <t>Plano de Negócio</t>
        </is>
      </c>
      <c r="F258" t="inlineStr">
        <is>
          <t>SEM REDE</t>
        </is>
      </c>
      <c r="G258" t="inlineStr">
        <is>
          <t>top 300</t>
        </is>
      </c>
      <c r="H258" t="inlineStr">
        <is>
          <t>LARISSA PADILHA</t>
        </is>
      </c>
    </row>
    <row r="259">
      <c r="A259" t="n">
        <v>0.3136</v>
      </c>
      <c r="B259" t="inlineStr">
        <is>
          <t>SEM GRUPO</t>
        </is>
      </c>
      <c r="C259" t="inlineStr">
        <is>
          <t>MT</t>
        </is>
      </c>
      <c r="D259" t="n">
        <v>66999911659</v>
      </c>
      <c r="E259" t="inlineStr">
        <is>
          <t>Plano de Negócio</t>
        </is>
      </c>
      <c r="F259" t="inlineStr">
        <is>
          <t>SEM REDE</t>
        </is>
      </c>
      <c r="G259" t="inlineStr">
        <is>
          <t>top 300</t>
        </is>
      </c>
      <c r="H259" t="inlineStr">
        <is>
          <t>LARISSA PADILHA</t>
        </is>
      </c>
    </row>
    <row r="260">
      <c r="A260" t="n">
        <v>0.313391</v>
      </c>
      <c r="B260" t="inlineStr">
        <is>
          <t>SEM GRUPO</t>
        </is>
      </c>
      <c r="C260" t="inlineStr">
        <is>
          <t>SC</t>
        </is>
      </c>
      <c r="D260" t="n">
        <v>4792532971</v>
      </c>
      <c r="E260" t="inlineStr">
        <is>
          <t>Plano de Negócio</t>
        </is>
      </c>
      <c r="F260" t="inlineStr">
        <is>
          <t>SEM REDE</t>
        </is>
      </c>
      <c r="G260" t="inlineStr">
        <is>
          <t>top 300</t>
        </is>
      </c>
      <c r="H260" t="inlineStr">
        <is>
          <t>HEMANUELE DITZEL (MANU)</t>
        </is>
      </c>
    </row>
    <row r="261">
      <c r="A261" t="n">
        <v>0.311256</v>
      </c>
      <c r="B261" t="inlineStr">
        <is>
          <t>SEM GRUPO</t>
        </is>
      </c>
      <c r="C261" t="inlineStr">
        <is>
          <t>SP</t>
        </is>
      </c>
      <c r="D261" t="n">
        <v>1391441021</v>
      </c>
      <c r="E261" t="inlineStr">
        <is>
          <t>Plano de Negócio</t>
        </is>
      </c>
      <c r="F261" t="inlineStr">
        <is>
          <t>SEM REDE</t>
        </is>
      </c>
      <c r="G261" t="inlineStr">
        <is>
          <t>top 300</t>
        </is>
      </c>
      <c r="H261" t="inlineStr">
        <is>
          <t>LARISSA PADILHA</t>
        </is>
      </c>
    </row>
    <row r="262">
      <c r="A262" t="n">
        <v>0.310711</v>
      </c>
      <c r="B262" t="inlineStr">
        <is>
          <t>SEM GRUPO</t>
        </is>
      </c>
      <c r="C262" t="inlineStr">
        <is>
          <t>PR</t>
        </is>
      </c>
      <c r="D262" t="n">
        <v>44997406173</v>
      </c>
      <c r="E262" t="inlineStr">
        <is>
          <t>Plano de Negócio</t>
        </is>
      </c>
      <c r="F262" t="inlineStr">
        <is>
          <t>SEM REDE</t>
        </is>
      </c>
      <c r="G262" t="inlineStr">
        <is>
          <t>top 300</t>
        </is>
      </c>
      <c r="H262" t="inlineStr">
        <is>
          <t>HEMANUELE DITZEL (MANU)</t>
        </is>
      </c>
    </row>
    <row r="263">
      <c r="A263" t="n">
        <v>0.310658</v>
      </c>
      <c r="B263" t="inlineStr">
        <is>
          <t>SEM GRUPO</t>
        </is>
      </c>
      <c r="C263" t="inlineStr">
        <is>
          <t>SP</t>
        </is>
      </c>
      <c r="D263" t="n">
        <v>16997813352</v>
      </c>
      <c r="E263" t="inlineStr">
        <is>
          <t>Plano de Negócio</t>
        </is>
      </c>
      <c r="F263" t="inlineStr">
        <is>
          <t>SEM REDE</t>
        </is>
      </c>
      <c r="G263" t="inlineStr">
        <is>
          <t>top 300</t>
        </is>
      </c>
      <c r="H263" t="inlineStr">
        <is>
          <t>LARISSA PADILHA</t>
        </is>
      </c>
    </row>
    <row r="264">
      <c r="A264" t="n">
        <v>0.309856</v>
      </c>
      <c r="B264" t="inlineStr">
        <is>
          <t>SEM GRUPO</t>
        </is>
      </c>
      <c r="C264" t="inlineStr">
        <is>
          <t>SP</t>
        </is>
      </c>
      <c r="D264" t="n">
        <v>11953936791</v>
      </c>
      <c r="E264" t="inlineStr">
        <is>
          <t>Plano de Negócio</t>
        </is>
      </c>
      <c r="F264" t="inlineStr">
        <is>
          <t>SEM REDE</t>
        </is>
      </c>
      <c r="G264" t="inlineStr">
        <is>
          <t>top 300</t>
        </is>
      </c>
      <c r="H264" t="inlineStr">
        <is>
          <t>LARISSA PADILHA</t>
        </is>
      </c>
    </row>
    <row r="265">
      <c r="A265" t="n">
        <v>0.308784</v>
      </c>
      <c r="B265" t="inlineStr">
        <is>
          <t>SEM GRUPO</t>
        </is>
      </c>
      <c r="C265" t="inlineStr">
        <is>
          <t>MT</t>
        </is>
      </c>
      <c r="D265" t="n">
        <v>66996310634</v>
      </c>
      <c r="E265" t="inlineStr">
        <is>
          <t>Plano de Negócio</t>
        </is>
      </c>
      <c r="F265" t="inlineStr">
        <is>
          <t>SEM REDE</t>
        </is>
      </c>
      <c r="G265" t="inlineStr">
        <is>
          <t>top 300</t>
        </is>
      </c>
      <c r="H265" t="inlineStr">
        <is>
          <t>LARISSA PADILHA</t>
        </is>
      </c>
    </row>
    <row r="266">
      <c r="A266" t="n">
        <v>0.306177</v>
      </c>
      <c r="B266" t="inlineStr">
        <is>
          <t>SEM GRUPO</t>
        </is>
      </c>
      <c r="C266" t="inlineStr">
        <is>
          <t>SC</t>
        </is>
      </c>
      <c r="D266" t="n">
        <v>4899835143</v>
      </c>
      <c r="E266" t="inlineStr">
        <is>
          <t>Plano de Negócio</t>
        </is>
      </c>
      <c r="F266" t="inlineStr">
        <is>
          <t>SEM REDE</t>
        </is>
      </c>
      <c r="G266" t="inlineStr">
        <is>
          <t>top 300</t>
        </is>
      </c>
      <c r="H266" t="inlineStr">
        <is>
          <t>HEMANUELE DITZEL (MANU)</t>
        </is>
      </c>
    </row>
    <row r="267">
      <c r="A267" t="n">
        <v>0.304624</v>
      </c>
      <c r="B267" t="inlineStr">
        <is>
          <t>SEM GRUPO</t>
        </is>
      </c>
      <c r="C267" t="inlineStr">
        <is>
          <t>RS</t>
        </is>
      </c>
      <c r="D267" t="n">
        <v>5184104577</v>
      </c>
      <c r="E267" t="inlineStr">
        <is>
          <t>Plano de Negócio</t>
        </is>
      </c>
      <c r="F267" t="inlineStr">
        <is>
          <t>SEM REDE</t>
        </is>
      </c>
      <c r="G267" t="inlineStr">
        <is>
          <t>top 300</t>
        </is>
      </c>
      <c r="H267" t="inlineStr">
        <is>
          <t>HEMANUELE DITZEL (MANU)</t>
        </is>
      </c>
    </row>
    <row r="268">
      <c r="A268" t="n">
        <v>0.30352</v>
      </c>
      <c r="B268" t="inlineStr">
        <is>
          <t>SEM GRUPO</t>
        </is>
      </c>
      <c r="C268" t="inlineStr">
        <is>
          <t>PR</t>
        </is>
      </c>
      <c r="D268" t="n">
        <v>4199812308</v>
      </c>
      <c r="E268" t="inlineStr">
        <is>
          <t>Plano de Negócio</t>
        </is>
      </c>
      <c r="F268" t="inlineStr">
        <is>
          <t>SEM REDE</t>
        </is>
      </c>
      <c r="G268" t="inlineStr">
        <is>
          <t>top 300</t>
        </is>
      </c>
      <c r="H268" t="inlineStr">
        <is>
          <t>HEMANUELE DITZEL (MANU)</t>
        </is>
      </c>
    </row>
    <row r="269">
      <c r="A269" t="n">
        <v>0.301184</v>
      </c>
      <c r="B269" t="inlineStr">
        <is>
          <t>SEM GRUPO</t>
        </is>
      </c>
      <c r="C269" t="inlineStr">
        <is>
          <t>PR</t>
        </is>
      </c>
      <c r="D269" t="n">
        <v>4399660161</v>
      </c>
      <c r="E269" t="inlineStr">
        <is>
          <t>Plano de Negócio</t>
        </is>
      </c>
      <c r="F269" t="inlineStr">
        <is>
          <t>SEM REDE</t>
        </is>
      </c>
      <c r="G269" t="inlineStr">
        <is>
          <t>top 300</t>
        </is>
      </c>
      <c r="H269" t="inlineStr">
        <is>
          <t>HEMANUELE DITZEL (MANU)</t>
        </is>
      </c>
    </row>
    <row r="270">
      <c r="A270" t="n">
        <v>0.299181</v>
      </c>
      <c r="B270" t="inlineStr">
        <is>
          <t>SEM GRUPO</t>
        </is>
      </c>
      <c r="C270" t="inlineStr">
        <is>
          <t>SC</t>
        </is>
      </c>
      <c r="D270" t="n">
        <v>4733870191</v>
      </c>
      <c r="E270" t="inlineStr">
        <is>
          <t>Plano de Negócio</t>
        </is>
      </c>
      <c r="F270" t="inlineStr">
        <is>
          <t>SEM REDE</t>
        </is>
      </c>
      <c r="G270" t="inlineStr">
        <is>
          <t>top 300</t>
        </is>
      </c>
      <c r="H270" t="inlineStr">
        <is>
          <t>HEMANUELE DITZEL (MANU)</t>
        </is>
      </c>
    </row>
    <row r="271">
      <c r="A271" t="n">
        <v>0.285837</v>
      </c>
      <c r="B271" t="inlineStr">
        <is>
          <t>SEM GRUPO</t>
        </is>
      </c>
      <c r="C271" t="inlineStr">
        <is>
          <t>SP</t>
        </is>
      </c>
      <c r="D271" t="n">
        <v>1697204740</v>
      </c>
      <c r="E271" t="inlineStr">
        <is>
          <t>Plano de Negócio</t>
        </is>
      </c>
      <c r="F271" t="inlineStr">
        <is>
          <t>SEM REDE</t>
        </is>
      </c>
      <c r="G271" t="inlineStr">
        <is>
          <t>top 300</t>
        </is>
      </c>
      <c r="H271" t="inlineStr">
        <is>
          <t>LARISSA PADILHA</t>
        </is>
      </c>
    </row>
    <row r="272">
      <c r="A272" t="n">
        <v>0.28343</v>
      </c>
      <c r="B272" t="inlineStr">
        <is>
          <t>SEM GRUPO</t>
        </is>
      </c>
      <c r="C272" t="inlineStr">
        <is>
          <t>PR</t>
        </is>
      </c>
      <c r="D272" t="n">
        <v>45984061896</v>
      </c>
      <c r="E272" t="inlineStr">
        <is>
          <t>Plano de Negócio</t>
        </is>
      </c>
      <c r="F272" t="inlineStr">
        <is>
          <t>SEM REDE</t>
        </is>
      </c>
      <c r="G272" t="inlineStr">
        <is>
          <t>top 300</t>
        </is>
      </c>
      <c r="H272" t="inlineStr">
        <is>
          <t>HEMANUELE DITZEL (MANU)</t>
        </is>
      </c>
    </row>
    <row r="273">
      <c r="A273" t="n">
        <v>0.282441</v>
      </c>
      <c r="B273" t="inlineStr">
        <is>
          <t>SEM GRUPO</t>
        </is>
      </c>
      <c r="C273" t="inlineStr">
        <is>
          <t>SP</t>
        </is>
      </c>
      <c r="D273" t="n">
        <v>11921909046</v>
      </c>
      <c r="E273" t="inlineStr">
        <is>
          <t>Plano de Negócio</t>
        </is>
      </c>
      <c r="F273" t="inlineStr">
        <is>
          <t>SEM REDE</t>
        </is>
      </c>
      <c r="G273" t="inlineStr">
        <is>
          <t>top 300</t>
        </is>
      </c>
      <c r="H273" t="inlineStr">
        <is>
          <t>LARISSA PADILHA</t>
        </is>
      </c>
    </row>
    <row r="274">
      <c r="A274" t="n">
        <v>0.282295</v>
      </c>
      <c r="B274" t="inlineStr">
        <is>
          <t>SEM GRUPO</t>
        </is>
      </c>
      <c r="C274" t="inlineStr">
        <is>
          <t>SP</t>
        </is>
      </c>
      <c r="D274" t="n">
        <v>1699929667</v>
      </c>
      <c r="E274" t="inlineStr">
        <is>
          <t>Plano de Negócio</t>
        </is>
      </c>
      <c r="F274" t="inlineStr">
        <is>
          <t>SEM REDE</t>
        </is>
      </c>
      <c r="G274" t="inlineStr">
        <is>
          <t>top 300</t>
        </is>
      </c>
      <c r="H274" t="inlineStr">
        <is>
          <t>LARISSA PADILHA</t>
        </is>
      </c>
    </row>
    <row r="275">
      <c r="A275" t="n">
        <v>0.279583</v>
      </c>
      <c r="B275" t="inlineStr">
        <is>
          <t>SEM GRUPO</t>
        </is>
      </c>
      <c r="C275" t="inlineStr">
        <is>
          <t>GO</t>
        </is>
      </c>
      <c r="D275" t="n">
        <v>62981558479</v>
      </c>
      <c r="E275" t="inlineStr">
        <is>
          <t>Plano de Negócio</t>
        </is>
      </c>
      <c r="F275" t="inlineStr">
        <is>
          <t>SEM REDE</t>
        </is>
      </c>
      <c r="G275" t="inlineStr">
        <is>
          <t>top 300</t>
        </is>
      </c>
      <c r="H275" t="inlineStr">
        <is>
          <t>HEMANUELE DITZEL (MANU)</t>
        </is>
      </c>
    </row>
    <row r="276">
      <c r="A276" t="n">
        <v>0.151765</v>
      </c>
      <c r="B276" t="inlineStr">
        <is>
          <t>VIDA LEVE</t>
        </is>
      </c>
      <c r="C276" t="inlineStr">
        <is>
          <t>BA</t>
        </is>
      </c>
      <c r="D276" t="n">
        <v>77997018683</v>
      </c>
      <c r="E276" t="inlineStr">
        <is>
          <t>Plano de Negócio</t>
        </is>
      </c>
      <c r="F276" t="inlineStr">
        <is>
          <t>VIDA LEVE</t>
        </is>
      </c>
      <c r="G276" t="inlineStr">
        <is>
          <t>top 300</t>
        </is>
      </c>
      <c r="H276" t="inlineStr">
        <is>
          <t>DAIANE STAVICKI</t>
        </is>
      </c>
    </row>
    <row r="277">
      <c r="A277" t="n">
        <v>0.271757</v>
      </c>
      <c r="B277" t="inlineStr">
        <is>
          <t>SEM GRUPO</t>
        </is>
      </c>
      <c r="C277" t="inlineStr">
        <is>
          <t>CE</t>
        </is>
      </c>
      <c r="D277" t="n">
        <v>8835124018</v>
      </c>
      <c r="E277" t="inlineStr">
        <is>
          <t>Plano de Negócio</t>
        </is>
      </c>
      <c r="F277" t="inlineStr">
        <is>
          <t>SEM REDE</t>
        </is>
      </c>
      <c r="G277" t="inlineStr">
        <is>
          <t>top 300</t>
        </is>
      </c>
      <c r="H277" t="inlineStr">
        <is>
          <t>LARISSA PADILHA</t>
        </is>
      </c>
    </row>
    <row r="278">
      <c r="A278" t="n">
        <v>0.269468</v>
      </c>
      <c r="B278" t="inlineStr">
        <is>
          <t>SEM GRUPO</t>
        </is>
      </c>
      <c r="C278" t="inlineStr">
        <is>
          <t>PR</t>
        </is>
      </c>
      <c r="D278" t="n">
        <v>4136413003</v>
      </c>
      <c r="E278" t="inlineStr">
        <is>
          <t>Plano de Negócio</t>
        </is>
      </c>
      <c r="F278" t="inlineStr">
        <is>
          <t>SEM REDE</t>
        </is>
      </c>
      <c r="G278" t="inlineStr">
        <is>
          <t>top 300</t>
        </is>
      </c>
      <c r="H278" t="inlineStr">
        <is>
          <t>HEMANUELE DITZEL (MANU)</t>
        </is>
      </c>
    </row>
    <row r="279">
      <c r="A279" t="n">
        <v>0.141247</v>
      </c>
      <c r="B279" t="inlineStr">
        <is>
          <t>FITLAND</t>
        </is>
      </c>
      <c r="C279" t="inlineStr">
        <is>
          <t>MG</t>
        </is>
      </c>
      <c r="D279" t="n">
        <v>3193909540</v>
      </c>
      <c r="E279" t="inlineStr">
        <is>
          <t>Plano de Negócio</t>
        </is>
      </c>
      <c r="F279" t="inlineStr">
        <is>
          <t>FITLAND</t>
        </is>
      </c>
      <c r="G279" t="inlineStr">
        <is>
          <t>top 300</t>
        </is>
      </c>
      <c r="H279" t="inlineStr">
        <is>
          <t>JULIO GADRET</t>
        </is>
      </c>
    </row>
    <row r="280">
      <c r="A280" t="n">
        <v>0.239592</v>
      </c>
      <c r="B280" t="inlineStr">
        <is>
          <t>BIO MUNDO</t>
        </is>
      </c>
      <c r="C280" t="inlineStr">
        <is>
          <t>GO</t>
        </is>
      </c>
      <c r="D280" t="n">
        <v>6292088174</v>
      </c>
      <c r="E280" t="inlineStr">
        <is>
          <t>Plano de Negócio</t>
        </is>
      </c>
      <c r="F280" t="inlineStr">
        <is>
          <t>BIO MUNDO</t>
        </is>
      </c>
      <c r="G280" t="inlineStr">
        <is>
          <t>top 300</t>
        </is>
      </c>
      <c r="H280" t="inlineStr">
        <is>
          <t>LARISSA PADILHA</t>
        </is>
      </c>
    </row>
    <row r="281">
      <c r="A281" t="n">
        <v>0.147059</v>
      </c>
      <c r="B281" t="inlineStr">
        <is>
          <t>VIDA LEVE</t>
        </is>
      </c>
      <c r="C281" t="inlineStr">
        <is>
          <t>PR</t>
        </is>
      </c>
      <c r="D281" t="n">
        <v>44999048827</v>
      </c>
      <c r="E281" t="inlineStr">
        <is>
          <t>Plano de Negócio</t>
        </is>
      </c>
      <c r="F281" t="inlineStr">
        <is>
          <t>VIDA LEVE</t>
        </is>
      </c>
      <c r="G281" t="inlineStr">
        <is>
          <t>top 300</t>
        </is>
      </c>
      <c r="H281" t="inlineStr">
        <is>
          <t>DAIANE STAVICKI</t>
        </is>
      </c>
    </row>
    <row r="282">
      <c r="A282" t="n">
        <v>0.147059</v>
      </c>
      <c r="B282" t="inlineStr">
        <is>
          <t>VIDA LEVE</t>
        </is>
      </c>
      <c r="C282" t="inlineStr">
        <is>
          <t>PA</t>
        </is>
      </c>
      <c r="D282" t="n">
        <v>91991420078</v>
      </c>
      <c r="E282" t="inlineStr">
        <is>
          <t>Plano de Negócio</t>
        </is>
      </c>
      <c r="F282" t="inlineStr">
        <is>
          <t>VIDA LEVE</t>
        </is>
      </c>
      <c r="G282" t="inlineStr">
        <is>
          <t>top 300</t>
        </is>
      </c>
      <c r="H282" t="inlineStr">
        <is>
          <t>DAIANE STAVICKI</t>
        </is>
      </c>
    </row>
    <row r="283">
      <c r="A283" t="n">
        <v>0.147059</v>
      </c>
      <c r="B283" t="inlineStr">
        <is>
          <t>VIDA LEVE</t>
        </is>
      </c>
      <c r="C283" t="inlineStr">
        <is>
          <t>SP</t>
        </is>
      </c>
      <c r="D283" t="n">
        <v>11972626546</v>
      </c>
      <c r="E283" t="inlineStr">
        <is>
          <t>Plano de Negócio</t>
        </is>
      </c>
      <c r="F283" t="inlineStr">
        <is>
          <t>VIDA LEVE</t>
        </is>
      </c>
      <c r="G283" t="inlineStr">
        <is>
          <t>top 300</t>
        </is>
      </c>
      <c r="H283" t="inlineStr">
        <is>
          <t>DAIANE STAVICKI</t>
        </is>
      </c>
    </row>
    <row r="284">
      <c r="A284" t="n">
        <v>0.147059</v>
      </c>
      <c r="B284" t="inlineStr">
        <is>
          <t>VIDA LEVE</t>
        </is>
      </c>
      <c r="C284" t="inlineStr">
        <is>
          <t>RO</t>
        </is>
      </c>
      <c r="D284" t="n">
        <v>6999714711</v>
      </c>
      <c r="E284" t="inlineStr">
        <is>
          <t>Plano de Negócio</t>
        </is>
      </c>
      <c r="F284" t="inlineStr">
        <is>
          <t>VIDA LEVE</t>
        </is>
      </c>
      <c r="G284" t="inlineStr">
        <is>
          <t>top 300</t>
        </is>
      </c>
      <c r="H284" t="inlineStr">
        <is>
          <t>DAIANE STAVICKI</t>
        </is>
      </c>
    </row>
    <row r="285">
      <c r="A285" t="n">
        <v>0.266879</v>
      </c>
      <c r="B285" t="inlineStr">
        <is>
          <t>SEM GRUPO</t>
        </is>
      </c>
      <c r="C285" t="inlineStr">
        <is>
          <t>PR</t>
        </is>
      </c>
      <c r="D285" t="n">
        <v>4133635316</v>
      </c>
      <c r="E285" t="inlineStr">
        <is>
          <t>Plano de Negócio</t>
        </is>
      </c>
      <c r="F285" t="inlineStr">
        <is>
          <t>SEM REDE</t>
        </is>
      </c>
      <c r="G285" t="inlineStr">
        <is>
          <t>top 300</t>
        </is>
      </c>
      <c r="H285" t="inlineStr">
        <is>
          <t>HEMANUELE DITZEL (MANU)</t>
        </is>
      </c>
    </row>
    <row r="286">
      <c r="A286" t="n">
        <v>0.264653</v>
      </c>
      <c r="B286" t="inlineStr">
        <is>
          <t>SEM GRUPO</t>
        </is>
      </c>
      <c r="C286" t="inlineStr">
        <is>
          <t>MG</t>
        </is>
      </c>
      <c r="D286" t="n">
        <v>832222385</v>
      </c>
      <c r="E286" t="inlineStr">
        <is>
          <t>Plano de Negócio</t>
        </is>
      </c>
      <c r="F286" t="inlineStr">
        <is>
          <t>SEM REDE</t>
        </is>
      </c>
      <c r="G286" t="inlineStr">
        <is>
          <t>top 300</t>
        </is>
      </c>
      <c r="H286" t="inlineStr">
        <is>
          <t>LARISSA PADILHA</t>
        </is>
      </c>
    </row>
    <row r="287">
      <c r="A287" t="n">
        <v>0.263335</v>
      </c>
      <c r="B287" t="inlineStr">
        <is>
          <t>SEM GRUPO</t>
        </is>
      </c>
      <c r="C287" t="inlineStr">
        <is>
          <t>GO</t>
        </is>
      </c>
      <c r="D287" t="n">
        <v>62992088805</v>
      </c>
      <c r="E287" t="inlineStr">
        <is>
          <t>Plano de Negócio</t>
        </is>
      </c>
      <c r="F287" t="inlineStr">
        <is>
          <t>SEM REDE</t>
        </is>
      </c>
      <c r="G287" t="inlineStr">
        <is>
          <t>top 300</t>
        </is>
      </c>
      <c r="H287" t="inlineStr">
        <is>
          <t>LARISSA PADILHA</t>
        </is>
      </c>
    </row>
    <row r="288">
      <c r="A288" t="n">
        <v>0.261494</v>
      </c>
      <c r="B288" t="inlineStr">
        <is>
          <t>SEM GRUPO</t>
        </is>
      </c>
      <c r="C288" t="inlineStr">
        <is>
          <t>PR</t>
        </is>
      </c>
      <c r="D288" t="n">
        <v>4198143375</v>
      </c>
      <c r="E288" t="inlineStr">
        <is>
          <t>Plano de Negócio</t>
        </is>
      </c>
      <c r="F288" t="inlineStr">
        <is>
          <t>SEM REDE</t>
        </is>
      </c>
      <c r="G288" t="inlineStr">
        <is>
          <t>top 300</t>
        </is>
      </c>
      <c r="H288" t="inlineStr">
        <is>
          <t>HEMANUELE DITZEL (MANU)</t>
        </is>
      </c>
    </row>
    <row r="289">
      <c r="A289" t="n">
        <v>0.221199</v>
      </c>
      <c r="B289" t="inlineStr">
        <is>
          <t>DIVINA TERRA</t>
        </is>
      </c>
      <c r="C289" t="inlineStr">
        <is>
          <t>RR</t>
        </is>
      </c>
      <c r="D289" t="n">
        <v>95991125445</v>
      </c>
      <c r="E289" t="inlineStr">
        <is>
          <t>Plano de Negócio</t>
        </is>
      </c>
      <c r="F289" t="inlineStr">
        <is>
          <t>DIVINA TERRA</t>
        </is>
      </c>
      <c r="G289" t="inlineStr">
        <is>
          <t>top 300</t>
        </is>
      </c>
      <c r="H289" t="inlineStr">
        <is>
          <t>DAIANE STAVICKI</t>
        </is>
      </c>
    </row>
    <row r="290">
      <c r="A290" t="n">
        <v>0.258036</v>
      </c>
      <c r="B290" t="inlineStr">
        <is>
          <t>SEM GRUPO</t>
        </is>
      </c>
      <c r="C290" t="inlineStr">
        <is>
          <t>PR</t>
        </is>
      </c>
      <c r="D290" t="n">
        <v>4191900066</v>
      </c>
      <c r="E290" t="inlineStr">
        <is>
          <t>Plano de Negócio</t>
        </is>
      </c>
      <c r="F290" t="inlineStr">
        <is>
          <t>SEM REDE</t>
        </is>
      </c>
      <c r="G290" t="inlineStr">
        <is>
          <t>top 300</t>
        </is>
      </c>
      <c r="H290" t="inlineStr">
        <is>
          <t>HEMANUELE DITZEL (MANU)</t>
        </is>
      </c>
    </row>
    <row r="291">
      <c r="A291" t="n">
        <v>0.254305</v>
      </c>
      <c r="B291" t="inlineStr">
        <is>
          <t>SEM GRUPO</t>
        </is>
      </c>
      <c r="C291" t="inlineStr">
        <is>
          <t>MT</t>
        </is>
      </c>
      <c r="D291" t="n">
        <v>65993472122</v>
      </c>
      <c r="E291" t="inlineStr">
        <is>
          <t>Plano de Negócio</t>
        </is>
      </c>
      <c r="F291" t="inlineStr">
        <is>
          <t>SEM REDE</t>
        </is>
      </c>
      <c r="G291" t="inlineStr">
        <is>
          <t>top 300</t>
        </is>
      </c>
      <c r="H291" t="inlineStr">
        <is>
          <t>LARISSA PADILHA</t>
        </is>
      </c>
    </row>
    <row r="292">
      <c r="A292" t="n">
        <v>0.253981</v>
      </c>
      <c r="B292" t="inlineStr">
        <is>
          <t>SEM GRUPO</t>
        </is>
      </c>
      <c r="C292" t="inlineStr">
        <is>
          <t>GO</t>
        </is>
      </c>
      <c r="D292" t="n">
        <v>64992938706</v>
      </c>
      <c r="E292" t="inlineStr">
        <is>
          <t>Plano de Negócio</t>
        </is>
      </c>
      <c r="F292" t="inlineStr">
        <is>
          <t>SEM REDE</t>
        </is>
      </c>
      <c r="G292" t="inlineStr">
        <is>
          <t>top 300</t>
        </is>
      </c>
      <c r="H292" t="inlineStr">
        <is>
          <t>JULIO GADRET</t>
        </is>
      </c>
    </row>
    <row r="293">
      <c r="A293" t="n">
        <v>0.252414</v>
      </c>
      <c r="B293" t="inlineStr">
        <is>
          <t>SEM GRUPO</t>
        </is>
      </c>
      <c r="C293" t="inlineStr">
        <is>
          <t>PR</t>
        </is>
      </c>
      <c r="D293" t="n">
        <v>4187560606</v>
      </c>
      <c r="E293" t="inlineStr">
        <is>
          <t>Plano de Negócio</t>
        </is>
      </c>
      <c r="F293" t="inlineStr">
        <is>
          <t>SEM REDE</t>
        </is>
      </c>
      <c r="G293" t="inlineStr">
        <is>
          <t>top 300</t>
        </is>
      </c>
      <c r="H293" t="inlineStr">
        <is>
          <t>HEMANUELE DITZEL (MANU)</t>
        </is>
      </c>
    </row>
    <row r="294">
      <c r="A294" t="n">
        <v>0.25155</v>
      </c>
      <c r="B294" t="inlineStr">
        <is>
          <t>SEM GRUPO</t>
        </is>
      </c>
      <c r="C294" t="inlineStr">
        <is>
          <t>MT</t>
        </is>
      </c>
      <c r="D294" t="n">
        <v>66352912586</v>
      </c>
      <c r="E294" t="inlineStr">
        <is>
          <t>Plano de Negócio</t>
        </is>
      </c>
      <c r="F294" t="inlineStr">
        <is>
          <t>SEM REDE</t>
        </is>
      </c>
      <c r="G294" t="inlineStr">
        <is>
          <t>top 300</t>
        </is>
      </c>
      <c r="H294" t="inlineStr">
        <is>
          <t>LARISSA PADILHA</t>
        </is>
      </c>
    </row>
    <row r="295">
      <c r="A295" t="n">
        <v>0.249101</v>
      </c>
      <c r="B295" t="inlineStr">
        <is>
          <t>SEM GRUPO</t>
        </is>
      </c>
      <c r="C295" t="inlineStr">
        <is>
          <t>PE</t>
        </is>
      </c>
      <c r="D295" t="n">
        <v>87981797182</v>
      </c>
      <c r="E295" t="inlineStr">
        <is>
          <t>Plano de Negócio</t>
        </is>
      </c>
      <c r="F295" t="inlineStr">
        <is>
          <t>SEM REDE</t>
        </is>
      </c>
      <c r="G295" t="inlineStr">
        <is>
          <t>top 300</t>
        </is>
      </c>
      <c r="H295" t="inlineStr">
        <is>
          <t>LARISSA PADILHA</t>
        </is>
      </c>
    </row>
    <row r="296">
      <c r="A296" t="n">
        <v>0.24898</v>
      </c>
      <c r="B296" t="inlineStr">
        <is>
          <t>SEM GRUPO</t>
        </is>
      </c>
      <c r="C296" t="inlineStr">
        <is>
          <t>MG</t>
        </is>
      </c>
      <c r="D296" t="n">
        <v>31983740512</v>
      </c>
      <c r="E296" t="inlineStr">
        <is>
          <t>Plano de Negócio</t>
        </is>
      </c>
      <c r="F296" t="inlineStr">
        <is>
          <t>SEM REDE</t>
        </is>
      </c>
      <c r="G296" t="inlineStr">
        <is>
          <t>top 300</t>
        </is>
      </c>
      <c r="H296" t="inlineStr">
        <is>
          <t>LARISSA PADILHA</t>
        </is>
      </c>
    </row>
    <row r="297">
      <c r="A297" t="n">
        <v>0.248619</v>
      </c>
      <c r="B297" t="inlineStr">
        <is>
          <t>SEM GRUPO</t>
        </is>
      </c>
      <c r="C297" t="inlineStr">
        <is>
          <t>SC</t>
        </is>
      </c>
      <c r="D297" t="n">
        <v>1</v>
      </c>
      <c r="E297" t="inlineStr">
        <is>
          <t>Plano de Negócio</t>
        </is>
      </c>
      <c r="F297" t="inlineStr">
        <is>
          <t>SEM REDE</t>
        </is>
      </c>
      <c r="G297" t="inlineStr">
        <is>
          <t>top 300</t>
        </is>
      </c>
      <c r="H297" t="inlineStr">
        <is>
          <t>HEMANUELE DITZEL (MANU)</t>
        </is>
      </c>
    </row>
    <row r="298">
      <c r="A298" t="n">
        <v>0.136765</v>
      </c>
      <c r="B298" t="inlineStr">
        <is>
          <t>VIDA LEVE</t>
        </is>
      </c>
      <c r="C298" t="inlineStr">
        <is>
          <t>RJ</t>
        </is>
      </c>
      <c r="D298" t="n">
        <v>21997618088</v>
      </c>
      <c r="E298" t="inlineStr">
        <is>
          <t>Plano de Negócio</t>
        </is>
      </c>
      <c r="F298" t="inlineStr">
        <is>
          <t>VIDA LEVE</t>
        </is>
      </c>
      <c r="G298" t="inlineStr">
        <is>
          <t>top 300</t>
        </is>
      </c>
      <c r="H298" t="inlineStr">
        <is>
          <t>DAIANE STAVICKI</t>
        </is>
      </c>
    </row>
    <row r="299">
      <c r="A299" t="n">
        <v>0.246756</v>
      </c>
      <c r="B299" t="inlineStr">
        <is>
          <t>SEM GRUPO</t>
        </is>
      </c>
      <c r="C299" t="inlineStr">
        <is>
          <t>SC</t>
        </is>
      </c>
      <c r="D299" t="n">
        <v>4891551897</v>
      </c>
      <c r="E299" t="inlineStr">
        <is>
          <t>Plano de Negócio</t>
        </is>
      </c>
      <c r="F299" t="inlineStr">
        <is>
          <t>SEM REDE</t>
        </is>
      </c>
      <c r="G299" t="inlineStr">
        <is>
          <t>top 300</t>
        </is>
      </c>
      <c r="H299" t="inlineStr">
        <is>
          <t>HEMANUELE DITZEL (MANU)</t>
        </is>
      </c>
    </row>
    <row r="300">
      <c r="A300" t="n">
        <v>0.126546</v>
      </c>
      <c r="B300" t="inlineStr">
        <is>
          <t>CIA DA SAUDE</t>
        </is>
      </c>
      <c r="C300" t="inlineStr">
        <is>
          <t>PR</t>
        </is>
      </c>
      <c r="D300" t="n">
        <v>4187357088</v>
      </c>
      <c r="E300" t="inlineStr">
        <is>
          <t>Plano de Negócio</t>
        </is>
      </c>
      <c r="F300" t="inlineStr">
        <is>
          <t>CIA DA SAUDE</t>
        </is>
      </c>
      <c r="G300" t="inlineStr">
        <is>
          <t>top 300</t>
        </is>
      </c>
      <c r="H300" t="inlineStr">
        <is>
          <t>JULIO GADRET</t>
        </is>
      </c>
    </row>
    <row r="301">
      <c r="A301" t="n">
        <v>0.126529</v>
      </c>
      <c r="B301" t="inlineStr">
        <is>
          <t>CIA DA SAUDE</t>
        </is>
      </c>
      <c r="C301" t="inlineStr">
        <is>
          <t>SC</t>
        </is>
      </c>
      <c r="D301" t="n">
        <v>4899981463</v>
      </c>
      <c r="E301" t="inlineStr">
        <is>
          <t>Plano de Negócio</t>
        </is>
      </c>
      <c r="F301" t="inlineStr">
        <is>
          <t>CIA DA SAUDE</t>
        </is>
      </c>
      <c r="G301" t="inlineStr">
        <is>
          <t>top 300</t>
        </is>
      </c>
      <c r="H301" t="inlineStr">
        <is>
          <t>JULIO GADRET</t>
        </is>
      </c>
    </row>
    <row r="302">
      <c r="A302" t="n">
        <v>0.244153</v>
      </c>
      <c r="B302" t="inlineStr">
        <is>
          <t>SEM GRUPO</t>
        </is>
      </c>
      <c r="C302" t="inlineStr">
        <is>
          <t>SP</t>
        </is>
      </c>
      <c r="D302" t="n">
        <v>19981443676</v>
      </c>
      <c r="E302" t="inlineStr">
        <is>
          <t>Plano de Negócio</t>
        </is>
      </c>
      <c r="F302" t="inlineStr">
        <is>
          <t>SEM REDE</t>
        </is>
      </c>
      <c r="G302" t="inlineStr">
        <is>
          <t>demais</t>
        </is>
      </c>
      <c r="H302" t="inlineStr">
        <is>
          <t>LARISSA PADILHA</t>
        </is>
      </c>
    </row>
    <row r="303">
      <c r="A303" t="n">
        <v>0.244145</v>
      </c>
      <c r="B303" t="inlineStr">
        <is>
          <t>SEM GRUPO</t>
        </is>
      </c>
      <c r="C303" t="inlineStr">
        <is>
          <t>PR</t>
        </is>
      </c>
      <c r="D303" t="n">
        <v>42988084636</v>
      </c>
      <c r="E303" t="inlineStr">
        <is>
          <t>Plano de Negócio</t>
        </is>
      </c>
      <c r="F303" t="inlineStr">
        <is>
          <t>SEM REDE</t>
        </is>
      </c>
      <c r="G303" t="inlineStr">
        <is>
          <t>demais</t>
        </is>
      </c>
      <c r="H303" t="inlineStr">
        <is>
          <t>HEMANUELE DITZEL (MANU)</t>
        </is>
      </c>
    </row>
    <row r="304">
      <c r="A304" t="n">
        <v>0.126987</v>
      </c>
      <c r="B304" t="inlineStr">
        <is>
          <t>FITLAND</t>
        </is>
      </c>
      <c r="C304" t="inlineStr">
        <is>
          <t>SC</t>
        </is>
      </c>
      <c r="D304" t="n">
        <v>4832550664</v>
      </c>
      <c r="E304" t="inlineStr">
        <is>
          <t>Plano de Negócio</t>
        </is>
      </c>
      <c r="F304" t="inlineStr">
        <is>
          <t>FITLAND</t>
        </is>
      </c>
      <c r="G304" t="inlineStr">
        <is>
          <t>demais</t>
        </is>
      </c>
      <c r="H304" t="inlineStr">
        <is>
          <t>JULIO GADRET</t>
        </is>
      </c>
    </row>
    <row r="305">
      <c r="A305" t="n">
        <v>0.216046</v>
      </c>
      <c r="B305" t="inlineStr">
        <is>
          <t>BIO MUNDO</t>
        </is>
      </c>
      <c r="C305" t="inlineStr">
        <is>
          <t>GO</t>
        </is>
      </c>
      <c r="D305" t="n">
        <v>62992088174</v>
      </c>
      <c r="E305" t="inlineStr">
        <is>
          <t>Plano de Negócio</t>
        </is>
      </c>
      <c r="F305" t="inlineStr">
        <is>
          <t>BIO MUNDO</t>
        </is>
      </c>
      <c r="G305" t="inlineStr">
        <is>
          <t>demais</t>
        </is>
      </c>
      <c r="H305" t="inlineStr">
        <is>
          <t>DAIANE STAVICKI</t>
        </is>
      </c>
    </row>
    <row r="306">
      <c r="A306" t="n">
        <v>0.124759</v>
      </c>
      <c r="B306" t="inlineStr">
        <is>
          <t>CIA DA SAUDE</t>
        </is>
      </c>
      <c r="C306" t="inlineStr">
        <is>
          <t>SC</t>
        </is>
      </c>
      <c r="D306" t="n">
        <v>4899981463</v>
      </c>
      <c r="E306" t="inlineStr">
        <is>
          <t>Plano de Negócio</t>
        </is>
      </c>
      <c r="F306" t="inlineStr">
        <is>
          <t>CIA DA SAUDE</t>
        </is>
      </c>
      <c r="G306" t="inlineStr">
        <is>
          <t>demais</t>
        </is>
      </c>
      <c r="H306" t="inlineStr">
        <is>
          <t>JULIO GADRET</t>
        </is>
      </c>
    </row>
    <row r="307">
      <c r="A307" t="n">
        <v>0.240997</v>
      </c>
      <c r="B307" t="inlineStr">
        <is>
          <t>SEM GRUPO</t>
        </is>
      </c>
      <c r="C307" t="inlineStr">
        <is>
          <t>RS</t>
        </is>
      </c>
      <c r="D307" t="n">
        <v>51984314995</v>
      </c>
      <c r="E307" t="inlineStr">
        <is>
          <t>Plano de Negócio</t>
        </is>
      </c>
      <c r="F307" t="inlineStr">
        <is>
          <t>SEM REDE</t>
        </is>
      </c>
      <c r="G307" t="inlineStr">
        <is>
          <t>demais</t>
        </is>
      </c>
      <c r="H307" t="inlineStr">
        <is>
          <t>HEMANUELE DITZEL (MANU)</t>
        </is>
      </c>
    </row>
    <row r="308">
      <c r="A308" t="n">
        <v>0.132352</v>
      </c>
      <c r="B308" t="inlineStr">
        <is>
          <t>VIDA LEVE</t>
        </is>
      </c>
      <c r="C308" t="inlineStr">
        <is>
          <t>PI</t>
        </is>
      </c>
      <c r="D308" t="n">
        <v>8632319828</v>
      </c>
      <c r="E308" t="inlineStr">
        <is>
          <t>Plano de Negócio</t>
        </is>
      </c>
      <c r="F308" t="inlineStr">
        <is>
          <t>VIDA LEVE</t>
        </is>
      </c>
      <c r="G308" t="inlineStr">
        <is>
          <t>demais</t>
        </is>
      </c>
      <c r="H308" t="inlineStr">
        <is>
          <t>DAIANE STAVICKI</t>
        </is>
      </c>
    </row>
    <row r="309">
      <c r="A309" t="n">
        <v>0.239984</v>
      </c>
      <c r="B309" t="inlineStr">
        <is>
          <t>SEM GRUPO</t>
        </is>
      </c>
      <c r="C309" t="inlineStr">
        <is>
          <t>RS</t>
        </is>
      </c>
      <c r="D309" t="n">
        <v>5199929880</v>
      </c>
      <c r="E309" t="inlineStr">
        <is>
          <t>Plano de Negócio</t>
        </is>
      </c>
      <c r="F309" t="inlineStr">
        <is>
          <t>SEM REDE</t>
        </is>
      </c>
      <c r="G309" t="inlineStr">
        <is>
          <t>demais</t>
        </is>
      </c>
      <c r="H309" t="inlineStr">
        <is>
          <t>HEMANUELE DITZEL (MANU)</t>
        </is>
      </c>
    </row>
    <row r="310">
      <c r="A310" t="n">
        <v>0.239346</v>
      </c>
      <c r="B310" t="inlineStr">
        <is>
          <t>SEM GRUPO</t>
        </is>
      </c>
      <c r="C310" t="inlineStr">
        <is>
          <t>RS</t>
        </is>
      </c>
      <c r="D310" t="n">
        <v>5121601195</v>
      </c>
      <c r="E310" t="inlineStr">
        <is>
          <t>Plano de Negócio</t>
        </is>
      </c>
      <c r="F310" t="inlineStr">
        <is>
          <t>SEM REDE</t>
        </is>
      </c>
      <c r="G310" t="inlineStr">
        <is>
          <t>demais</t>
        </is>
      </c>
      <c r="H310" t="inlineStr">
        <is>
          <t>HEMANUELE DITZEL (MANU)</t>
        </is>
      </c>
    </row>
    <row r="311">
      <c r="A311" t="n">
        <v>0.125193</v>
      </c>
      <c r="B311" t="inlineStr">
        <is>
          <t>FITLAND</t>
        </is>
      </c>
      <c r="C311" t="inlineStr">
        <is>
          <t>RS</t>
        </is>
      </c>
      <c r="D311" t="n">
        <v>5381462009</v>
      </c>
      <c r="E311" t="inlineStr">
        <is>
          <t>Plano de Negócio</t>
        </is>
      </c>
      <c r="F311" t="inlineStr">
        <is>
          <t>FITLAND</t>
        </is>
      </c>
      <c r="G311" t="inlineStr">
        <is>
          <t>demais</t>
        </is>
      </c>
      <c r="H311" t="inlineStr">
        <is>
          <t>JULIO GADRET</t>
        </is>
      </c>
    </row>
    <row r="312">
      <c r="A312" t="n">
        <v>0.237934</v>
      </c>
      <c r="B312" t="inlineStr">
        <is>
          <t>SEM GRUPO</t>
        </is>
      </c>
      <c r="C312" t="inlineStr">
        <is>
          <t>SP</t>
        </is>
      </c>
      <c r="D312" t="n">
        <v>1897663455</v>
      </c>
      <c r="E312" t="inlineStr">
        <is>
          <t>Plano de Negócio</t>
        </is>
      </c>
      <c r="F312" t="inlineStr">
        <is>
          <t>SEM REDE</t>
        </is>
      </c>
      <c r="G312" t="inlineStr">
        <is>
          <t>demais</t>
        </is>
      </c>
      <c r="H312" t="inlineStr">
        <is>
          <t>LARISSA PADILHA</t>
        </is>
      </c>
    </row>
    <row r="313">
      <c r="A313" t="n">
        <v>0.237836</v>
      </c>
      <c r="B313" t="inlineStr">
        <is>
          <t>SEM GRUPO</t>
        </is>
      </c>
      <c r="C313" t="inlineStr">
        <is>
          <t>RS</t>
        </is>
      </c>
      <c r="D313" t="n">
        <v>51982920694</v>
      </c>
      <c r="E313" t="inlineStr">
        <is>
          <t>Plano de Negócio</t>
        </is>
      </c>
      <c r="F313" t="inlineStr">
        <is>
          <t>SEM REDE</t>
        </is>
      </c>
      <c r="G313" t="inlineStr">
        <is>
          <t>demais</t>
        </is>
      </c>
      <c r="H313" t="inlineStr">
        <is>
          <t>HEMANUELE DITZEL (MANU)</t>
        </is>
      </c>
    </row>
    <row r="314">
      <c r="A314" t="n">
        <v>0.236593</v>
      </c>
      <c r="B314" t="inlineStr">
        <is>
          <t>SEM GRUPO</t>
        </is>
      </c>
      <c r="C314" t="inlineStr">
        <is>
          <t>MG</t>
        </is>
      </c>
      <c r="D314" t="n">
        <v>31994766841</v>
      </c>
      <c r="E314" t="inlineStr">
        <is>
          <t>Plano de Negócio</t>
        </is>
      </c>
      <c r="F314" t="inlineStr">
        <is>
          <t>SEM REDE</t>
        </is>
      </c>
      <c r="G314" t="inlineStr">
        <is>
          <t>demais</t>
        </is>
      </c>
      <c r="H314" t="inlineStr">
        <is>
          <t>LARISSA PADILHA</t>
        </is>
      </c>
    </row>
    <row r="315">
      <c r="A315" t="n">
        <v>0.195552</v>
      </c>
      <c r="B315" t="inlineStr">
        <is>
          <t>DIVINA TERRA</t>
        </is>
      </c>
      <c r="C315" t="inlineStr">
        <is>
          <t>MT</t>
        </is>
      </c>
      <c r="D315" t="n">
        <v>66999655258</v>
      </c>
      <c r="E315" t="inlineStr">
        <is>
          <t>Plano de Negócio</t>
        </is>
      </c>
      <c r="F315" t="inlineStr">
        <is>
          <t>DIVINA TERRA</t>
        </is>
      </c>
      <c r="G315" t="inlineStr">
        <is>
          <t>demais</t>
        </is>
      </c>
      <c r="H315" t="inlineStr">
        <is>
          <t>HEMANUELE DITZEL (MANU)</t>
        </is>
      </c>
    </row>
    <row r="316">
      <c r="A316" t="n">
        <v>0.226672</v>
      </c>
      <c r="B316" t="inlineStr">
        <is>
          <t>SEM GRUPO</t>
        </is>
      </c>
      <c r="C316" t="inlineStr">
        <is>
          <t>SC</t>
        </is>
      </c>
      <c r="D316" t="n">
        <v>47988187995</v>
      </c>
      <c r="E316" t="inlineStr">
        <is>
          <t>Plano de Negócio</t>
        </is>
      </c>
      <c r="F316" t="inlineStr">
        <is>
          <t>SEM REDE</t>
        </is>
      </c>
      <c r="G316" t="inlineStr">
        <is>
          <t>demais</t>
        </is>
      </c>
      <c r="H316" t="inlineStr">
        <is>
          <t>JULIO GADRET</t>
        </is>
      </c>
    </row>
    <row r="317">
      <c r="A317" t="n">
        <v>0.118719</v>
      </c>
      <c r="B317" t="inlineStr">
        <is>
          <t>FITLAND</t>
        </is>
      </c>
      <c r="C317" t="inlineStr">
        <is>
          <t>SC</t>
        </is>
      </c>
      <c r="D317" t="n">
        <v>4896885390</v>
      </c>
      <c r="E317" t="inlineStr">
        <is>
          <t>Plano de Negócio</t>
        </is>
      </c>
      <c r="F317" t="inlineStr">
        <is>
          <t>FITLAND</t>
        </is>
      </c>
      <c r="G317" t="inlineStr">
        <is>
          <t>demais</t>
        </is>
      </c>
      <c r="H317" t="inlineStr">
        <is>
          <t>JULIO GADRET</t>
        </is>
      </c>
    </row>
    <row r="318">
      <c r="A318" t="n">
        <v>0.225848</v>
      </c>
      <c r="B318" t="inlineStr">
        <is>
          <t>SEM GRUPO</t>
        </is>
      </c>
      <c r="C318" t="inlineStr">
        <is>
          <t>MG</t>
        </is>
      </c>
      <c r="D318" t="n">
        <v>37988512269</v>
      </c>
      <c r="E318" t="inlineStr">
        <is>
          <t>Plano de Negócio</t>
        </is>
      </c>
      <c r="F318" t="inlineStr">
        <is>
          <t>SEM REDE</t>
        </is>
      </c>
      <c r="G318" t="inlineStr">
        <is>
          <t>demais</t>
        </is>
      </c>
      <c r="H318" t="inlineStr">
        <is>
          <t>LARISSA PADILHA</t>
        </is>
      </c>
    </row>
    <row r="319">
      <c r="A319" t="n">
        <v>0.225234</v>
      </c>
      <c r="B319" t="inlineStr">
        <is>
          <t>SEM GRUPO</t>
        </is>
      </c>
      <c r="C319" t="inlineStr">
        <is>
          <t>PR</t>
        </is>
      </c>
      <c r="D319" t="n">
        <v>4136413030</v>
      </c>
      <c r="E319" t="inlineStr">
        <is>
          <t>Plano de Negócio</t>
        </is>
      </c>
      <c r="F319" t="inlineStr">
        <is>
          <t>SEM REDE</t>
        </is>
      </c>
      <c r="G319" t="inlineStr">
        <is>
          <t>demais</t>
        </is>
      </c>
      <c r="H319" t="inlineStr">
        <is>
          <t>HEMANUELE DITZEL (MANU)</t>
        </is>
      </c>
    </row>
    <row r="320">
      <c r="A320" t="n">
        <v>0.121994</v>
      </c>
      <c r="B320" t="inlineStr">
        <is>
          <t>VIDA LEVE</t>
        </is>
      </c>
      <c r="C320" t="inlineStr">
        <is>
          <t>SC</t>
        </is>
      </c>
      <c r="D320" t="n">
        <v>49999128183</v>
      </c>
      <c r="E320" t="inlineStr">
        <is>
          <t>Plano de Negócio</t>
        </is>
      </c>
      <c r="F320" t="inlineStr">
        <is>
          <t>VIDA LEVE</t>
        </is>
      </c>
      <c r="G320" t="inlineStr">
        <is>
          <t>demais</t>
        </is>
      </c>
      <c r="H320" t="inlineStr">
        <is>
          <t>HEMANUELE DITZEL (MANU)</t>
        </is>
      </c>
    </row>
    <row r="321">
      <c r="A321" t="n">
        <v>0.218472</v>
      </c>
      <c r="B321" t="inlineStr">
        <is>
          <t>SEM GRUPO</t>
        </is>
      </c>
      <c r="C321" t="inlineStr">
        <is>
          <t>MG</t>
        </is>
      </c>
      <c r="D321" t="n">
        <v>3332461105</v>
      </c>
      <c r="E321" t="inlineStr">
        <is>
          <t>Plano de Negócio</t>
        </is>
      </c>
      <c r="F321" t="inlineStr">
        <is>
          <t>SEM REDE</t>
        </is>
      </c>
      <c r="G321" t="inlineStr">
        <is>
          <t>demais</t>
        </is>
      </c>
      <c r="H321" t="inlineStr">
        <is>
          <t>LARISSA PADILHA</t>
        </is>
      </c>
    </row>
    <row r="322">
      <c r="A322" t="n">
        <v>0.216663</v>
      </c>
      <c r="B322" t="inlineStr">
        <is>
          <t>SEM GRUPO</t>
        </is>
      </c>
      <c r="C322" t="inlineStr">
        <is>
          <t>SC</t>
        </is>
      </c>
      <c r="D322" t="n">
        <v>47984391430</v>
      </c>
      <c r="E322" t="inlineStr">
        <is>
          <t>Plano de Negócio</t>
        </is>
      </c>
      <c r="F322" t="inlineStr">
        <is>
          <t>SEM REDE</t>
        </is>
      </c>
      <c r="G322" t="inlineStr">
        <is>
          <t>demais</t>
        </is>
      </c>
      <c r="H322" t="inlineStr">
        <is>
          <t>HEMANUELE DITZEL (MANU)</t>
        </is>
      </c>
    </row>
    <row r="323">
      <c r="A323" t="n">
        <v>0.216346</v>
      </c>
      <c r="B323" t="inlineStr">
        <is>
          <t>SEM GRUPO</t>
        </is>
      </c>
      <c r="C323" t="inlineStr">
        <is>
          <t>RJ</t>
        </is>
      </c>
      <c r="D323" t="n">
        <v>24988662213</v>
      </c>
      <c r="E323" t="inlineStr">
        <is>
          <t>Plano de Negócio</t>
        </is>
      </c>
      <c r="F323" t="inlineStr">
        <is>
          <t>SEM REDE</t>
        </is>
      </c>
      <c r="G323" t="inlineStr">
        <is>
          <t>demais</t>
        </is>
      </c>
      <c r="H323" t="inlineStr">
        <is>
          <t>LARISSA PADILHA</t>
        </is>
      </c>
    </row>
    <row r="324">
      <c r="A324" t="n">
        <v>0.112694</v>
      </c>
      <c r="B324" t="inlineStr">
        <is>
          <t>FITLAND</t>
        </is>
      </c>
      <c r="C324" t="inlineStr">
        <is>
          <t>SC</t>
        </is>
      </c>
      <c r="D324" t="n">
        <v>4899454161</v>
      </c>
      <c r="E324" t="inlineStr">
        <is>
          <t>Plano de Negócio</t>
        </is>
      </c>
      <c r="F324" t="inlineStr">
        <is>
          <t>FITLAND</t>
        </is>
      </c>
      <c r="G324" t="inlineStr">
        <is>
          <t>demais</t>
        </is>
      </c>
      <c r="H324" t="inlineStr">
        <is>
          <t>JULIO GADRET</t>
        </is>
      </c>
    </row>
    <row r="325">
      <c r="A325" t="n">
        <v>0.117941</v>
      </c>
      <c r="B325" t="inlineStr">
        <is>
          <t>VIDA LEVE</t>
        </is>
      </c>
      <c r="C325" t="inlineStr">
        <is>
          <t>SC</t>
        </is>
      </c>
      <c r="D325" t="n">
        <v>48996572969</v>
      </c>
      <c r="E325" t="inlineStr">
        <is>
          <t>Plano de Negócio</t>
        </is>
      </c>
      <c r="F325" t="inlineStr">
        <is>
          <t>VIDA LEVE</t>
        </is>
      </c>
      <c r="G325" t="inlineStr">
        <is>
          <t>demais</t>
        </is>
      </c>
      <c r="H325" t="inlineStr">
        <is>
          <t>DAIANE STAVICKI</t>
        </is>
      </c>
    </row>
    <row r="326">
      <c r="A326" t="n">
        <v>0.117647</v>
      </c>
      <c r="B326" t="inlineStr">
        <is>
          <t>VIDA LEVE</t>
        </is>
      </c>
      <c r="C326" t="inlineStr">
        <is>
          <t>SP</t>
        </is>
      </c>
      <c r="D326" t="n">
        <v>15997814718</v>
      </c>
      <c r="E326" t="inlineStr">
        <is>
          <t>Plano de Negócio</t>
        </is>
      </c>
      <c r="F326" t="inlineStr">
        <is>
          <t>VIDA LEVE</t>
        </is>
      </c>
      <c r="G326" t="inlineStr">
        <is>
          <t>demais</t>
        </is>
      </c>
      <c r="H326" t="inlineStr">
        <is>
          <t>DAIANE STAVICKI</t>
        </is>
      </c>
    </row>
    <row r="327">
      <c r="A327" t="n">
        <v>0.110345</v>
      </c>
      <c r="B327" t="inlineStr">
        <is>
          <t>CIA DA SAUDE</t>
        </is>
      </c>
      <c r="C327" t="inlineStr">
        <is>
          <t>RS</t>
        </is>
      </c>
      <c r="D327" t="n">
        <v>48996729514</v>
      </c>
      <c r="E327" t="inlineStr">
        <is>
          <t>Plano de Negócio</t>
        </is>
      </c>
      <c r="F327" t="inlineStr">
        <is>
          <t>CIA DA SAUDE</t>
        </is>
      </c>
      <c r="G327" t="inlineStr">
        <is>
          <t>demais</t>
        </is>
      </c>
      <c r="H327" t="inlineStr">
        <is>
          <t>JULIO GADRET</t>
        </is>
      </c>
    </row>
    <row r="328">
      <c r="A328" t="n">
        <v>0.213694</v>
      </c>
      <c r="B328" t="inlineStr">
        <is>
          <t>SEM GRUPO</t>
        </is>
      </c>
      <c r="C328" t="inlineStr">
        <is>
          <t>SC</t>
        </is>
      </c>
      <c r="D328" t="n">
        <v>4884867502</v>
      </c>
      <c r="E328" t="inlineStr">
        <is>
          <t>Plano de Negócio</t>
        </is>
      </c>
      <c r="F328" t="inlineStr">
        <is>
          <t>SEM REDE</t>
        </is>
      </c>
      <c r="G328" t="inlineStr">
        <is>
          <t>demais</t>
        </is>
      </c>
      <c r="H328" t="inlineStr">
        <is>
          <t>JULIO GADRET</t>
        </is>
      </c>
    </row>
    <row r="329">
      <c r="A329" t="n">
        <v>0.102531</v>
      </c>
      <c r="B329" t="inlineStr">
        <is>
          <t>MUNDO VERDE</t>
        </is>
      </c>
      <c r="C329" t="inlineStr">
        <is>
          <t>RJ</t>
        </is>
      </c>
      <c r="D329" t="n">
        <v>21999780717</v>
      </c>
      <c r="E329" t="inlineStr">
        <is>
          <t>Plano de Negócio</t>
        </is>
      </c>
      <c r="F329" t="inlineStr">
        <is>
          <t>MUNDO VERDE</t>
        </is>
      </c>
      <c r="G329" t="inlineStr">
        <is>
          <t>demais</t>
        </is>
      </c>
      <c r="H329" t="inlineStr">
        <is>
          <t>LARISSA PADILHA</t>
        </is>
      </c>
    </row>
    <row r="330">
      <c r="A330" t="n">
        <v>0.213309</v>
      </c>
      <c r="B330" t="inlineStr">
        <is>
          <t>SEM GRUPO</t>
        </is>
      </c>
      <c r="C330" t="inlineStr">
        <is>
          <t>MG</t>
        </is>
      </c>
      <c r="D330" t="n">
        <v>3433176069</v>
      </c>
      <c r="E330" t="inlineStr">
        <is>
          <t>Plano de Negócio</t>
        </is>
      </c>
      <c r="F330" t="inlineStr">
        <is>
          <t>SEM REDE</t>
        </is>
      </c>
      <c r="G330" t="inlineStr">
        <is>
          <t>demais</t>
        </is>
      </c>
      <c r="H330" t="inlineStr">
        <is>
          <t>LARISSA PADILHA</t>
        </is>
      </c>
    </row>
    <row r="331">
      <c r="A331" t="n">
        <v>0.111745</v>
      </c>
      <c r="B331" t="inlineStr">
        <is>
          <t>FITLAND</t>
        </is>
      </c>
      <c r="C331" t="inlineStr">
        <is>
          <t>SC</t>
        </is>
      </c>
      <c r="D331" t="n">
        <v>47984339656</v>
      </c>
      <c r="E331" t="inlineStr">
        <is>
          <t>Plano de Negócio</t>
        </is>
      </c>
      <c r="F331" t="inlineStr">
        <is>
          <t>FITLAND</t>
        </is>
      </c>
      <c r="G331" t="inlineStr">
        <is>
          <t>demais</t>
        </is>
      </c>
      <c r="H331" t="inlineStr">
        <is>
          <t>JULIO GADRET</t>
        </is>
      </c>
    </row>
    <row r="332">
      <c r="A332" t="n">
        <v>0.111745</v>
      </c>
      <c r="B332" t="inlineStr">
        <is>
          <t>FITLAND</t>
        </is>
      </c>
      <c r="C332" t="inlineStr">
        <is>
          <t>SC</t>
        </is>
      </c>
      <c r="D332" t="n">
        <v>4899634376</v>
      </c>
      <c r="E332" t="inlineStr">
        <is>
          <t>Plano de Negócio</t>
        </is>
      </c>
      <c r="F332" t="inlineStr">
        <is>
          <t>FITLAND</t>
        </is>
      </c>
      <c r="G332" t="inlineStr">
        <is>
          <t>demais</t>
        </is>
      </c>
      <c r="H332" t="inlineStr">
        <is>
          <t>JULIO GADRET</t>
        </is>
      </c>
    </row>
    <row r="333">
      <c r="A333" t="n">
        <v>0.21306</v>
      </c>
      <c r="B333" t="inlineStr">
        <is>
          <t>SEM GRUPO</t>
        </is>
      </c>
      <c r="C333" t="inlineStr">
        <is>
          <t>SC</t>
        </is>
      </c>
      <c r="D333" t="n">
        <v>48991061749</v>
      </c>
      <c r="E333" t="inlineStr">
        <is>
          <t>Plano de Negócio</t>
        </is>
      </c>
      <c r="F333" t="inlineStr">
        <is>
          <t>SEM REDE</t>
        </is>
      </c>
      <c r="G333" t="inlineStr">
        <is>
          <t>demais</t>
        </is>
      </c>
      <c r="H333" t="inlineStr">
        <is>
          <t>HEMANUELE DITZEL (MANU)</t>
        </is>
      </c>
    </row>
    <row r="334">
      <c r="A334" t="n">
        <v>0.21306</v>
      </c>
      <c r="B334" t="inlineStr">
        <is>
          <t>SEM GRUPO</t>
        </is>
      </c>
      <c r="C334" t="inlineStr">
        <is>
          <t>SC</t>
        </is>
      </c>
      <c r="D334" t="n">
        <v>47988853938</v>
      </c>
      <c r="E334" t="inlineStr">
        <is>
          <t>Plano de Negócio</t>
        </is>
      </c>
      <c r="F334" t="inlineStr">
        <is>
          <t>SEM REDE</t>
        </is>
      </c>
      <c r="G334" t="inlineStr">
        <is>
          <t>demais</t>
        </is>
      </c>
      <c r="H334" t="inlineStr">
        <is>
          <t>HEMANUELE DITZEL (MANU)</t>
        </is>
      </c>
    </row>
    <row r="335">
      <c r="A335" t="n">
        <v>0.111745</v>
      </c>
      <c r="B335" t="inlineStr">
        <is>
          <t>FITLAND</t>
        </is>
      </c>
      <c r="C335" t="inlineStr">
        <is>
          <t>SC</t>
        </is>
      </c>
      <c r="D335" t="n">
        <v>47988202632</v>
      </c>
      <c r="E335" t="inlineStr">
        <is>
          <t>Plano de Negócio</t>
        </is>
      </c>
      <c r="F335" t="inlineStr">
        <is>
          <t>FITLAND</t>
        </is>
      </c>
      <c r="G335" t="inlineStr">
        <is>
          <t>demais</t>
        </is>
      </c>
      <c r="H335" t="inlineStr">
        <is>
          <t>JULIO GADRET</t>
        </is>
      </c>
    </row>
    <row r="336">
      <c r="A336" t="n">
        <v>0.111745</v>
      </c>
      <c r="B336" t="inlineStr">
        <is>
          <t>FITLAND</t>
        </is>
      </c>
      <c r="C336" t="inlineStr">
        <is>
          <t>SC</t>
        </is>
      </c>
      <c r="D336" t="n">
        <v>47991693934</v>
      </c>
      <c r="E336" t="inlineStr">
        <is>
          <t>Plano de Negócio</t>
        </is>
      </c>
      <c r="F336" t="inlineStr">
        <is>
          <t>FITLAND</t>
        </is>
      </c>
      <c r="G336" t="inlineStr">
        <is>
          <t>demais</t>
        </is>
      </c>
      <c r="H336" t="inlineStr">
        <is>
          <t>JULIO GADRET</t>
        </is>
      </c>
    </row>
    <row r="337">
      <c r="A337" t="n">
        <v>0.212038</v>
      </c>
      <c r="B337" t="inlineStr">
        <is>
          <t>SEM GRUPO</t>
        </is>
      </c>
      <c r="C337" t="inlineStr">
        <is>
          <t>RS</t>
        </is>
      </c>
      <c r="D337" t="n">
        <v>55374460775</v>
      </c>
      <c r="E337" t="inlineStr">
        <is>
          <t>Plano de Negócio</t>
        </is>
      </c>
      <c r="F337" t="inlineStr">
        <is>
          <t>SEM REDE</t>
        </is>
      </c>
      <c r="G337" t="inlineStr">
        <is>
          <t>demais</t>
        </is>
      </c>
      <c r="H337" t="inlineStr">
        <is>
          <t>HEMANUELE DITZEL (MANU)</t>
        </is>
      </c>
    </row>
    <row r="338">
      <c r="A338" t="n">
        <v>0.211782</v>
      </c>
      <c r="B338" t="inlineStr">
        <is>
          <t>SEM GRUPO</t>
        </is>
      </c>
      <c r="C338" t="inlineStr">
        <is>
          <t>MG</t>
        </is>
      </c>
      <c r="D338" t="n">
        <v>31985556502</v>
      </c>
      <c r="E338" t="inlineStr">
        <is>
          <t>Plano de Negócio</t>
        </is>
      </c>
      <c r="F338" t="inlineStr">
        <is>
          <t>SEM REDE</t>
        </is>
      </c>
      <c r="G338" t="inlineStr">
        <is>
          <t>demais</t>
        </is>
      </c>
      <c r="H338" t="inlineStr">
        <is>
          <t>LARISSA PADILHA</t>
        </is>
      </c>
    </row>
    <row r="339">
      <c r="A339" t="n">
        <v>0.211217</v>
      </c>
      <c r="B339" t="inlineStr">
        <is>
          <t>SEM GRUPO</t>
        </is>
      </c>
      <c r="C339" t="inlineStr">
        <is>
          <t>RJ</t>
        </is>
      </c>
      <c r="D339" t="n">
        <v>21982570331</v>
      </c>
      <c r="E339" t="inlineStr">
        <is>
          <t>Plano de Negócio</t>
        </is>
      </c>
      <c r="F339" t="inlineStr">
        <is>
          <t>SEM REDE</t>
        </is>
      </c>
      <c r="G339" t="inlineStr">
        <is>
          <t>demais</t>
        </is>
      </c>
      <c r="H339" t="inlineStr">
        <is>
          <t>LARISSA PADILHA</t>
        </is>
      </c>
    </row>
    <row r="340">
      <c r="A340" t="n">
        <v>0.180343</v>
      </c>
      <c r="B340" t="inlineStr">
        <is>
          <t>DIVINA TERRA</t>
        </is>
      </c>
      <c r="C340" t="inlineStr">
        <is>
          <t>SC</t>
        </is>
      </c>
      <c r="D340" t="n">
        <v>51985386315</v>
      </c>
      <c r="E340" t="inlineStr">
        <is>
          <t>Plano de Negócio</t>
        </is>
      </c>
      <c r="F340" t="inlineStr">
        <is>
          <t>DIVINA TERRA</t>
        </is>
      </c>
      <c r="G340" t="inlineStr">
        <is>
          <t>demais</t>
        </is>
      </c>
      <c r="H340" t="inlineStr">
        <is>
          <t>DAIANE STAVICKI</t>
        </is>
      </c>
    </row>
    <row r="341">
      <c r="A341" t="n">
        <v>0.210825</v>
      </c>
      <c r="B341" t="inlineStr">
        <is>
          <t>SEM GRUPO</t>
        </is>
      </c>
      <c r="C341" t="inlineStr">
        <is>
          <t>RS</t>
        </is>
      </c>
      <c r="D341" t="n">
        <v>54984141222</v>
      </c>
      <c r="E341" t="inlineStr">
        <is>
          <t>Plano de Negócio</t>
        </is>
      </c>
      <c r="F341" t="inlineStr">
        <is>
          <t>SEM REDE</t>
        </is>
      </c>
      <c r="G341" t="inlineStr">
        <is>
          <t>demais</t>
        </is>
      </c>
      <c r="H341" t="inlineStr">
        <is>
          <t>HEMANUELE DITZEL (MANU)</t>
        </is>
      </c>
    </row>
    <row r="342">
      <c r="A342" t="n">
        <v>0.210624</v>
      </c>
      <c r="B342" t="inlineStr">
        <is>
          <t>SEM GRUPO</t>
        </is>
      </c>
      <c r="C342" t="inlineStr">
        <is>
          <t>SP</t>
        </is>
      </c>
      <c r="D342" t="n">
        <v>1199513202</v>
      </c>
      <c r="E342" t="inlineStr">
        <is>
          <t>Plano de Negócio</t>
        </is>
      </c>
      <c r="F342" t="inlineStr">
        <is>
          <t>SEM REDE</t>
        </is>
      </c>
      <c r="G342" t="inlineStr">
        <is>
          <t>demais</t>
        </is>
      </c>
      <c r="H342" t="inlineStr">
        <is>
          <t>LARISSA PADILHA</t>
        </is>
      </c>
    </row>
    <row r="343">
      <c r="A343" t="n">
        <v>0.209848</v>
      </c>
      <c r="B343" t="inlineStr">
        <is>
          <t>SEM GRUPO</t>
        </is>
      </c>
      <c r="C343" t="inlineStr">
        <is>
          <t>SP</t>
        </is>
      </c>
      <c r="D343" t="n">
        <v>15981727787</v>
      </c>
      <c r="E343" t="inlineStr">
        <is>
          <t>Plano de Negócio</t>
        </is>
      </c>
      <c r="F343" t="inlineStr">
        <is>
          <t>SEM REDE</t>
        </is>
      </c>
      <c r="G343" t="inlineStr">
        <is>
          <t>demais</t>
        </is>
      </c>
      <c r="H343" t="inlineStr">
        <is>
          <t>LARISSA PADILHA</t>
        </is>
      </c>
    </row>
    <row r="344">
      <c r="A344" t="n">
        <v>0.179231</v>
      </c>
      <c r="B344" t="inlineStr">
        <is>
          <t>DIVINA TERRA</t>
        </is>
      </c>
      <c r="C344" t="inlineStr">
        <is>
          <t>PR</t>
        </is>
      </c>
      <c r="D344" t="n">
        <v>4399325611</v>
      </c>
      <c r="E344" t="inlineStr">
        <is>
          <t>Plano de Negócio</t>
        </is>
      </c>
      <c r="F344" t="inlineStr">
        <is>
          <t>DIVINA TERRA</t>
        </is>
      </c>
      <c r="G344" t="inlineStr">
        <is>
          <t>demais</t>
        </is>
      </c>
      <c r="H344" t="inlineStr">
        <is>
          <t>DAIANE STAVICKI</t>
        </is>
      </c>
    </row>
    <row r="345">
      <c r="A345" t="n">
        <v>0.209369</v>
      </c>
      <c r="B345" t="inlineStr">
        <is>
          <t>SEM GRUPO</t>
        </is>
      </c>
      <c r="C345" t="inlineStr">
        <is>
          <t>PE</t>
        </is>
      </c>
      <c r="D345" t="n">
        <v>8192761730</v>
      </c>
      <c r="E345" t="inlineStr">
        <is>
          <t>Plano de Negócio</t>
        </is>
      </c>
      <c r="F345" t="inlineStr">
        <is>
          <t>SEM REDE</t>
        </is>
      </c>
      <c r="G345" t="inlineStr">
        <is>
          <t>demais</t>
        </is>
      </c>
      <c r="H345" t="inlineStr">
        <is>
          <t>LARISSA PADILHA</t>
        </is>
      </c>
    </row>
    <row r="346">
      <c r="A346" t="n">
        <v>0.209171</v>
      </c>
      <c r="B346" t="inlineStr">
        <is>
          <t>SEM GRUPO</t>
        </is>
      </c>
      <c r="C346" t="inlineStr">
        <is>
          <t>PI</t>
        </is>
      </c>
      <c r="D346" t="n">
        <v>8688936533</v>
      </c>
      <c r="E346" t="inlineStr">
        <is>
          <t>Plano de Negócio</t>
        </is>
      </c>
      <c r="F346" t="inlineStr">
        <is>
          <t>SEM REDE</t>
        </is>
      </c>
      <c r="G346" t="inlineStr">
        <is>
          <t>demais</t>
        </is>
      </c>
      <c r="H346" t="inlineStr">
        <is>
          <t>HEMANUELE DITZEL (MANU)</t>
        </is>
      </c>
    </row>
    <row r="347">
      <c r="A347" t="n">
        <v>0.114622</v>
      </c>
      <c r="B347" t="inlineStr">
        <is>
          <t>VIDA LEVE</t>
        </is>
      </c>
      <c r="C347" t="inlineStr">
        <is>
          <t>MT</t>
        </is>
      </c>
      <c r="D347" t="n">
        <v>6696180366</v>
      </c>
      <c r="E347" t="inlineStr">
        <is>
          <t>Plano de Negócio</t>
        </is>
      </c>
      <c r="F347" t="inlineStr">
        <is>
          <t>VIDA LEVE</t>
        </is>
      </c>
      <c r="G347" t="inlineStr">
        <is>
          <t>demais</t>
        </is>
      </c>
      <c r="H347" t="inlineStr">
        <is>
          <t>DAIANE STAVICKI</t>
        </is>
      </c>
    </row>
    <row r="348">
      <c r="A348" t="n">
        <v>0.207871</v>
      </c>
      <c r="B348" t="inlineStr">
        <is>
          <t>SEM GRUPO</t>
        </is>
      </c>
      <c r="C348" t="inlineStr">
        <is>
          <t>DF</t>
        </is>
      </c>
      <c r="D348" t="n">
        <v>6182406973</v>
      </c>
      <c r="E348" t="inlineStr">
        <is>
          <t>Plano de Negócio</t>
        </is>
      </c>
      <c r="F348" t="inlineStr">
        <is>
          <t>SEM REDE</t>
        </is>
      </c>
      <c r="G348" t="inlineStr">
        <is>
          <t>demais</t>
        </is>
      </c>
      <c r="H348" t="inlineStr">
        <is>
          <t>LARISSA PADILHA</t>
        </is>
      </c>
    </row>
    <row r="349">
      <c r="A349" t="n">
        <v>0.206904</v>
      </c>
      <c r="B349" t="inlineStr">
        <is>
          <t>SEM GRUPO</t>
        </is>
      </c>
      <c r="C349" t="inlineStr">
        <is>
          <t>PE</t>
        </is>
      </c>
      <c r="D349" t="n">
        <v>81987341303</v>
      </c>
      <c r="E349" t="inlineStr">
        <is>
          <t>Plano de Negócio</t>
        </is>
      </c>
      <c r="F349" t="inlineStr">
        <is>
          <t>SEM REDE</t>
        </is>
      </c>
      <c r="G349" t="inlineStr">
        <is>
          <t>demais</t>
        </is>
      </c>
      <c r="H349" t="inlineStr">
        <is>
          <t>LARISSA PADILHA</t>
        </is>
      </c>
    </row>
    <row r="350">
      <c r="A350" t="n">
        <v>0.205946</v>
      </c>
      <c r="B350" t="inlineStr">
        <is>
          <t>SEM GRUPO</t>
        </is>
      </c>
      <c r="C350" t="inlineStr">
        <is>
          <t>RS</t>
        </is>
      </c>
      <c r="D350" t="n">
        <v>54999740606</v>
      </c>
      <c r="E350" t="inlineStr">
        <is>
          <t>Plano de Negócio</t>
        </is>
      </c>
      <c r="F350" t="inlineStr">
        <is>
          <t>SEM REDE</t>
        </is>
      </c>
      <c r="G350" t="inlineStr">
        <is>
          <t>demais</t>
        </is>
      </c>
      <c r="H350" t="inlineStr">
        <is>
          <t>HEMANUELE DITZEL (MANU)</t>
        </is>
      </c>
    </row>
    <row r="351">
      <c r="A351" t="n">
        <v>0.203097</v>
      </c>
      <c r="B351" t="inlineStr">
        <is>
          <t>SEM GRUPO</t>
        </is>
      </c>
      <c r="C351" t="inlineStr">
        <is>
          <t>PR</t>
        </is>
      </c>
      <c r="D351" t="n">
        <v>4191464469</v>
      </c>
      <c r="E351" t="inlineStr">
        <is>
          <t>Plano de Negócio</t>
        </is>
      </c>
      <c r="F351" t="inlineStr">
        <is>
          <t>SEM REDE</t>
        </is>
      </c>
      <c r="G351" t="inlineStr">
        <is>
          <t>demais</t>
        </is>
      </c>
      <c r="H351" t="inlineStr">
        <is>
          <t>HEMANUELE DITZEL (MANU)</t>
        </is>
      </c>
    </row>
    <row r="352">
      <c r="A352" t="n">
        <v>0.104114</v>
      </c>
      <c r="B352" t="inlineStr">
        <is>
          <t>CIA DA SAUDE</t>
        </is>
      </c>
      <c r="C352" t="inlineStr">
        <is>
          <t>SC</t>
        </is>
      </c>
      <c r="D352" t="n">
        <v>4899981463</v>
      </c>
      <c r="E352" t="inlineStr">
        <is>
          <t>Plano de Negócio</t>
        </is>
      </c>
      <c r="F352" t="inlineStr">
        <is>
          <t>CIA DA SAUDE</t>
        </is>
      </c>
      <c r="G352" t="inlineStr">
        <is>
          <t>demais</t>
        </is>
      </c>
      <c r="H352" t="inlineStr">
        <is>
          <t>JULIO GADRET</t>
        </is>
      </c>
    </row>
    <row r="353">
      <c r="A353" t="n">
        <v>0.200292</v>
      </c>
      <c r="B353" t="inlineStr">
        <is>
          <t>SEM GRUPO</t>
        </is>
      </c>
      <c r="C353" t="inlineStr">
        <is>
          <t>MG</t>
        </is>
      </c>
      <c r="D353" t="n">
        <v>32999917795</v>
      </c>
      <c r="E353" t="inlineStr">
        <is>
          <t>Plano de Negócio</t>
        </is>
      </c>
      <c r="F353" t="inlineStr">
        <is>
          <t>SEM REDE</t>
        </is>
      </c>
      <c r="G353" t="inlineStr">
        <is>
          <t>demais</t>
        </is>
      </c>
      <c r="H353" t="inlineStr">
        <is>
          <t>LARISSA PADILHA</t>
        </is>
      </c>
    </row>
    <row r="354">
      <c r="A354" t="n">
        <v>0.197168</v>
      </c>
      <c r="B354" t="inlineStr">
        <is>
          <t>SEM GRUPO</t>
        </is>
      </c>
      <c r="C354" t="inlineStr">
        <is>
          <t>SC</t>
        </is>
      </c>
      <c r="D354" t="n">
        <v>48998189444</v>
      </c>
      <c r="E354" t="inlineStr">
        <is>
          <t>Plano de Negócio</t>
        </is>
      </c>
      <c r="F354" t="inlineStr">
        <is>
          <t>SEM REDE</t>
        </is>
      </c>
      <c r="G354" t="inlineStr">
        <is>
          <t>demais</t>
        </is>
      </c>
      <c r="H354" t="inlineStr">
        <is>
          <t>HEMANUELE DITZEL (MANU)</t>
        </is>
      </c>
    </row>
    <row r="355">
      <c r="A355" t="n">
        <v>0.196064</v>
      </c>
      <c r="B355" t="inlineStr">
        <is>
          <t>SEM GRUPO</t>
        </is>
      </c>
      <c r="C355" t="inlineStr">
        <is>
          <t>SP</t>
        </is>
      </c>
      <c r="D355" t="n">
        <v>31975430905</v>
      </c>
      <c r="E355" t="inlineStr">
        <is>
          <t>Plano de Negócio</t>
        </is>
      </c>
      <c r="F355" t="inlineStr">
        <is>
          <t>SEM REDE</t>
        </is>
      </c>
      <c r="G355" t="inlineStr">
        <is>
          <t>demais</t>
        </is>
      </c>
      <c r="H355" t="inlineStr">
        <is>
          <t>LARISSA PADILHA</t>
        </is>
      </c>
    </row>
    <row r="356">
      <c r="A356" t="n">
        <v>0.194802</v>
      </c>
      <c r="B356" t="inlineStr">
        <is>
          <t>SEM GRUPO</t>
        </is>
      </c>
      <c r="C356" t="inlineStr">
        <is>
          <t>PR</t>
        </is>
      </c>
      <c r="D356" t="n">
        <v>4134020880</v>
      </c>
      <c r="E356" t="inlineStr">
        <is>
          <t>Plano de Negócio</t>
        </is>
      </c>
      <c r="F356" t="inlineStr">
        <is>
          <t>SEM REDE</t>
        </is>
      </c>
      <c r="G356" t="inlineStr">
        <is>
          <t>demais</t>
        </is>
      </c>
      <c r="H356" t="inlineStr">
        <is>
          <t>HEMANUELE DITZEL (MANU)</t>
        </is>
      </c>
    </row>
    <row r="357">
      <c r="A357" t="n">
        <v>0.194725</v>
      </c>
      <c r="B357" t="inlineStr">
        <is>
          <t>SEM GRUPO</t>
        </is>
      </c>
      <c r="C357" t="inlineStr">
        <is>
          <t>SC</t>
        </is>
      </c>
      <c r="D357" t="n">
        <v>4891468756</v>
      </c>
      <c r="E357" t="inlineStr">
        <is>
          <t>Plano de Negócio</t>
        </is>
      </c>
      <c r="F357" t="inlineStr">
        <is>
          <t>SEM REDE</t>
        </is>
      </c>
      <c r="G357" t="inlineStr">
        <is>
          <t>demais</t>
        </is>
      </c>
      <c r="H357" t="inlineStr">
        <is>
          <t>JULIO GADRET</t>
        </is>
      </c>
    </row>
    <row r="358">
      <c r="A358" t="n">
        <v>0.192859</v>
      </c>
      <c r="B358" t="inlineStr">
        <is>
          <t>SEM GRUPO</t>
        </is>
      </c>
      <c r="C358" t="inlineStr">
        <is>
          <t>PA</t>
        </is>
      </c>
      <c r="D358" t="n">
        <v>9191637070</v>
      </c>
      <c r="E358" t="inlineStr">
        <is>
          <t>Plano de Negócio</t>
        </is>
      </c>
      <c r="F358" t="inlineStr">
        <is>
          <t>SEM REDE</t>
        </is>
      </c>
      <c r="G358" t="inlineStr">
        <is>
          <t>demais</t>
        </is>
      </c>
      <c r="H358" t="inlineStr">
        <is>
          <t>HEMANUELE DITZEL (MANU)</t>
        </is>
      </c>
    </row>
    <row r="359">
      <c r="A359" t="n">
        <v>0.100945</v>
      </c>
      <c r="B359" t="inlineStr">
        <is>
          <t>FITLAND</t>
        </is>
      </c>
      <c r="C359" t="inlineStr">
        <is>
          <t>SP</t>
        </is>
      </c>
      <c r="D359" t="n">
        <v>18996607425</v>
      </c>
      <c r="E359" t="inlineStr">
        <is>
          <t>Plano de Negócio</t>
        </is>
      </c>
      <c r="F359" t="inlineStr">
        <is>
          <t>FITLAND</t>
        </is>
      </c>
      <c r="G359" t="inlineStr">
        <is>
          <t>demais</t>
        </is>
      </c>
      <c r="H359" t="inlineStr">
        <is>
          <t>JULIO GADRET</t>
        </is>
      </c>
    </row>
    <row r="360">
      <c r="A360" t="n">
        <v>0.100824</v>
      </c>
      <c r="B360" t="inlineStr">
        <is>
          <t>FITLAND</t>
        </is>
      </c>
      <c r="C360" t="inlineStr">
        <is>
          <t>SC</t>
        </is>
      </c>
      <c r="D360" t="n">
        <v>4830147151</v>
      </c>
      <c r="E360" t="inlineStr">
        <is>
          <t>Plano de Negócio</t>
        </is>
      </c>
      <c r="F360" t="inlineStr">
        <is>
          <t>FITLAND</t>
        </is>
      </c>
      <c r="G360" t="inlineStr">
        <is>
          <t>demais</t>
        </is>
      </c>
      <c r="H360" t="inlineStr">
        <is>
          <t>JULIO GADRET</t>
        </is>
      </c>
    </row>
    <row r="361">
      <c r="A361" t="n">
        <v>0.192182</v>
      </c>
      <c r="B361" t="inlineStr">
        <is>
          <t>SEM GRUPO</t>
        </is>
      </c>
      <c r="C361" t="inlineStr">
        <is>
          <t>PR</t>
        </is>
      </c>
      <c r="D361" t="n">
        <v>41999389977</v>
      </c>
      <c r="E361" t="inlineStr">
        <is>
          <t>Plano de Negócio</t>
        </is>
      </c>
      <c r="F361" t="inlineStr">
        <is>
          <t>SEM REDE</t>
        </is>
      </c>
      <c r="G361" t="inlineStr">
        <is>
          <t>demais</t>
        </is>
      </c>
      <c r="H361" t="inlineStr">
        <is>
          <t>HEMANUELE DITZEL (MANU)</t>
        </is>
      </c>
    </row>
    <row r="362">
      <c r="A362" t="n">
        <v>0.190188</v>
      </c>
      <c r="B362" t="inlineStr">
        <is>
          <t>SEM GRUPO</t>
        </is>
      </c>
      <c r="C362" t="inlineStr">
        <is>
          <t>SC</t>
        </is>
      </c>
      <c r="D362" t="n">
        <v>4896330100</v>
      </c>
      <c r="E362" t="inlineStr">
        <is>
          <t>Plano de Negócio</t>
        </is>
      </c>
      <c r="F362" t="inlineStr">
        <is>
          <t>SEM REDE</t>
        </is>
      </c>
      <c r="G362" t="inlineStr">
        <is>
          <t>demais</t>
        </is>
      </c>
      <c r="H362" t="inlineStr">
        <is>
          <t>HEMANUELE DITZEL (MANU)</t>
        </is>
      </c>
    </row>
    <row r="363">
      <c r="A363" t="n">
        <v>0.189516</v>
      </c>
      <c r="B363" t="inlineStr">
        <is>
          <t>SEM GRUPO</t>
        </is>
      </c>
      <c r="C363" t="inlineStr">
        <is>
          <t>PR</t>
        </is>
      </c>
      <c r="D363" t="n">
        <v>4498062010</v>
      </c>
      <c r="E363" t="inlineStr">
        <is>
          <t>Plano de Negócio</t>
        </is>
      </c>
      <c r="F363" t="inlineStr">
        <is>
          <t>SEM REDE</t>
        </is>
      </c>
      <c r="G363" t="inlineStr">
        <is>
          <t>demais</t>
        </is>
      </c>
      <c r="H363" t="inlineStr">
        <is>
          <t>HEMANUELE DITZEL (MANU)</t>
        </is>
      </c>
    </row>
    <row r="364">
      <c r="A364" t="n">
        <v>0.188181</v>
      </c>
      <c r="B364" t="inlineStr">
        <is>
          <t>SEM GRUPO</t>
        </is>
      </c>
      <c r="C364" t="inlineStr">
        <is>
          <t>PR</t>
        </is>
      </c>
      <c r="D364" t="n">
        <v>4497324973</v>
      </c>
      <c r="E364" t="inlineStr">
        <is>
          <t>Plano de Negócio</t>
        </is>
      </c>
      <c r="F364" t="inlineStr">
        <is>
          <t>SEM REDE</t>
        </is>
      </c>
      <c r="G364" t="inlineStr">
        <is>
          <t>demais</t>
        </is>
      </c>
      <c r="H364" t="inlineStr">
        <is>
          <t>HEMANUELE DITZEL (MANU)</t>
        </is>
      </c>
    </row>
    <row r="365">
      <c r="A365" t="n">
        <v>0.096679</v>
      </c>
      <c r="B365" t="inlineStr">
        <is>
          <t>CIA DA SAUDE</t>
        </is>
      </c>
      <c r="C365" t="inlineStr">
        <is>
          <t>SC</t>
        </is>
      </c>
      <c r="D365" t="n">
        <v>48840020754</v>
      </c>
      <c r="E365" t="inlineStr">
        <is>
          <t>Prospecção</t>
        </is>
      </c>
      <c r="F365" t="inlineStr">
        <is>
          <t>CIA DA SAUDE</t>
        </is>
      </c>
      <c r="G365" t="inlineStr">
        <is>
          <t>demais</t>
        </is>
      </c>
      <c r="H365" t="inlineStr">
        <is>
          <t>JULIO GADRET</t>
        </is>
      </c>
    </row>
    <row r="366">
      <c r="A366" t="n">
        <v>0.187178</v>
      </c>
      <c r="B366" t="inlineStr">
        <is>
          <t>SEM GRUPO</t>
        </is>
      </c>
      <c r="C366" t="inlineStr">
        <is>
          <t>SP</t>
        </is>
      </c>
      <c r="D366" t="n">
        <v>19998124261</v>
      </c>
      <c r="E366" t="inlineStr">
        <is>
          <t>Plano de Negócio</t>
        </is>
      </c>
      <c r="F366" t="inlineStr">
        <is>
          <t>SEM REDE</t>
        </is>
      </c>
      <c r="G366" t="inlineStr">
        <is>
          <t>demais</t>
        </is>
      </c>
      <c r="H366" t="inlineStr">
        <is>
          <t>LARISSA PADILHA</t>
        </is>
      </c>
    </row>
    <row r="367">
      <c r="A367" t="n">
        <v>0.186316</v>
      </c>
      <c r="B367" t="inlineStr">
        <is>
          <t>SEM GRUPO</t>
        </is>
      </c>
      <c r="C367" t="inlineStr">
        <is>
          <t>SP</t>
        </is>
      </c>
      <c r="D367" t="n">
        <v>11980565198</v>
      </c>
      <c r="E367" t="inlineStr">
        <is>
          <t>Plano de Negócio</t>
        </is>
      </c>
      <c r="F367" t="inlineStr">
        <is>
          <t>SEM REDE</t>
        </is>
      </c>
      <c r="G367" t="inlineStr">
        <is>
          <t>demais</t>
        </is>
      </c>
      <c r="H367" t="inlineStr">
        <is>
          <t>LARISSA PADILHA</t>
        </is>
      </c>
    </row>
    <row r="368">
      <c r="A368" t="n">
        <v>0.18538</v>
      </c>
      <c r="B368" t="inlineStr">
        <is>
          <t>SEM GRUPO</t>
        </is>
      </c>
      <c r="C368" t="inlineStr">
        <is>
          <t>SP</t>
        </is>
      </c>
      <c r="D368" t="n">
        <v>17988136187</v>
      </c>
      <c r="E368" t="inlineStr">
        <is>
          <t>Plano de Negócio</t>
        </is>
      </c>
      <c r="F368" t="inlineStr">
        <is>
          <t>SEM REDE</t>
        </is>
      </c>
      <c r="G368" t="inlineStr">
        <is>
          <t>demais</t>
        </is>
      </c>
      <c r="H368" t="inlineStr">
        <is>
          <t>LARISSA PADILHA</t>
        </is>
      </c>
    </row>
    <row r="369">
      <c r="A369" t="n">
        <v>0.095057</v>
      </c>
      <c r="B369" t="inlineStr">
        <is>
          <t>CIA DA SAUDE</t>
        </is>
      </c>
      <c r="C369" t="inlineStr">
        <is>
          <t>SC</t>
        </is>
      </c>
      <c r="D369" t="n">
        <v>48999981463</v>
      </c>
      <c r="E369" t="inlineStr">
        <is>
          <t>Prospecção</t>
        </is>
      </c>
      <c r="F369" t="inlineStr">
        <is>
          <t>CIA DA SAUDE</t>
        </is>
      </c>
      <c r="G369" t="inlineStr">
        <is>
          <t>demais</t>
        </is>
      </c>
      <c r="H369" t="inlineStr">
        <is>
          <t>JULIO GADRET</t>
        </is>
      </c>
    </row>
    <row r="370">
      <c r="A370" t="n">
        <v>0.182375</v>
      </c>
      <c r="B370" t="inlineStr">
        <is>
          <t>SEM GRUPO</t>
        </is>
      </c>
      <c r="C370" t="inlineStr">
        <is>
          <t>SC</t>
        </is>
      </c>
      <c r="D370" t="n">
        <v>48991659616</v>
      </c>
      <c r="E370" t="inlineStr">
        <is>
          <t>Plano de Negócio</t>
        </is>
      </c>
      <c r="F370" t="inlineStr">
        <is>
          <t>SEM REDE</t>
        </is>
      </c>
      <c r="G370" t="inlineStr">
        <is>
          <t>demais</t>
        </is>
      </c>
      <c r="H370" t="inlineStr">
        <is>
          <t>HEMANUELE DITZEL (MANU)</t>
        </is>
      </c>
    </row>
    <row r="371">
      <c r="A371" t="n">
        <v>0.099575</v>
      </c>
      <c r="B371" t="inlineStr">
        <is>
          <t>VIDA LEVE</t>
        </is>
      </c>
      <c r="C371" t="inlineStr">
        <is>
          <t>MT</t>
        </is>
      </c>
      <c r="D371" t="n">
        <v>66999867183</v>
      </c>
      <c r="E371" t="inlineStr">
        <is>
          <t>Prospecção</t>
        </is>
      </c>
      <c r="F371" t="inlineStr">
        <is>
          <t>VIDA LEVE</t>
        </is>
      </c>
      <c r="G371" t="inlineStr">
        <is>
          <t>demais</t>
        </is>
      </c>
      <c r="H371" t="inlineStr">
        <is>
          <t>DAIANE STAVICKI</t>
        </is>
      </c>
    </row>
    <row r="372">
      <c r="A372" t="n">
        <v>0.094856</v>
      </c>
      <c r="B372" t="inlineStr">
        <is>
          <t>FITLAND</t>
        </is>
      </c>
      <c r="C372" t="inlineStr">
        <is>
          <t>BA</t>
        </is>
      </c>
      <c r="D372" t="n">
        <v>73999071310</v>
      </c>
      <c r="E372" t="inlineStr">
        <is>
          <t>Prospecção</t>
        </is>
      </c>
      <c r="F372" t="inlineStr">
        <is>
          <t>FITLAND</t>
        </is>
      </c>
      <c r="G372" t="inlineStr">
        <is>
          <t>demais</t>
        </is>
      </c>
      <c r="H372" t="inlineStr">
        <is>
          <t>JULIO GADRET</t>
        </is>
      </c>
    </row>
    <row r="373">
      <c r="A373" t="n">
        <v>0.093315</v>
      </c>
      <c r="B373" t="inlineStr">
        <is>
          <t>CIA DA SAUDE</t>
        </is>
      </c>
      <c r="C373" t="inlineStr">
        <is>
          <t>SC</t>
        </is>
      </c>
      <c r="D373" t="n">
        <v>4896982817</v>
      </c>
      <c r="E373" t="inlineStr">
        <is>
          <t>Prospecção</t>
        </is>
      </c>
      <c r="F373" t="inlineStr">
        <is>
          <t>CIA DA SAUDE</t>
        </is>
      </c>
      <c r="G373" t="inlineStr">
        <is>
          <t>demais</t>
        </is>
      </c>
      <c r="H373" t="inlineStr">
        <is>
          <t>JULIO GADRET</t>
        </is>
      </c>
    </row>
    <row r="374">
      <c r="A374" t="n">
        <v>0.153395</v>
      </c>
      <c r="B374" t="inlineStr">
        <is>
          <t>DIVINA TERRA</t>
        </is>
      </c>
      <c r="C374" t="inlineStr">
        <is>
          <t>PR</t>
        </is>
      </c>
      <c r="D374" t="n">
        <v>45991034143</v>
      </c>
      <c r="E374" t="inlineStr">
        <is>
          <t>Plano de Negócio</t>
        </is>
      </c>
      <c r="F374" t="inlineStr">
        <is>
          <t>DIVINA TERRA</t>
        </is>
      </c>
      <c r="G374" t="inlineStr">
        <is>
          <t>demais</t>
        </is>
      </c>
      <c r="H374" t="inlineStr">
        <is>
          <t>DAIANE STAVICKI</t>
        </is>
      </c>
    </row>
    <row r="375">
      <c r="A375" t="n">
        <v>0.179182</v>
      </c>
      <c r="B375" t="inlineStr">
        <is>
          <t>SEM GRUPO</t>
        </is>
      </c>
      <c r="C375" t="inlineStr">
        <is>
          <t>GO</t>
        </is>
      </c>
      <c r="D375" t="n">
        <v>6496418800</v>
      </c>
      <c r="E375" t="inlineStr">
        <is>
          <t>Plano de Negócio</t>
        </is>
      </c>
      <c r="F375" t="inlineStr">
        <is>
          <t>SEM REDE</t>
        </is>
      </c>
      <c r="G375" t="inlineStr">
        <is>
          <t>demais</t>
        </is>
      </c>
      <c r="H375" t="inlineStr">
        <is>
          <t>LARISSA PADILHA</t>
        </is>
      </c>
    </row>
    <row r="376">
      <c r="A376" t="n">
        <v>0.178963</v>
      </c>
      <c r="B376" t="inlineStr">
        <is>
          <t>SEM GRUPO</t>
        </is>
      </c>
      <c r="C376" t="inlineStr">
        <is>
          <t>SC</t>
        </is>
      </c>
      <c r="D376" t="n">
        <v>48991287322</v>
      </c>
      <c r="E376" t="inlineStr">
        <is>
          <t>Plano de Negócio</t>
        </is>
      </c>
      <c r="F376" t="inlineStr">
        <is>
          <t>SEM REDE</t>
        </is>
      </c>
      <c r="G376" t="inlineStr">
        <is>
          <t>demais</t>
        </is>
      </c>
      <c r="H376" t="inlineStr">
        <is>
          <t>JULIO GADRET</t>
        </is>
      </c>
    </row>
    <row r="377">
      <c r="A377" t="n">
        <v>0.091488</v>
      </c>
      <c r="B377" t="inlineStr">
        <is>
          <t>CIA DA SAUDE</t>
        </is>
      </c>
      <c r="C377" t="inlineStr">
        <is>
          <t>SC</t>
        </is>
      </c>
      <c r="D377" t="n">
        <v>4899981463</v>
      </c>
      <c r="E377" t="inlineStr">
        <is>
          <t>Prospecção</t>
        </is>
      </c>
      <c r="F377" t="inlineStr">
        <is>
          <t>CIA DA SAUDE</t>
        </is>
      </c>
      <c r="G377" t="inlineStr">
        <is>
          <t>demais</t>
        </is>
      </c>
      <c r="H377" t="inlineStr">
        <is>
          <t>JULIO GADRET</t>
        </is>
      </c>
    </row>
    <row r="378">
      <c r="A378" t="n">
        <v>0.09142699999999999</v>
      </c>
      <c r="B378" t="inlineStr">
        <is>
          <t>CIA DA SAUDE</t>
        </is>
      </c>
      <c r="C378" t="inlineStr">
        <is>
          <t>SC</t>
        </is>
      </c>
      <c r="D378" t="n">
        <v>4899981463</v>
      </c>
      <c r="E378" t="inlineStr">
        <is>
          <t>Prospecção</t>
        </is>
      </c>
      <c r="F378" t="inlineStr">
        <is>
          <t>CIA DA SAUDE</t>
        </is>
      </c>
      <c r="G378" t="inlineStr">
        <is>
          <t>demais</t>
        </is>
      </c>
      <c r="H378" t="inlineStr">
        <is>
          <t>JULIO GADRET</t>
        </is>
      </c>
    </row>
    <row r="379">
      <c r="A379" t="n">
        <v>0.176873</v>
      </c>
      <c r="B379" t="inlineStr">
        <is>
          <t>SEM GRUPO</t>
        </is>
      </c>
      <c r="C379" t="inlineStr">
        <is>
          <t>GO</t>
        </is>
      </c>
      <c r="D379" t="n">
        <v>6291320767</v>
      </c>
      <c r="E379" t="inlineStr">
        <is>
          <t>Plano de Negócio</t>
        </is>
      </c>
      <c r="F379" t="inlineStr">
        <is>
          <t>SEM REDE</t>
        </is>
      </c>
      <c r="G379" t="inlineStr">
        <is>
          <t>demais</t>
        </is>
      </c>
      <c r="H379" t="inlineStr">
        <is>
          <t>LARISSA PADILHA</t>
        </is>
      </c>
    </row>
    <row r="380">
      <c r="A380" t="n">
        <v>0.176392</v>
      </c>
      <c r="B380" t="inlineStr">
        <is>
          <t>SEM GRUPO</t>
        </is>
      </c>
      <c r="C380" t="inlineStr">
        <is>
          <t>SP</t>
        </is>
      </c>
      <c r="D380" t="n">
        <v>11947777309</v>
      </c>
      <c r="E380" t="inlineStr">
        <is>
          <t>Plano de Negócio</t>
        </is>
      </c>
      <c r="F380" t="inlineStr">
        <is>
          <t>SEM REDE</t>
        </is>
      </c>
      <c r="G380" t="inlineStr">
        <is>
          <t>demais</t>
        </is>
      </c>
      <c r="H380" t="inlineStr">
        <is>
          <t>LARISSA PADILHA</t>
        </is>
      </c>
    </row>
    <row r="381">
      <c r="A381" t="n">
        <v>0.090711</v>
      </c>
      <c r="B381" t="inlineStr">
        <is>
          <t>CIA DA SAUDE</t>
        </is>
      </c>
      <c r="C381" t="inlineStr">
        <is>
          <t>SC</t>
        </is>
      </c>
      <c r="D381" t="n">
        <v>4830454219</v>
      </c>
      <c r="E381" t="inlineStr">
        <is>
          <t>Prospecção</t>
        </is>
      </c>
      <c r="F381" t="inlineStr">
        <is>
          <t>CIA DA SAUDE</t>
        </is>
      </c>
      <c r="G381" t="inlineStr">
        <is>
          <t>demais</t>
        </is>
      </c>
      <c r="H381" t="inlineStr">
        <is>
          <t>JULIO GADRET</t>
        </is>
      </c>
    </row>
    <row r="382">
      <c r="A382" t="n">
        <v>0.173128</v>
      </c>
      <c r="B382" t="inlineStr">
        <is>
          <t>SEM GRUPO</t>
        </is>
      </c>
      <c r="C382" t="inlineStr">
        <is>
          <t>SP</t>
        </is>
      </c>
      <c r="D382" t="n">
        <v>11992136343</v>
      </c>
      <c r="E382" t="inlineStr">
        <is>
          <t>Plano de Negócio</t>
        </is>
      </c>
      <c r="F382" t="inlineStr">
        <is>
          <t>SEM REDE</t>
        </is>
      </c>
      <c r="G382" t="inlineStr">
        <is>
          <t>demais</t>
        </is>
      </c>
      <c r="H382" t="inlineStr">
        <is>
          <t>LARISSA PADILHA</t>
        </is>
      </c>
    </row>
    <row r="383">
      <c r="A383" t="n">
        <v>0.171475</v>
      </c>
      <c r="B383" t="inlineStr">
        <is>
          <t>SEM GRUPO</t>
        </is>
      </c>
      <c r="C383" t="inlineStr">
        <is>
          <t>SP</t>
        </is>
      </c>
      <c r="D383" t="n">
        <v>11962387340</v>
      </c>
      <c r="E383" t="inlineStr">
        <is>
          <t>Plano de Negócio</t>
        </is>
      </c>
      <c r="F383" t="inlineStr">
        <is>
          <t>SEM REDE</t>
        </is>
      </c>
      <c r="G383" t="inlineStr">
        <is>
          <t>demais</t>
        </is>
      </c>
      <c r="H383" t="inlineStr">
        <is>
          <t>LARISSA PADILHA</t>
        </is>
      </c>
    </row>
    <row r="384">
      <c r="A384" t="n">
        <v>0.146303</v>
      </c>
      <c r="B384" t="inlineStr">
        <is>
          <t>DIVINA TERRA</t>
        </is>
      </c>
      <c r="C384" t="inlineStr">
        <is>
          <t>RS</t>
        </is>
      </c>
      <c r="D384" t="n">
        <v>5198059537</v>
      </c>
      <c r="E384" t="inlineStr">
        <is>
          <t>Plano de Negócio</t>
        </is>
      </c>
      <c r="F384" t="inlineStr">
        <is>
          <t>DIVINA TERRA</t>
        </is>
      </c>
      <c r="G384" t="inlineStr">
        <is>
          <t>demais</t>
        </is>
      </c>
      <c r="H384" t="inlineStr">
        <is>
          <t>DAIANE STAVICKI</t>
        </is>
      </c>
    </row>
    <row r="385">
      <c r="A385" t="n">
        <v>0.170834</v>
      </c>
      <c r="B385" t="inlineStr">
        <is>
          <t>SEM GRUPO</t>
        </is>
      </c>
      <c r="C385" t="inlineStr">
        <is>
          <t>PR</t>
        </is>
      </c>
      <c r="D385" t="n">
        <v>44303935354</v>
      </c>
      <c r="E385" t="inlineStr">
        <is>
          <t>Plano de Negócio</t>
        </is>
      </c>
      <c r="F385" t="inlineStr">
        <is>
          <t>SEM REDE</t>
        </is>
      </c>
      <c r="G385" t="inlineStr">
        <is>
          <t>demais</t>
        </is>
      </c>
      <c r="H385" t="inlineStr">
        <is>
          <t>HEMANUELE DITZEL (MANU)</t>
        </is>
      </c>
    </row>
    <row r="386">
      <c r="A386" t="n">
        <v>0.132479</v>
      </c>
      <c r="B386" t="inlineStr">
        <is>
          <t>PROSAUDE</t>
        </is>
      </c>
      <c r="C386" t="inlineStr">
        <is>
          <t>PA</t>
        </is>
      </c>
      <c r="D386" t="n">
        <v>9381170535</v>
      </c>
      <c r="E386" t="inlineStr">
        <is>
          <t>Plano de Negócio</t>
        </is>
      </c>
      <c r="F386" t="inlineStr">
        <is>
          <t>SEM REDE</t>
        </is>
      </c>
      <c r="G386" t="inlineStr">
        <is>
          <t>demais</t>
        </is>
      </c>
      <c r="H386" t="inlineStr">
        <is>
          <t>LARISSA PADILHA</t>
        </is>
      </c>
    </row>
    <row r="387">
      <c r="A387" t="n">
        <v>0.092392</v>
      </c>
      <c r="B387" t="inlineStr">
        <is>
          <t>VIDA LEVE</t>
        </is>
      </c>
      <c r="C387" t="inlineStr">
        <is>
          <t>PR</t>
        </is>
      </c>
      <c r="D387" t="n">
        <v>14996616661</v>
      </c>
      <c r="E387" t="inlineStr">
        <is>
          <t>Prospecção</t>
        </is>
      </c>
      <c r="F387" t="inlineStr">
        <is>
          <t>VIDA LEVE</t>
        </is>
      </c>
      <c r="G387" t="inlineStr">
        <is>
          <t>demais</t>
        </is>
      </c>
      <c r="H387" t="inlineStr">
        <is>
          <t>DAIANE STAVICKI</t>
        </is>
      </c>
    </row>
    <row r="388">
      <c r="A388" t="n">
        <v>0.087911</v>
      </c>
      <c r="B388" t="inlineStr">
        <is>
          <t>FITLAND</t>
        </is>
      </c>
      <c r="C388" t="inlineStr">
        <is>
          <t>SC</t>
        </is>
      </c>
      <c r="D388" t="n">
        <v>4888553393</v>
      </c>
      <c r="E388" t="inlineStr">
        <is>
          <t>Prospecção</t>
        </is>
      </c>
      <c r="F388" t="inlineStr">
        <is>
          <t>FITLAND</t>
        </is>
      </c>
      <c r="G388" t="inlineStr">
        <is>
          <t>demais</t>
        </is>
      </c>
      <c r="H388" t="inlineStr">
        <is>
          <t>JULIO GADRET</t>
        </is>
      </c>
    </row>
    <row r="389">
      <c r="A389" t="n">
        <v>0.167452</v>
      </c>
      <c r="B389" t="inlineStr">
        <is>
          <t>SEM GRUPO</t>
        </is>
      </c>
      <c r="C389" t="inlineStr">
        <is>
          <t>SP</t>
        </is>
      </c>
      <c r="D389" t="n">
        <v>17992119555</v>
      </c>
      <c r="E389" t="inlineStr">
        <is>
          <t>Plano de Negócio</t>
        </is>
      </c>
      <c r="F389" t="inlineStr">
        <is>
          <t>SEM REDE</t>
        </is>
      </c>
      <c r="G389" t="inlineStr">
        <is>
          <t>demais</t>
        </is>
      </c>
      <c r="H389" t="inlineStr">
        <is>
          <t>LARISSA PADILHA</t>
        </is>
      </c>
    </row>
    <row r="390">
      <c r="A390" t="n">
        <v>0.166835</v>
      </c>
      <c r="B390" t="inlineStr">
        <is>
          <t>SEM GRUPO</t>
        </is>
      </c>
      <c r="C390" t="inlineStr">
        <is>
          <t>SC</t>
        </is>
      </c>
      <c r="D390" t="n">
        <v>4791193771</v>
      </c>
      <c r="E390" t="inlineStr">
        <is>
          <t>Plano de Negócio</t>
        </is>
      </c>
      <c r="F390" t="inlineStr">
        <is>
          <t>SEM REDE</t>
        </is>
      </c>
      <c r="G390" t="inlineStr">
        <is>
          <t>demais</t>
        </is>
      </c>
      <c r="H390" t="inlineStr">
        <is>
          <t>HEMANUELE DITZEL (MANU)</t>
        </is>
      </c>
    </row>
    <row r="391">
      <c r="A391" t="n">
        <v>0.09107899999999999</v>
      </c>
      <c r="B391" t="inlineStr">
        <is>
          <t>VIDA LEVE</t>
        </is>
      </c>
      <c r="C391" t="inlineStr">
        <is>
          <t>BA</t>
        </is>
      </c>
      <c r="D391" t="n">
        <v>7399407732</v>
      </c>
      <c r="E391" t="inlineStr">
        <is>
          <t>Prospecção</t>
        </is>
      </c>
      <c r="F391" t="inlineStr">
        <is>
          <t>VIDA LEVE</t>
        </is>
      </c>
      <c r="G391" t="inlineStr">
        <is>
          <t>demais</t>
        </is>
      </c>
      <c r="H391" t="inlineStr">
        <is>
          <t>DAIANE STAVICKI</t>
        </is>
      </c>
    </row>
    <row r="392">
      <c r="A392" t="n">
        <v>0.164512</v>
      </c>
      <c r="B392" t="inlineStr">
        <is>
          <t>SEM GRUPO</t>
        </is>
      </c>
      <c r="C392" t="inlineStr">
        <is>
          <t>SP</t>
        </is>
      </c>
      <c r="D392" t="n">
        <v>16993154374</v>
      </c>
      <c r="E392" t="inlineStr">
        <is>
          <t>Plano de Negócio</t>
        </is>
      </c>
      <c r="F392" t="inlineStr">
        <is>
          <t>SEM REDE</t>
        </is>
      </c>
      <c r="G392" t="inlineStr">
        <is>
          <t>demais</t>
        </is>
      </c>
      <c r="H392" t="inlineStr">
        <is>
          <t>LARISSA PADILHA</t>
        </is>
      </c>
    </row>
    <row r="393">
      <c r="A393" t="n">
        <v>0.155142</v>
      </c>
      <c r="B393" t="inlineStr">
        <is>
          <t>SEM GRUPO</t>
        </is>
      </c>
      <c r="C393" t="inlineStr">
        <is>
          <t>GO</t>
        </is>
      </c>
      <c r="D393" t="n">
        <v>62995679045</v>
      </c>
      <c r="E393" t="inlineStr">
        <is>
          <t>Plano de Negócio</t>
        </is>
      </c>
      <c r="F393" t="inlineStr">
        <is>
          <t>SEM REDE</t>
        </is>
      </c>
      <c r="G393" t="inlineStr">
        <is>
          <t>demais</t>
        </is>
      </c>
      <c r="H393" t="inlineStr">
        <is>
          <t>LARISSA PADILHA</t>
        </is>
      </c>
    </row>
    <row r="394">
      <c r="A394" t="n">
        <v>0.154918</v>
      </c>
      <c r="B394" t="inlineStr">
        <is>
          <t>SEM GRUPO</t>
        </is>
      </c>
      <c r="C394" t="inlineStr">
        <is>
          <t>SC</t>
        </is>
      </c>
      <c r="D394" t="n">
        <v>49991094461</v>
      </c>
      <c r="E394" t="inlineStr">
        <is>
          <t>Plano de Negócio</t>
        </is>
      </c>
      <c r="F394" t="inlineStr">
        <is>
          <t>SEM REDE</t>
        </is>
      </c>
      <c r="G394" t="inlineStr">
        <is>
          <t>demais</t>
        </is>
      </c>
      <c r="H394" t="inlineStr">
        <is>
          <t>HEMANUELE DITZEL (MANU)</t>
        </is>
      </c>
    </row>
    <row r="395">
      <c r="A395" t="n">
        <v>0.097291</v>
      </c>
      <c r="B395" t="inlineStr">
        <is>
          <t>TUDO EM GRAOS / VGA</t>
        </is>
      </c>
      <c r="C395" t="inlineStr">
        <is>
          <t>RS</t>
        </is>
      </c>
      <c r="D395" t="n">
        <v>5430289041</v>
      </c>
      <c r="E395" t="inlineStr">
        <is>
          <t>Prospecção</t>
        </is>
      </c>
      <c r="F395" t="inlineStr">
        <is>
          <t>TUDO EM GRAOS</t>
        </is>
      </c>
      <c r="G395" t="inlineStr">
        <is>
          <t>demais</t>
        </is>
      </c>
      <c r="H395" t="inlineStr">
        <is>
          <t>DAIANE STAVICKI</t>
        </is>
      </c>
    </row>
    <row r="396">
      <c r="A396" t="n">
        <v>0.152859</v>
      </c>
      <c r="B396" t="inlineStr">
        <is>
          <t>SEM GRUPO</t>
        </is>
      </c>
      <c r="C396" t="inlineStr">
        <is>
          <t>PR</t>
        </is>
      </c>
      <c r="D396" t="n">
        <v>43991478823</v>
      </c>
      <c r="E396" t="inlineStr">
        <is>
          <t>Plano de Negócio</t>
        </is>
      </c>
      <c r="F396" t="inlineStr">
        <is>
          <t>SEM REDE</t>
        </is>
      </c>
      <c r="G396" t="inlineStr">
        <is>
          <t>demais</t>
        </is>
      </c>
      <c r="H396" t="inlineStr">
        <is>
          <t>HEMANUELE DITZEL (MANU)</t>
        </is>
      </c>
    </row>
    <row r="397">
      <c r="A397" t="n">
        <v>0.128894</v>
      </c>
      <c r="B397" t="inlineStr">
        <is>
          <t>DIVINA TERRA</t>
        </is>
      </c>
      <c r="C397" t="inlineStr">
        <is>
          <t>RS</t>
        </is>
      </c>
      <c r="D397" t="n">
        <v>5198059537</v>
      </c>
      <c r="E397" t="inlineStr">
        <is>
          <t>Plano de Negócio</t>
        </is>
      </c>
      <c r="F397" t="inlineStr">
        <is>
          <t>DIVINA TERRA</t>
        </is>
      </c>
      <c r="G397" t="inlineStr">
        <is>
          <t>demais</t>
        </is>
      </c>
      <c r="H397" t="inlineStr">
        <is>
          <t>DAIANE STAVICKI</t>
        </is>
      </c>
    </row>
    <row r="398">
      <c r="A398" t="n">
        <v>0.150654</v>
      </c>
      <c r="B398" t="inlineStr">
        <is>
          <t>SEM GRUPO</t>
        </is>
      </c>
      <c r="C398" t="inlineStr">
        <is>
          <t>SP</t>
        </is>
      </c>
      <c r="D398" t="n">
        <v>1138191933</v>
      </c>
      <c r="E398" t="inlineStr">
        <is>
          <t>Plano de Negócio</t>
        </is>
      </c>
      <c r="F398" t="inlineStr">
        <is>
          <t>SEM REDE</t>
        </is>
      </c>
      <c r="G398" t="inlineStr">
        <is>
          <t>demais</t>
        </is>
      </c>
      <c r="H398" t="inlineStr">
        <is>
          <t>LARISSA PADILHA</t>
        </is>
      </c>
    </row>
    <row r="399">
      <c r="A399" t="n">
        <v>0.148818</v>
      </c>
      <c r="B399" t="inlineStr">
        <is>
          <t>SEM GRUPO</t>
        </is>
      </c>
      <c r="C399" t="inlineStr">
        <is>
          <t>SP</t>
        </is>
      </c>
      <c r="D399" t="n">
        <v>11964067326</v>
      </c>
      <c r="E399" t="inlineStr">
        <is>
          <t>Plano de Negócio</t>
        </is>
      </c>
      <c r="F399" t="inlineStr">
        <is>
          <t>SEM REDE</t>
        </is>
      </c>
      <c r="G399" t="inlineStr">
        <is>
          <t>demais</t>
        </is>
      </c>
      <c r="H399" t="inlineStr">
        <is>
          <t>HEMANUELE DITZEL (MANU)</t>
        </is>
      </c>
    </row>
    <row r="400">
      <c r="A400" t="n">
        <v>0.147944</v>
      </c>
      <c r="B400" t="inlineStr">
        <is>
          <t>SEM GRUPO</t>
        </is>
      </c>
      <c r="C400" t="inlineStr">
        <is>
          <t>PB</t>
        </is>
      </c>
      <c r="D400" t="n">
        <v>8399404210</v>
      </c>
      <c r="E400" t="inlineStr">
        <is>
          <t>Plano de Negócio</t>
        </is>
      </c>
      <c r="F400" t="inlineStr">
        <is>
          <t>SEM REDE</t>
        </is>
      </c>
      <c r="G400" t="inlineStr">
        <is>
          <t>demais</t>
        </is>
      </c>
      <c r="H400" t="inlineStr">
        <is>
          <t>LARISSA PADILHA</t>
        </is>
      </c>
    </row>
    <row r="401">
      <c r="A401" t="n">
        <v>0.147531</v>
      </c>
      <c r="B401" t="inlineStr">
        <is>
          <t>SEM GRUPO</t>
        </is>
      </c>
      <c r="C401" t="inlineStr">
        <is>
          <t>PE</t>
        </is>
      </c>
      <c r="D401" t="n">
        <v>81984682343</v>
      </c>
      <c r="E401" t="inlineStr">
        <is>
          <t>Plano de Negócio</t>
        </is>
      </c>
      <c r="F401" t="inlineStr">
        <is>
          <t>SEM REDE</t>
        </is>
      </c>
      <c r="G401" t="inlineStr">
        <is>
          <t>demais</t>
        </is>
      </c>
      <c r="H401" t="inlineStr">
        <is>
          <t>LARISSA PADILHA</t>
        </is>
      </c>
    </row>
    <row r="402">
      <c r="A402" t="n">
        <v>0.146968</v>
      </c>
      <c r="B402" t="inlineStr">
        <is>
          <t>SEM GRUPO</t>
        </is>
      </c>
      <c r="C402" t="inlineStr">
        <is>
          <t>SC</t>
        </is>
      </c>
      <c r="D402" t="n">
        <v>48326680374</v>
      </c>
      <c r="E402" t="inlineStr">
        <is>
          <t>Plano de Negócio</t>
        </is>
      </c>
      <c r="F402" t="inlineStr">
        <is>
          <t>SEM REDE</t>
        </is>
      </c>
      <c r="G402" t="inlineStr">
        <is>
          <t>demais</t>
        </is>
      </c>
      <c r="H402" t="inlineStr">
        <is>
          <t>HEMANUELE DITZEL (MANU)</t>
        </is>
      </c>
    </row>
    <row r="403">
      <c r="A403" t="n">
        <v>0.146859</v>
      </c>
      <c r="B403" t="inlineStr">
        <is>
          <t>SEM GRUPO</t>
        </is>
      </c>
      <c r="C403" t="inlineStr">
        <is>
          <t>SC</t>
        </is>
      </c>
      <c r="D403" t="n">
        <v>47984977786</v>
      </c>
      <c r="E403" t="inlineStr">
        <is>
          <t>Plano de Negócio</t>
        </is>
      </c>
      <c r="F403" t="inlineStr">
        <is>
          <t>SEM REDE</t>
        </is>
      </c>
      <c r="G403" t="inlineStr">
        <is>
          <t>demais</t>
        </is>
      </c>
      <c r="H403" t="inlineStr">
        <is>
          <t>HEMANUELE DITZEL (MANU)</t>
        </is>
      </c>
    </row>
    <row r="404">
      <c r="A404" t="n">
        <v>0.14175</v>
      </c>
      <c r="B404" t="inlineStr">
        <is>
          <t>SEM GRUPO</t>
        </is>
      </c>
      <c r="C404" t="inlineStr">
        <is>
          <t>RJ</t>
        </is>
      </c>
      <c r="D404" t="n">
        <v>21982480681</v>
      </c>
      <c r="E404" t="inlineStr">
        <is>
          <t>Plano de Negócio</t>
        </is>
      </c>
      <c r="F404" t="inlineStr">
        <is>
          <t>SEM REDE</t>
        </is>
      </c>
      <c r="G404" t="inlineStr">
        <is>
          <t>demais</t>
        </is>
      </c>
      <c r="H404" t="inlineStr">
        <is>
          <t>LARISSA PADILHA</t>
        </is>
      </c>
    </row>
    <row r="405">
      <c r="A405" t="n">
        <v>0.073891</v>
      </c>
      <c r="B405" t="inlineStr">
        <is>
          <t>FITLAND</t>
        </is>
      </c>
      <c r="C405" t="inlineStr">
        <is>
          <t>SP</t>
        </is>
      </c>
      <c r="D405" t="n">
        <v>1183977705</v>
      </c>
      <c r="E405" t="inlineStr">
        <is>
          <t>Prospecção</t>
        </is>
      </c>
      <c r="F405" t="inlineStr">
        <is>
          <t>FITLAND</t>
        </is>
      </c>
      <c r="G405" t="inlineStr">
        <is>
          <t>demais</t>
        </is>
      </c>
      <c r="H405" t="inlineStr">
        <is>
          <t>JULIO GADRET</t>
        </is>
      </c>
    </row>
    <row r="406">
      <c r="A406" t="n">
        <v>0.137833</v>
      </c>
      <c r="B406" t="inlineStr">
        <is>
          <t>SEM GRUPO</t>
        </is>
      </c>
      <c r="C406" t="inlineStr">
        <is>
          <t>SP</t>
        </is>
      </c>
      <c r="D406" t="n">
        <v>1933655030</v>
      </c>
      <c r="E406" t="inlineStr">
        <is>
          <t>Plano de Negócio</t>
        </is>
      </c>
      <c r="F406" t="inlineStr">
        <is>
          <t>SEM REDE</t>
        </is>
      </c>
      <c r="G406" t="inlineStr">
        <is>
          <t>demais</t>
        </is>
      </c>
      <c r="H406" t="inlineStr">
        <is>
          <t>LARISSA PADILHA</t>
        </is>
      </c>
    </row>
    <row r="407">
      <c r="A407" t="n">
        <v>0.137498</v>
      </c>
      <c r="B407" t="inlineStr">
        <is>
          <t>SEM GRUPO</t>
        </is>
      </c>
      <c r="C407" t="inlineStr">
        <is>
          <t>SC</t>
        </is>
      </c>
      <c r="D407" t="n">
        <v>4792401103</v>
      </c>
      <c r="E407" t="inlineStr">
        <is>
          <t>Plano de Negócio</t>
        </is>
      </c>
      <c r="F407" t="inlineStr">
        <is>
          <t>SEM REDE</t>
        </is>
      </c>
      <c r="G407" t="inlineStr">
        <is>
          <t>demais</t>
        </is>
      </c>
      <c r="H407" t="inlineStr">
        <is>
          <t>HEMANUELE DITZEL (MANU)</t>
        </is>
      </c>
    </row>
    <row r="408">
      <c r="A408" t="n">
        <v>0.136764</v>
      </c>
      <c r="B408" t="inlineStr">
        <is>
          <t>SEM GRUPO</t>
        </is>
      </c>
      <c r="C408" t="inlineStr">
        <is>
          <t>PR</t>
        </is>
      </c>
      <c r="D408" t="n">
        <v>41992825084</v>
      </c>
      <c r="E408" t="inlineStr">
        <is>
          <t>Plano de Negócio</t>
        </is>
      </c>
      <c r="F408" t="inlineStr">
        <is>
          <t>SEM REDE</t>
        </is>
      </c>
      <c r="G408" t="inlineStr">
        <is>
          <t>demais</t>
        </is>
      </c>
      <c r="H408" t="inlineStr">
        <is>
          <t>HEMANUELE DITZEL (MANU)</t>
        </is>
      </c>
    </row>
    <row r="409">
      <c r="A409" t="n">
        <v>0.070315</v>
      </c>
      <c r="B409" t="inlineStr">
        <is>
          <t>CIA DA SAUDE</t>
        </is>
      </c>
      <c r="C409" t="inlineStr">
        <is>
          <t>SC</t>
        </is>
      </c>
      <c r="D409" t="n">
        <v>4888041731</v>
      </c>
      <c r="E409" t="inlineStr">
        <is>
          <t>Prospecção</t>
        </is>
      </c>
      <c r="F409" t="inlineStr">
        <is>
          <t>CIA DA SAUDE</t>
        </is>
      </c>
      <c r="G409" t="inlineStr">
        <is>
          <t>demais</t>
        </is>
      </c>
      <c r="H409" t="inlineStr">
        <is>
          <t>JULIO GADRET</t>
        </is>
      </c>
    </row>
    <row r="410">
      <c r="A410" t="n">
        <v>0.136145</v>
      </c>
      <c r="B410" t="inlineStr">
        <is>
          <t>SEM GRUPO</t>
        </is>
      </c>
      <c r="C410" t="inlineStr">
        <is>
          <t>RS</t>
        </is>
      </c>
      <c r="D410" t="n">
        <v>51980517392</v>
      </c>
      <c r="E410" t="inlineStr">
        <is>
          <t>Plano de Negócio</t>
        </is>
      </c>
      <c r="F410" t="inlineStr">
        <is>
          <t>SEM REDE</t>
        </is>
      </c>
      <c r="G410" t="inlineStr">
        <is>
          <t>demais</t>
        </is>
      </c>
      <c r="H410" t="inlineStr">
        <is>
          <t>HEMANUELE DITZEL (MANU)</t>
        </is>
      </c>
    </row>
    <row r="411">
      <c r="A411" t="n">
        <v>0.06959799999999999</v>
      </c>
      <c r="B411" t="inlineStr">
        <is>
          <t>CIA DA SAUDE</t>
        </is>
      </c>
      <c r="C411" t="inlineStr">
        <is>
          <t>SC</t>
        </is>
      </c>
      <c r="D411" t="n">
        <v>48996173674</v>
      </c>
      <c r="E411" t="inlineStr">
        <is>
          <t>Prospecção</t>
        </is>
      </c>
      <c r="F411" t="inlineStr">
        <is>
          <t>CIA DA SAUDE</t>
        </is>
      </c>
      <c r="G411" t="inlineStr">
        <is>
          <t>demais</t>
        </is>
      </c>
      <c r="H411" t="inlineStr">
        <is>
          <t>JULIO GADRET</t>
        </is>
      </c>
    </row>
    <row r="412">
      <c r="A412" t="n">
        <v>0.134652</v>
      </c>
      <c r="B412" t="inlineStr">
        <is>
          <t>SEM GRUPO</t>
        </is>
      </c>
      <c r="C412" t="inlineStr">
        <is>
          <t>RS</t>
        </is>
      </c>
      <c r="D412" t="n">
        <v>51983137358</v>
      </c>
      <c r="E412" t="inlineStr">
        <is>
          <t>Plano de Negócio</t>
        </is>
      </c>
      <c r="F412" t="inlineStr">
        <is>
          <t>SEM REDE</t>
        </is>
      </c>
      <c r="G412" t="inlineStr">
        <is>
          <t>demais</t>
        </is>
      </c>
      <c r="H412" t="inlineStr">
        <is>
          <t>HEMANUELE DITZEL (MANU)</t>
        </is>
      </c>
    </row>
    <row r="413">
      <c r="A413" t="n">
        <v>0.134098</v>
      </c>
      <c r="B413" t="inlineStr">
        <is>
          <t>SEM GRUPO</t>
        </is>
      </c>
      <c r="C413" t="inlineStr">
        <is>
          <t>PR</t>
        </is>
      </c>
      <c r="D413" t="n">
        <v>4399879730</v>
      </c>
      <c r="E413" t="inlineStr">
        <is>
          <t>Plano de Negócio</t>
        </is>
      </c>
      <c r="F413" t="inlineStr">
        <is>
          <t>SEM REDE</t>
        </is>
      </c>
      <c r="G413" t="inlineStr">
        <is>
          <t>demais</t>
        </is>
      </c>
      <c r="H413" t="inlineStr">
        <is>
          <t>HEMANUELE DITZEL (MANU)</t>
        </is>
      </c>
    </row>
    <row r="414">
      <c r="A414" t="n">
        <v>0.132134</v>
      </c>
      <c r="B414" t="inlineStr">
        <is>
          <t>SEM GRUPO</t>
        </is>
      </c>
      <c r="C414" t="inlineStr">
        <is>
          <t>PR</t>
        </is>
      </c>
      <c r="D414" t="n">
        <v>4130581510</v>
      </c>
      <c r="E414" t="inlineStr">
        <is>
          <t>Plano de Negócio</t>
        </is>
      </c>
      <c r="F414" t="inlineStr">
        <is>
          <t>SEM REDE</t>
        </is>
      </c>
      <c r="G414" t="inlineStr">
        <is>
          <t>demais</t>
        </is>
      </c>
      <c r="H414" t="inlineStr">
        <is>
          <t>HEMANUELE DITZEL (MANU)</t>
        </is>
      </c>
    </row>
    <row r="415">
      <c r="A415" t="n">
        <v>0.128713</v>
      </c>
      <c r="B415" t="inlineStr">
        <is>
          <t>SEM GRUPO</t>
        </is>
      </c>
      <c r="C415" t="inlineStr">
        <is>
          <t>RS</t>
        </is>
      </c>
      <c r="D415" t="n">
        <v>5499587823</v>
      </c>
      <c r="E415" t="inlineStr">
        <is>
          <t>Plano de Negócio</t>
        </is>
      </c>
      <c r="F415" t="inlineStr">
        <is>
          <t>SEM REDE</t>
        </is>
      </c>
      <c r="G415" t="inlineStr">
        <is>
          <t>demais</t>
        </is>
      </c>
      <c r="H415" t="inlineStr">
        <is>
          <t>HEMANUELE DITZEL (MANU)</t>
        </is>
      </c>
    </row>
    <row r="416">
      <c r="A416" t="n">
        <v>0.128288</v>
      </c>
      <c r="B416" t="inlineStr">
        <is>
          <t>SEM GRUPO</t>
        </is>
      </c>
      <c r="C416" t="inlineStr">
        <is>
          <t>SC</t>
        </is>
      </c>
      <c r="D416" t="n">
        <v>47984186657</v>
      </c>
      <c r="E416" t="inlineStr">
        <is>
          <t>Plano de Negócio</t>
        </is>
      </c>
      <c r="F416" t="inlineStr">
        <is>
          <t>SEM REDE</t>
        </is>
      </c>
      <c r="G416" t="inlineStr">
        <is>
          <t>demais</t>
        </is>
      </c>
      <c r="H416" t="inlineStr">
        <is>
          <t>HEMANUELE DITZEL (MANU)</t>
        </is>
      </c>
    </row>
    <row r="417">
      <c r="A417" t="n">
        <v>0.124812</v>
      </c>
      <c r="B417" t="inlineStr">
        <is>
          <t>SEM GRUPO</t>
        </is>
      </c>
      <c r="C417" t="inlineStr">
        <is>
          <t>PR</t>
        </is>
      </c>
      <c r="D417" t="n">
        <v>4188273848</v>
      </c>
      <c r="E417" t="inlineStr">
        <is>
          <t>Plano de Negócio</t>
        </is>
      </c>
      <c r="F417" t="inlineStr">
        <is>
          <t>SEM REDE</t>
        </is>
      </c>
      <c r="G417" t="inlineStr">
        <is>
          <t>demais</t>
        </is>
      </c>
      <c r="H417" t="inlineStr">
        <is>
          <t>HEMANUELE DITZEL (MANU)</t>
        </is>
      </c>
    </row>
    <row r="418">
      <c r="A418" t="n">
        <v>0.0654</v>
      </c>
      <c r="B418" t="inlineStr">
        <is>
          <t>FITLAND</t>
        </is>
      </c>
      <c r="C418" t="inlineStr">
        <is>
          <t>RS</t>
        </is>
      </c>
      <c r="D418" t="n">
        <v>5591498448</v>
      </c>
      <c r="E418" t="inlineStr">
        <is>
          <t>Prospecção</t>
        </is>
      </c>
      <c r="F418" t="inlineStr">
        <is>
          <t>FITLAND</t>
        </is>
      </c>
      <c r="G418" t="inlineStr">
        <is>
          <t>demais</t>
        </is>
      </c>
      <c r="H418" t="inlineStr">
        <is>
          <t>JULIO GADRET</t>
        </is>
      </c>
    </row>
    <row r="419">
      <c r="A419" t="n">
        <v>0.124543</v>
      </c>
      <c r="B419" t="inlineStr">
        <is>
          <t>SEM GRUPO</t>
        </is>
      </c>
      <c r="C419" t="inlineStr">
        <is>
          <t>SP</t>
        </is>
      </c>
      <c r="D419" t="n">
        <v>16982311881</v>
      </c>
      <c r="E419" t="inlineStr">
        <is>
          <t>Plano de Negócio</t>
        </is>
      </c>
      <c r="F419" t="inlineStr">
        <is>
          <t>SEM REDE</t>
        </is>
      </c>
      <c r="G419" t="inlineStr">
        <is>
          <t>demais</t>
        </is>
      </c>
      <c r="H419" t="inlineStr">
        <is>
          <t>LARISSA PADILHA</t>
        </is>
      </c>
    </row>
    <row r="420">
      <c r="A420" t="n">
        <v>0.123391</v>
      </c>
      <c r="B420" t="inlineStr">
        <is>
          <t>SEM GRUPO</t>
        </is>
      </c>
      <c r="C420" t="inlineStr">
        <is>
          <t>RS</t>
        </is>
      </c>
      <c r="D420" t="n">
        <v>51997055488</v>
      </c>
      <c r="E420" t="inlineStr">
        <is>
          <t>Plano de Negócio</t>
        </is>
      </c>
      <c r="F420" t="inlineStr">
        <is>
          <t>SEM REDE</t>
        </is>
      </c>
      <c r="G420" t="inlineStr">
        <is>
          <t>demais</t>
        </is>
      </c>
      <c r="H420" t="inlineStr">
        <is>
          <t>HEMANUELE DITZEL (MANU)</t>
        </is>
      </c>
    </row>
    <row r="421">
      <c r="A421" t="n">
        <v>0.122447</v>
      </c>
      <c r="B421" t="inlineStr">
        <is>
          <t>SEM GRUPO</t>
        </is>
      </c>
      <c r="C421" t="inlineStr">
        <is>
          <t>SP</t>
        </is>
      </c>
      <c r="D421" t="n">
        <v>11986378153</v>
      </c>
      <c r="E421" t="inlineStr">
        <is>
          <t>Plano de Negócio</t>
        </is>
      </c>
      <c r="F421" t="inlineStr">
        <is>
          <t>SEM REDE</t>
        </is>
      </c>
      <c r="G421" t="inlineStr">
        <is>
          <t>demais</t>
        </is>
      </c>
      <c r="H421" t="inlineStr">
        <is>
          <t>HEMANUELE DITZEL (MANU)</t>
        </is>
      </c>
    </row>
    <row r="422">
      <c r="A422" t="n">
        <v>0.122335</v>
      </c>
      <c r="B422" t="inlineStr">
        <is>
          <t>SEM GRUPO</t>
        </is>
      </c>
      <c r="C422" t="inlineStr">
        <is>
          <t>PR</t>
        </is>
      </c>
      <c r="D422" t="n">
        <v>4135389003</v>
      </c>
      <c r="E422" t="inlineStr">
        <is>
          <t>Plano de Negócio</t>
        </is>
      </c>
      <c r="F422" t="inlineStr">
        <is>
          <t>SEM REDE</t>
        </is>
      </c>
      <c r="G422" t="inlineStr">
        <is>
          <t>demais</t>
        </is>
      </c>
      <c r="H422" t="inlineStr">
        <is>
          <t>HEMANUELE DITZEL (MANU)</t>
        </is>
      </c>
    </row>
    <row r="423">
      <c r="A423" t="n">
        <v>0.122073</v>
      </c>
      <c r="B423" t="inlineStr">
        <is>
          <t>SEM GRUPO</t>
        </is>
      </c>
      <c r="C423" t="inlineStr">
        <is>
          <t>MG</t>
        </is>
      </c>
      <c r="D423" t="n">
        <v>38999765269</v>
      </c>
      <c r="E423" t="inlineStr">
        <is>
          <t>Plano de Negócio</t>
        </is>
      </c>
      <c r="F423" t="inlineStr">
        <is>
          <t>SEM REDE</t>
        </is>
      </c>
      <c r="G423" t="inlineStr">
        <is>
          <t>demais</t>
        </is>
      </c>
      <c r="H423" t="inlineStr">
        <is>
          <t>LARISSA PADILHA</t>
        </is>
      </c>
    </row>
    <row r="424">
      <c r="A424" t="n">
        <v>0.12151</v>
      </c>
      <c r="B424" t="inlineStr">
        <is>
          <t>SEM GRUPO</t>
        </is>
      </c>
      <c r="C424" t="inlineStr">
        <is>
          <t>SC</t>
        </is>
      </c>
      <c r="D424" t="n">
        <v>4896183888</v>
      </c>
      <c r="E424" t="inlineStr">
        <is>
          <t>Plano de Negócio</t>
        </is>
      </c>
      <c r="F424" t="inlineStr">
        <is>
          <t>SEM REDE</t>
        </is>
      </c>
      <c r="G424" t="inlineStr">
        <is>
          <t>demais</t>
        </is>
      </c>
      <c r="H424" t="inlineStr">
        <is>
          <t>HEMANUELE DITZEL (MANU)</t>
        </is>
      </c>
    </row>
    <row r="425">
      <c r="A425" t="n">
        <v>0.12146</v>
      </c>
      <c r="B425" t="inlineStr">
        <is>
          <t>SEM GRUPO</t>
        </is>
      </c>
      <c r="C425" t="inlineStr">
        <is>
          <t>SC</t>
        </is>
      </c>
      <c r="D425" t="n">
        <v>47984645353</v>
      </c>
      <c r="E425" t="inlineStr">
        <is>
          <t>Plano de Negócio</t>
        </is>
      </c>
      <c r="F425" t="inlineStr">
        <is>
          <t>SEM REDE</t>
        </is>
      </c>
      <c r="G425" t="inlineStr">
        <is>
          <t>demais</t>
        </is>
      </c>
      <c r="H425" t="inlineStr">
        <is>
          <t>HEMANUELE DITZEL (MANU)</t>
        </is>
      </c>
    </row>
    <row r="426">
      <c r="A426" t="n">
        <v>0.062356</v>
      </c>
      <c r="B426" t="inlineStr">
        <is>
          <t>CIA DA SAUDE</t>
        </is>
      </c>
      <c r="C426" t="inlineStr">
        <is>
          <t>SC</t>
        </is>
      </c>
      <c r="D426" t="n">
        <v>4834387130</v>
      </c>
      <c r="E426" t="inlineStr">
        <is>
          <t>Prospecção</t>
        </is>
      </c>
      <c r="F426" t="inlineStr">
        <is>
          <t>CIA DA SAUDE</t>
        </is>
      </c>
      <c r="G426" t="inlineStr">
        <is>
          <t>demais</t>
        </is>
      </c>
      <c r="H426" t="inlineStr">
        <is>
          <t>JULIO GADRET</t>
        </is>
      </c>
    </row>
    <row r="427">
      <c r="A427" t="n">
        <v>0.12031</v>
      </c>
      <c r="B427" t="inlineStr">
        <is>
          <t>SEM GRUPO</t>
        </is>
      </c>
      <c r="C427" t="inlineStr">
        <is>
          <t>RN</t>
        </is>
      </c>
      <c r="D427" t="n">
        <v>8491898095</v>
      </c>
      <c r="E427" t="inlineStr">
        <is>
          <t>Plano de Negócio</t>
        </is>
      </c>
      <c r="F427" t="inlineStr">
        <is>
          <t>SEM REDE</t>
        </is>
      </c>
      <c r="G427" t="inlineStr">
        <is>
          <t>demais</t>
        </is>
      </c>
      <c r="H427" t="inlineStr">
        <is>
          <t>LARISSA PADILHA</t>
        </is>
      </c>
    </row>
    <row r="428">
      <c r="A428" t="n">
        <v>0.120267</v>
      </c>
      <c r="B428" t="inlineStr">
        <is>
          <t>SEM GRUPO</t>
        </is>
      </c>
      <c r="C428" t="inlineStr">
        <is>
          <t>PR</t>
        </is>
      </c>
      <c r="D428" t="n">
        <v>43984327552</v>
      </c>
      <c r="E428" t="inlineStr">
        <is>
          <t>Plano de Negócio</t>
        </is>
      </c>
      <c r="F428" t="inlineStr">
        <is>
          <t>SEM REDE</t>
        </is>
      </c>
      <c r="G428" t="inlineStr">
        <is>
          <t>demais</t>
        </is>
      </c>
      <c r="H428" t="inlineStr">
        <is>
          <t>HEMANUELE DITZEL (MANU)</t>
        </is>
      </c>
    </row>
    <row r="429">
      <c r="A429" t="n">
        <v>0.120255</v>
      </c>
      <c r="B429" t="inlineStr">
        <is>
          <t>SEM GRUPO</t>
        </is>
      </c>
      <c r="C429" t="inlineStr">
        <is>
          <t>MG</t>
        </is>
      </c>
      <c r="D429" t="n">
        <v>32987051662</v>
      </c>
      <c r="E429" t="inlineStr">
        <is>
          <t>Plano de Negócio</t>
        </is>
      </c>
      <c r="F429" t="inlineStr">
        <is>
          <t>SEM REDE</t>
        </is>
      </c>
      <c r="G429" t="inlineStr">
        <is>
          <t>demais</t>
        </is>
      </c>
      <c r="H429" t="inlineStr">
        <is>
          <t>LARISSA PADILHA</t>
        </is>
      </c>
    </row>
    <row r="430">
      <c r="A430" t="n">
        <v>0.102208</v>
      </c>
      <c r="B430" t="inlineStr">
        <is>
          <t>DIVINA TERRA</t>
        </is>
      </c>
      <c r="C430" t="inlineStr">
        <is>
          <t>RS</t>
        </is>
      </c>
      <c r="D430" t="n">
        <v>5199570807</v>
      </c>
      <c r="E430" t="inlineStr">
        <is>
          <t>Plano de Negócio</t>
        </is>
      </c>
      <c r="F430" t="inlineStr">
        <is>
          <t>DIVINA TERRA</t>
        </is>
      </c>
      <c r="G430" t="inlineStr">
        <is>
          <t>demais</t>
        </is>
      </c>
      <c r="H430" t="inlineStr">
        <is>
          <t>HEMANUELE DITZEL (MANU)</t>
        </is>
      </c>
    </row>
    <row r="431">
      <c r="A431" t="n">
        <v>0.11946</v>
      </c>
      <c r="B431" t="inlineStr">
        <is>
          <t>SEM GRUPO</t>
        </is>
      </c>
      <c r="C431" t="inlineStr">
        <is>
          <t>BA</t>
        </is>
      </c>
      <c r="D431" t="n">
        <v>11981418684</v>
      </c>
      <c r="E431" t="inlineStr">
        <is>
          <t>Plano de Negócio</t>
        </is>
      </c>
      <c r="F431" t="inlineStr">
        <is>
          <t>SEM REDE</t>
        </is>
      </c>
      <c r="G431" t="inlineStr">
        <is>
          <t>demais</t>
        </is>
      </c>
      <c r="H431" t="inlineStr">
        <is>
          <t>LARISSA PADILHA</t>
        </is>
      </c>
    </row>
    <row r="432">
      <c r="A432" t="n">
        <v>0.119161</v>
      </c>
      <c r="B432" t="inlineStr">
        <is>
          <t>SEM GRUPO</t>
        </is>
      </c>
      <c r="C432" t="inlineStr">
        <is>
          <t>SP</t>
        </is>
      </c>
      <c r="D432" t="n">
        <v>11972750236</v>
      </c>
      <c r="E432" t="inlineStr">
        <is>
          <t>Plano de Negócio</t>
        </is>
      </c>
      <c r="F432" t="inlineStr">
        <is>
          <t>SEM REDE</t>
        </is>
      </c>
      <c r="G432" t="inlineStr">
        <is>
          <t>demais</t>
        </is>
      </c>
      <c r="H432" t="inlineStr">
        <is>
          <t>LARISSA PADILHA</t>
        </is>
      </c>
    </row>
    <row r="433">
      <c r="A433" t="n">
        <v>0.118789</v>
      </c>
      <c r="B433" t="inlineStr">
        <is>
          <t>SEM GRUPO</t>
        </is>
      </c>
      <c r="C433" t="inlineStr">
        <is>
          <t>BA</t>
        </is>
      </c>
      <c r="D433" t="n">
        <v>75991448812</v>
      </c>
      <c r="E433" t="inlineStr">
        <is>
          <t>Plano de Negócio</t>
        </is>
      </c>
      <c r="F433" t="inlineStr">
        <is>
          <t>SEM REDE</t>
        </is>
      </c>
      <c r="G433" t="inlineStr">
        <is>
          <t>demais</t>
        </is>
      </c>
      <c r="H433" t="inlineStr">
        <is>
          <t>LARISSA PADILHA</t>
        </is>
      </c>
    </row>
    <row r="434">
      <c r="A434" t="n">
        <v>0.101171</v>
      </c>
      <c r="B434" t="inlineStr">
        <is>
          <t>DIVINA TERRA</t>
        </is>
      </c>
      <c r="C434" t="inlineStr">
        <is>
          <t>SC</t>
        </is>
      </c>
      <c r="D434" t="n">
        <v>49991030124</v>
      </c>
      <c r="E434" t="inlineStr">
        <is>
          <t>Plano de Negócio</t>
        </is>
      </c>
      <c r="F434" t="inlineStr">
        <is>
          <t>DIVINA TERRA</t>
        </is>
      </c>
      <c r="G434" t="inlineStr">
        <is>
          <t>demais</t>
        </is>
      </c>
      <c r="H434" t="inlineStr">
        <is>
          <t>DAIANE STAVICKI</t>
        </is>
      </c>
    </row>
    <row r="435">
      <c r="A435" t="n">
        <v>0.1181</v>
      </c>
      <c r="B435" t="inlineStr">
        <is>
          <t>SEM GRUPO</t>
        </is>
      </c>
      <c r="C435" t="inlineStr">
        <is>
          <t>SC</t>
        </is>
      </c>
      <c r="D435" t="n">
        <v>47984065800</v>
      </c>
      <c r="E435" t="inlineStr">
        <is>
          <t>Plano de Negócio</t>
        </is>
      </c>
      <c r="F435" t="inlineStr">
        <is>
          <t>SEM REDE</t>
        </is>
      </c>
      <c r="G435" t="inlineStr">
        <is>
          <t>demais</t>
        </is>
      </c>
      <c r="H435" t="inlineStr">
        <is>
          <t>HEMANUELE DITZEL (MANU)</t>
        </is>
      </c>
    </row>
    <row r="436">
      <c r="A436" t="n">
        <v>0.117708</v>
      </c>
      <c r="B436" t="inlineStr">
        <is>
          <t>SEM GRUPO</t>
        </is>
      </c>
      <c r="C436" t="inlineStr">
        <is>
          <t>PR</t>
        </is>
      </c>
      <c r="D436" t="n">
        <v>4131562009</v>
      </c>
      <c r="E436" t="inlineStr">
        <is>
          <t>Plano de Negócio</t>
        </is>
      </c>
      <c r="F436" t="inlineStr">
        <is>
          <t>SEM REDE</t>
        </is>
      </c>
      <c r="G436" t="inlineStr">
        <is>
          <t>demais</t>
        </is>
      </c>
      <c r="H436" t="inlineStr">
        <is>
          <t>HEMANUELE DITZEL (MANU)</t>
        </is>
      </c>
    </row>
    <row r="437">
      <c r="A437" t="n">
        <v>0.117612</v>
      </c>
      <c r="B437" t="inlineStr">
        <is>
          <t>SEM GRUPO</t>
        </is>
      </c>
      <c r="C437" t="inlineStr">
        <is>
          <t>SP</t>
        </is>
      </c>
      <c r="D437" t="n">
        <v>11966453643</v>
      </c>
      <c r="E437" t="inlineStr">
        <is>
          <t>Plano de Negócio</t>
        </is>
      </c>
      <c r="F437" t="inlineStr">
        <is>
          <t>SEM REDE</t>
        </is>
      </c>
      <c r="G437" t="inlineStr">
        <is>
          <t>demais</t>
        </is>
      </c>
      <c r="H437" t="inlineStr">
        <is>
          <t>LARISSA PADILHA</t>
        </is>
      </c>
    </row>
    <row r="438">
      <c r="A438" t="n">
        <v>0.117001</v>
      </c>
      <c r="B438" t="inlineStr">
        <is>
          <t>SEM GRUPO</t>
        </is>
      </c>
      <c r="C438" t="inlineStr">
        <is>
          <t>PB</t>
        </is>
      </c>
      <c r="D438" t="n">
        <v>83981815719</v>
      </c>
      <c r="E438" t="inlineStr">
        <is>
          <t>Plano de Negócio</t>
        </is>
      </c>
      <c r="F438" t="inlineStr">
        <is>
          <t>SEM REDE</t>
        </is>
      </c>
      <c r="G438" t="inlineStr">
        <is>
          <t>demais</t>
        </is>
      </c>
      <c r="H438" t="inlineStr">
        <is>
          <t>LARISSA PADILHA</t>
        </is>
      </c>
    </row>
    <row r="439">
      <c r="A439" t="n">
        <v>0.116333</v>
      </c>
      <c r="B439" t="inlineStr">
        <is>
          <t>SEM GRUPO</t>
        </is>
      </c>
      <c r="C439" t="inlineStr">
        <is>
          <t>RS</t>
        </is>
      </c>
      <c r="D439" t="n">
        <v>51996615844</v>
      </c>
      <c r="E439" t="inlineStr">
        <is>
          <t>Plano de Negócio</t>
        </is>
      </c>
      <c r="F439" t="inlineStr">
        <is>
          <t>SEM REDE</t>
        </is>
      </c>
      <c r="G439" t="inlineStr">
        <is>
          <t>demais</t>
        </is>
      </c>
      <c r="H439" t="inlineStr">
        <is>
          <t>HEMANUELE DITZEL (MANU)</t>
        </is>
      </c>
    </row>
    <row r="440">
      <c r="A440" t="n">
        <v>0.116164</v>
      </c>
      <c r="B440" t="inlineStr">
        <is>
          <t>SEM GRUPO</t>
        </is>
      </c>
      <c r="C440" t="inlineStr">
        <is>
          <t>SP</t>
        </is>
      </c>
      <c r="D440" t="n">
        <v>16991341864</v>
      </c>
      <c r="E440" t="inlineStr">
        <is>
          <t>Plano de Negócio</t>
        </is>
      </c>
      <c r="F440" t="inlineStr">
        <is>
          <t>SEM REDE</t>
        </is>
      </c>
      <c r="G440" t="inlineStr">
        <is>
          <t>demais</t>
        </is>
      </c>
      <c r="H440" t="inlineStr">
        <is>
          <t>LARISSA PADILHA</t>
        </is>
      </c>
    </row>
    <row r="441">
      <c r="A441" t="n">
        <v>0.116136</v>
      </c>
      <c r="B441" t="inlineStr">
        <is>
          <t>SEM GRUPO</t>
        </is>
      </c>
      <c r="C441" t="inlineStr">
        <is>
          <t>PR</t>
        </is>
      </c>
      <c r="D441" t="n">
        <v>4195403795</v>
      </c>
      <c r="E441" t="inlineStr">
        <is>
          <t>Plano de Negócio</t>
        </is>
      </c>
      <c r="F441" t="inlineStr">
        <is>
          <t>SEM REDE</t>
        </is>
      </c>
      <c r="G441" t="inlineStr">
        <is>
          <t>demais</t>
        </is>
      </c>
      <c r="H441" t="inlineStr">
        <is>
          <t>HEMANUELE DITZEL (MANU)</t>
        </is>
      </c>
    </row>
    <row r="442">
      <c r="A442" t="n">
        <v>0.115838</v>
      </c>
      <c r="B442" t="inlineStr">
        <is>
          <t>SEM GRUPO</t>
        </is>
      </c>
      <c r="C442" t="inlineStr">
        <is>
          <t>MS</t>
        </is>
      </c>
      <c r="D442" t="n">
        <v>44970646226</v>
      </c>
      <c r="E442" t="inlineStr">
        <is>
          <t>Plano de Negócio</t>
        </is>
      </c>
      <c r="F442" t="inlineStr">
        <is>
          <t>SEM REDE</t>
        </is>
      </c>
      <c r="G442" t="inlineStr">
        <is>
          <t>demais</t>
        </is>
      </c>
      <c r="H442" t="inlineStr">
        <is>
          <t>LARISSA PADILHA</t>
        </is>
      </c>
    </row>
    <row r="443">
      <c r="A443" t="n">
        <v>0.115712</v>
      </c>
      <c r="B443" t="inlineStr">
        <is>
          <t>SEM GRUPO</t>
        </is>
      </c>
      <c r="C443" t="inlineStr">
        <is>
          <t>SC</t>
        </is>
      </c>
      <c r="D443" t="n">
        <v>49984379123</v>
      </c>
      <c r="E443" t="inlineStr">
        <is>
          <t>Plano de Negócio</t>
        </is>
      </c>
      <c r="F443" t="inlineStr">
        <is>
          <t>SEM REDE</t>
        </is>
      </c>
      <c r="G443" t="inlineStr">
        <is>
          <t>demais</t>
        </is>
      </c>
      <c r="H443" t="inlineStr">
        <is>
          <t>HEMANUELE DITZEL (MANU)</t>
        </is>
      </c>
    </row>
    <row r="444">
      <c r="A444" t="n">
        <v>0.115699</v>
      </c>
      <c r="B444" t="inlineStr">
        <is>
          <t>SEM GRUPO</t>
        </is>
      </c>
      <c r="C444" t="inlineStr">
        <is>
          <t>RS</t>
        </is>
      </c>
      <c r="D444" t="n">
        <v>54999199019</v>
      </c>
      <c r="E444" t="inlineStr">
        <is>
          <t>Plano de Negócio</t>
        </is>
      </c>
      <c r="F444" t="inlineStr">
        <is>
          <t>SEM REDE</t>
        </is>
      </c>
      <c r="G444" t="inlineStr">
        <is>
          <t>demais</t>
        </is>
      </c>
      <c r="H444" t="inlineStr">
        <is>
          <t>HEMANUELE DITZEL (MANU)</t>
        </is>
      </c>
    </row>
    <row r="445">
      <c r="A445" t="n">
        <v>0.114636</v>
      </c>
      <c r="B445" t="inlineStr">
        <is>
          <t>SEM GRUPO</t>
        </is>
      </c>
      <c r="C445" t="inlineStr">
        <is>
          <t>SC</t>
        </is>
      </c>
      <c r="D445" t="n">
        <v>4834436589</v>
      </c>
      <c r="E445" t="inlineStr">
        <is>
          <t>Plano de Negócio</t>
        </is>
      </c>
      <c r="F445" t="inlineStr">
        <is>
          <t>SEM REDE</t>
        </is>
      </c>
      <c r="G445" t="inlineStr">
        <is>
          <t>demais</t>
        </is>
      </c>
      <c r="H445" t="inlineStr">
        <is>
          <t>HEMANUELE DITZEL (MANU)</t>
        </is>
      </c>
    </row>
    <row r="446">
      <c r="A446" t="n">
        <v>0.114136</v>
      </c>
      <c r="B446" t="inlineStr">
        <is>
          <t>SEM GRUPO</t>
        </is>
      </c>
      <c r="C446" t="inlineStr">
        <is>
          <t>SC</t>
        </is>
      </c>
      <c r="D446" t="n">
        <v>1</v>
      </c>
      <c r="E446" t="inlineStr">
        <is>
          <t>Plano de Negócio</t>
        </is>
      </c>
      <c r="F446" t="inlineStr">
        <is>
          <t>SEM REDE</t>
        </is>
      </c>
      <c r="G446" t="inlineStr">
        <is>
          <t>demais</t>
        </is>
      </c>
      <c r="H446" t="inlineStr">
        <is>
          <t>HEMANUELE DITZEL (MANU)</t>
        </is>
      </c>
    </row>
    <row r="447">
      <c r="A447" t="n">
        <v>0.114107</v>
      </c>
      <c r="B447" t="inlineStr">
        <is>
          <t>SEM GRUPO</t>
        </is>
      </c>
      <c r="C447" t="inlineStr">
        <is>
          <t>PR</t>
        </is>
      </c>
      <c r="D447" t="n">
        <v>4134084191</v>
      </c>
      <c r="E447" t="inlineStr">
        <is>
          <t>Plano de Negócio</t>
        </is>
      </c>
      <c r="F447" t="inlineStr">
        <is>
          <t>SEM REDE</t>
        </is>
      </c>
      <c r="G447" t="inlineStr">
        <is>
          <t>demais</t>
        </is>
      </c>
      <c r="H447" t="inlineStr">
        <is>
          <t>HEMANUELE DITZEL (MANU)</t>
        </is>
      </c>
    </row>
    <row r="448">
      <c r="A448" t="n">
        <v>0.113801</v>
      </c>
      <c r="B448" t="inlineStr">
        <is>
          <t>SEM GRUPO</t>
        </is>
      </c>
      <c r="C448" t="inlineStr">
        <is>
          <t>MG</t>
        </is>
      </c>
      <c r="D448" t="n">
        <v>3598024566</v>
      </c>
      <c r="E448" t="inlineStr">
        <is>
          <t>Plano de Negócio</t>
        </is>
      </c>
      <c r="F448" t="inlineStr">
        <is>
          <t>SEM REDE</t>
        </is>
      </c>
      <c r="G448" t="inlineStr">
        <is>
          <t>demais</t>
        </is>
      </c>
      <c r="H448" t="inlineStr">
        <is>
          <t>LARISSA PADILHA</t>
        </is>
      </c>
    </row>
    <row r="449">
      <c r="A449" t="n">
        <v>0.113792</v>
      </c>
      <c r="B449" t="inlineStr">
        <is>
          <t>SEM GRUPO</t>
        </is>
      </c>
      <c r="C449" t="inlineStr">
        <is>
          <t>SC</t>
        </is>
      </c>
      <c r="D449" t="n">
        <v>4898322004</v>
      </c>
      <c r="E449" t="inlineStr">
        <is>
          <t>Plano de Negócio</t>
        </is>
      </c>
      <c r="F449" t="inlineStr">
        <is>
          <t>SEM REDE</t>
        </is>
      </c>
      <c r="G449" t="inlineStr">
        <is>
          <t>demais</t>
        </is>
      </c>
      <c r="H449" t="inlineStr">
        <is>
          <t>HEMANUELE DITZEL (MANU)</t>
        </is>
      </c>
    </row>
    <row r="450">
      <c r="A450" t="n">
        <v>0.058176</v>
      </c>
      <c r="B450" t="inlineStr">
        <is>
          <t>CIA DA SAUDE</t>
        </is>
      </c>
      <c r="C450" t="inlineStr">
        <is>
          <t>RS</t>
        </is>
      </c>
      <c r="D450" t="n">
        <v>51997038430</v>
      </c>
      <c r="E450" t="inlineStr">
        <is>
          <t>Prospecção</t>
        </is>
      </c>
      <c r="F450" t="inlineStr">
        <is>
          <t>CIA DA SAUDE</t>
        </is>
      </c>
      <c r="G450" t="inlineStr">
        <is>
          <t>demais</t>
        </is>
      </c>
      <c r="H450" t="inlineStr">
        <is>
          <t>HEMANUELE DITZEL (MANU)</t>
        </is>
      </c>
    </row>
    <row r="451">
      <c r="A451" t="n">
        <v>0.112284</v>
      </c>
      <c r="B451" t="inlineStr">
        <is>
          <t>SEM GRUPO</t>
        </is>
      </c>
      <c r="C451" t="inlineStr">
        <is>
          <t>MG</t>
        </is>
      </c>
      <c r="D451" t="n">
        <v>19981135234</v>
      </c>
      <c r="E451" t="inlineStr">
        <is>
          <t>Plano de Negócio</t>
        </is>
      </c>
      <c r="F451" t="inlineStr">
        <is>
          <t>SEM REDE</t>
        </is>
      </c>
      <c r="G451" t="inlineStr">
        <is>
          <t>demais</t>
        </is>
      </c>
      <c r="H451" t="inlineStr">
        <is>
          <t>LARISSA PADILHA</t>
        </is>
      </c>
    </row>
    <row r="452">
      <c r="A452" t="n">
        <v>0.11214</v>
      </c>
      <c r="B452" t="inlineStr">
        <is>
          <t>SEM GRUPO</t>
        </is>
      </c>
      <c r="C452" t="inlineStr">
        <is>
          <t>SP</t>
        </is>
      </c>
      <c r="D452" t="n">
        <v>4499253701</v>
      </c>
      <c r="E452" t="inlineStr">
        <is>
          <t>Plano de Negócio</t>
        </is>
      </c>
      <c r="F452" t="inlineStr">
        <is>
          <t>SEM REDE</t>
        </is>
      </c>
      <c r="G452" t="inlineStr">
        <is>
          <t>demais</t>
        </is>
      </c>
      <c r="H452" t="inlineStr">
        <is>
          <t>HEMANUELE DITZEL (MANU)</t>
        </is>
      </c>
    </row>
    <row r="453">
      <c r="A453" t="n">
        <v>0.109807</v>
      </c>
      <c r="B453" t="inlineStr">
        <is>
          <t>SEM GRUPO</t>
        </is>
      </c>
      <c r="C453" t="inlineStr">
        <is>
          <t>SC</t>
        </is>
      </c>
      <c r="D453" t="n">
        <v>4797870432</v>
      </c>
      <c r="E453" t="inlineStr">
        <is>
          <t>Plano de Negócio</t>
        </is>
      </c>
      <c r="F453" t="inlineStr">
        <is>
          <t>SEM REDE</t>
        </is>
      </c>
      <c r="G453" t="inlineStr">
        <is>
          <t>demais</t>
        </is>
      </c>
      <c r="H453" t="inlineStr">
        <is>
          <t>HEMANUELE DITZEL (MANU)</t>
        </is>
      </c>
    </row>
    <row r="454">
      <c r="A454" t="n">
        <v>0.109271</v>
      </c>
      <c r="B454" t="inlineStr">
        <is>
          <t>SEM GRUPO</t>
        </is>
      </c>
      <c r="C454" t="inlineStr">
        <is>
          <t>SP</t>
        </is>
      </c>
      <c r="D454" t="n">
        <v>11974594225</v>
      </c>
      <c r="E454" t="inlineStr">
        <is>
          <t>Plano de Negócio</t>
        </is>
      </c>
      <c r="F454" t="inlineStr">
        <is>
          <t>SEM REDE</t>
        </is>
      </c>
      <c r="G454" t="inlineStr">
        <is>
          <t>demais</t>
        </is>
      </c>
      <c r="H454" t="inlineStr">
        <is>
          <t>LARISSA PADILHA</t>
        </is>
      </c>
    </row>
    <row r="455">
      <c r="A455" t="n">
        <v>0.107203</v>
      </c>
      <c r="B455" t="inlineStr">
        <is>
          <t>SEM GRUPO</t>
        </is>
      </c>
      <c r="C455" t="inlineStr">
        <is>
          <t>SC</t>
        </is>
      </c>
      <c r="D455" t="n">
        <v>4991100101</v>
      </c>
      <c r="E455" t="inlineStr">
        <is>
          <t>Plano de Negócio</t>
        </is>
      </c>
      <c r="F455" t="inlineStr">
        <is>
          <t>SEM REDE</t>
        </is>
      </c>
      <c r="G455" t="inlineStr">
        <is>
          <t>demais</t>
        </is>
      </c>
      <c r="H455" t="inlineStr">
        <is>
          <t>HEMANUELE DITZEL (MANU)</t>
        </is>
      </c>
    </row>
    <row r="456">
      <c r="A456" t="n">
        <v>0.105779</v>
      </c>
      <c r="B456" t="inlineStr">
        <is>
          <t>SEM GRUPO</t>
        </is>
      </c>
      <c r="C456" t="inlineStr">
        <is>
          <t>SP</t>
        </is>
      </c>
      <c r="D456" t="n">
        <v>1138191933</v>
      </c>
      <c r="E456" t="inlineStr">
        <is>
          <t>Plano de Negócio</t>
        </is>
      </c>
      <c r="F456" t="inlineStr">
        <is>
          <t>SEM REDE</t>
        </is>
      </c>
      <c r="G456" t="inlineStr">
        <is>
          <t>demais</t>
        </is>
      </c>
      <c r="H456" t="inlineStr">
        <is>
          <t>LARISSA PADILHA</t>
        </is>
      </c>
    </row>
    <row r="457">
      <c r="A457" t="n">
        <v>0.105451</v>
      </c>
      <c r="B457" t="inlineStr">
        <is>
          <t>SEM GRUPO</t>
        </is>
      </c>
      <c r="C457" t="inlineStr">
        <is>
          <t>SP</t>
        </is>
      </c>
      <c r="D457" t="n">
        <v>18997820497</v>
      </c>
      <c r="E457" t="inlineStr">
        <is>
          <t>Plano de Negócio</t>
        </is>
      </c>
      <c r="F457" t="inlineStr">
        <is>
          <t>SEM REDE</t>
        </is>
      </c>
      <c r="G457" t="inlineStr">
        <is>
          <t>demais</t>
        </is>
      </c>
      <c r="H457" t="inlineStr">
        <is>
          <t>HEMANUELE DITZEL (MANU)</t>
        </is>
      </c>
    </row>
    <row r="458">
      <c r="A458" t="n">
        <v>0.105365</v>
      </c>
      <c r="B458" t="inlineStr">
        <is>
          <t>SEM GRUPO</t>
        </is>
      </c>
      <c r="C458" t="inlineStr">
        <is>
          <t>SP</t>
        </is>
      </c>
      <c r="D458" t="n">
        <v>13997006070</v>
      </c>
      <c r="E458" t="inlineStr">
        <is>
          <t>Plano de Negócio</t>
        </is>
      </c>
      <c r="F458" t="inlineStr">
        <is>
          <t>SEM REDE</t>
        </is>
      </c>
      <c r="G458" t="inlineStr">
        <is>
          <t>demais</t>
        </is>
      </c>
      <c r="H458" t="inlineStr">
        <is>
          <t>LARISSA PADILHA</t>
        </is>
      </c>
    </row>
    <row r="459">
      <c r="A459" t="n">
        <v>0.104201</v>
      </c>
      <c r="B459" t="inlineStr">
        <is>
          <t>SEM GRUPO</t>
        </is>
      </c>
      <c r="C459" t="inlineStr">
        <is>
          <t>SP</t>
        </is>
      </c>
      <c r="D459" t="n">
        <v>11443607601</v>
      </c>
      <c r="E459" t="inlineStr">
        <is>
          <t>Plano de Negócio</t>
        </is>
      </c>
      <c r="F459" t="inlineStr">
        <is>
          <t>SEM REDE</t>
        </is>
      </c>
      <c r="G459" t="inlineStr">
        <is>
          <t>demais</t>
        </is>
      </c>
      <c r="H459" t="inlineStr">
        <is>
          <t>LARISSA PADILHA</t>
        </is>
      </c>
    </row>
    <row r="460">
      <c r="A460" t="n">
        <v>0.104112</v>
      </c>
      <c r="B460" t="inlineStr">
        <is>
          <t>SEM GRUPO</t>
        </is>
      </c>
      <c r="C460" t="inlineStr">
        <is>
          <t>PR</t>
        </is>
      </c>
      <c r="D460" t="n">
        <v>1</v>
      </c>
      <c r="E460" t="inlineStr">
        <is>
          <t>Plano de Negócio</t>
        </is>
      </c>
      <c r="F460" t="inlineStr">
        <is>
          <t>SEM REDE</t>
        </is>
      </c>
      <c r="G460" t="inlineStr">
        <is>
          <t>demais</t>
        </is>
      </c>
      <c r="H460" t="inlineStr">
        <is>
          <t>HEMANUELE DITZEL (MANU)</t>
        </is>
      </c>
    </row>
    <row r="461">
      <c r="A461" t="n">
        <v>0.104094</v>
      </c>
      <c r="B461" t="inlineStr">
        <is>
          <t>SEM GRUPO</t>
        </is>
      </c>
      <c r="C461" t="inlineStr">
        <is>
          <t>RS</t>
        </is>
      </c>
      <c r="D461" t="n">
        <v>51981774433</v>
      </c>
      <c r="E461" t="inlineStr">
        <is>
          <t>Plano de Negócio</t>
        </is>
      </c>
      <c r="F461" t="inlineStr">
        <is>
          <t>SEM REDE</t>
        </is>
      </c>
      <c r="G461" t="inlineStr">
        <is>
          <t>demais</t>
        </is>
      </c>
      <c r="H461" t="inlineStr">
        <is>
          <t>HEMANUELE DITZEL (MANU)</t>
        </is>
      </c>
    </row>
    <row r="462">
      <c r="A462" t="n">
        <v>0.054542</v>
      </c>
      <c r="B462" t="inlineStr">
        <is>
          <t>FITLAND</t>
        </is>
      </c>
      <c r="C462" t="inlineStr">
        <is>
          <t>PR</t>
        </is>
      </c>
      <c r="D462" t="n">
        <v>41991464469</v>
      </c>
      <c r="E462" t="inlineStr">
        <is>
          <t>Prospecção</t>
        </is>
      </c>
      <c r="F462" t="inlineStr">
        <is>
          <t>FITLAND</t>
        </is>
      </c>
      <c r="G462" t="inlineStr">
        <is>
          <t>demais</t>
        </is>
      </c>
      <c r="H462" t="inlineStr">
        <is>
          <t>JULIO GADRET</t>
        </is>
      </c>
    </row>
    <row r="463">
      <c r="A463" t="n">
        <v>0.10257</v>
      </c>
      <c r="B463" t="inlineStr">
        <is>
          <t>SEM GRUPO</t>
        </is>
      </c>
      <c r="C463" t="inlineStr">
        <is>
          <t>SP</t>
        </is>
      </c>
      <c r="D463" t="n">
        <v>18981504646</v>
      </c>
      <c r="E463" t="inlineStr">
        <is>
          <t>Plano de Negócio</t>
        </is>
      </c>
      <c r="F463" t="inlineStr">
        <is>
          <t>SEM REDE</t>
        </is>
      </c>
      <c r="G463" t="inlineStr">
        <is>
          <t>demais</t>
        </is>
      </c>
      <c r="H463" t="inlineStr">
        <is>
          <t>LARISSA PADILHA</t>
        </is>
      </c>
    </row>
    <row r="464">
      <c r="A464" t="n">
        <v>0.100789</v>
      </c>
      <c r="B464" t="inlineStr">
        <is>
          <t>SEM GRUPO</t>
        </is>
      </c>
      <c r="C464" t="inlineStr">
        <is>
          <t>RJ</t>
        </is>
      </c>
      <c r="D464" t="n">
        <v>22981093913</v>
      </c>
      <c r="E464" t="inlineStr">
        <is>
          <t>Plano de Negócio</t>
        </is>
      </c>
      <c r="F464" t="inlineStr">
        <is>
          <t>SEM REDE</t>
        </is>
      </c>
      <c r="G464" t="inlineStr">
        <is>
          <t>demais</t>
        </is>
      </c>
      <c r="H464" t="inlineStr">
        <is>
          <t>HEMANUELE DITZEL (MANU)</t>
        </is>
      </c>
    </row>
    <row r="465">
      <c r="A465" t="n">
        <v>0.099939</v>
      </c>
      <c r="B465" t="inlineStr">
        <is>
          <t>SEM GRUPO</t>
        </is>
      </c>
      <c r="C465" t="inlineStr">
        <is>
          <t>RS</t>
        </is>
      </c>
      <c r="D465" t="n">
        <v>51984097998</v>
      </c>
      <c r="E465" t="inlineStr">
        <is>
          <t>Prospecção</t>
        </is>
      </c>
      <c r="F465" t="inlineStr">
        <is>
          <t>SEM REDE</t>
        </is>
      </c>
      <c r="G465" t="inlineStr">
        <is>
          <t>demais</t>
        </is>
      </c>
      <c r="H465" t="inlineStr">
        <is>
          <t>HEMANUELE DITZEL (MANU)</t>
        </is>
      </c>
    </row>
    <row r="466">
      <c r="A466" t="n">
        <v>0.09732</v>
      </c>
      <c r="B466" t="inlineStr">
        <is>
          <t>SEM GRUPO</t>
        </is>
      </c>
      <c r="C466" t="inlineStr">
        <is>
          <t>SP</t>
        </is>
      </c>
      <c r="D466" t="n">
        <v>19981389325</v>
      </c>
      <c r="E466" t="inlineStr">
        <is>
          <t>Prospecção</t>
        </is>
      </c>
      <c r="F466" t="inlineStr">
        <is>
          <t>SEM REDE</t>
        </is>
      </c>
      <c r="G466" t="inlineStr">
        <is>
          <t>demais</t>
        </is>
      </c>
      <c r="H466" t="inlineStr">
        <is>
          <t>LARISSA PADILHA</t>
        </is>
      </c>
    </row>
    <row r="467">
      <c r="A467" t="n">
        <v>0.097124</v>
      </c>
      <c r="B467" t="inlineStr">
        <is>
          <t>SEM GRUPO</t>
        </is>
      </c>
      <c r="C467" t="inlineStr">
        <is>
          <t>MG</t>
        </is>
      </c>
      <c r="D467" t="n">
        <v>19998488255</v>
      </c>
      <c r="E467" t="inlineStr">
        <is>
          <t>Prospecção</t>
        </is>
      </c>
      <c r="F467" t="inlineStr">
        <is>
          <t>SEM REDE</t>
        </is>
      </c>
      <c r="G467" t="inlineStr">
        <is>
          <t>demais</t>
        </is>
      </c>
      <c r="H467" t="inlineStr">
        <is>
          <t>LARISSA PADILHA</t>
        </is>
      </c>
    </row>
    <row r="468">
      <c r="A468" t="n">
        <v>0.052984</v>
      </c>
      <c r="B468" t="inlineStr">
        <is>
          <t>VIDA LEVE</t>
        </is>
      </c>
      <c r="C468" t="inlineStr">
        <is>
          <t>SC</t>
        </is>
      </c>
      <c r="D468" t="n">
        <v>51997049422</v>
      </c>
      <c r="E468" t="inlineStr">
        <is>
          <t>Prospecção</t>
        </is>
      </c>
      <c r="F468" t="inlineStr">
        <is>
          <t>VIDA LEVE</t>
        </is>
      </c>
      <c r="G468" t="inlineStr">
        <is>
          <t>demais</t>
        </is>
      </c>
      <c r="H468" t="inlineStr">
        <is>
          <t>DAIANE STAVICKI</t>
        </is>
      </c>
    </row>
    <row r="469">
      <c r="A469" t="n">
        <v>0.095183</v>
      </c>
      <c r="B469" t="inlineStr">
        <is>
          <t>SEM GRUPO</t>
        </is>
      </c>
      <c r="C469" t="inlineStr">
        <is>
          <t>PR</t>
        </is>
      </c>
      <c r="D469" t="n">
        <v>41991856234</v>
      </c>
      <c r="E469" t="inlineStr">
        <is>
          <t>Prospecção</t>
        </is>
      </c>
      <c r="F469" t="inlineStr">
        <is>
          <t>SEM REDE</t>
        </is>
      </c>
      <c r="G469" t="inlineStr">
        <is>
          <t>demais</t>
        </is>
      </c>
      <c r="H469" t="inlineStr">
        <is>
          <t>HEMANUELE DITZEL (MANU)</t>
        </is>
      </c>
    </row>
    <row r="470">
      <c r="A470" t="n">
        <v>0.095001</v>
      </c>
      <c r="B470" t="inlineStr">
        <is>
          <t>SEM GRUPO</t>
        </is>
      </c>
      <c r="C470" t="inlineStr">
        <is>
          <t>ES</t>
        </is>
      </c>
      <c r="D470" t="n">
        <v>28999268380</v>
      </c>
      <c r="E470" t="inlineStr">
        <is>
          <t>Prospecção</t>
        </is>
      </c>
      <c r="F470" t="inlineStr">
        <is>
          <t>SEM REDE</t>
        </is>
      </c>
      <c r="G470" t="inlineStr">
        <is>
          <t>demais</t>
        </is>
      </c>
      <c r="H470" t="inlineStr">
        <is>
          <t>LARISSA PADILHA</t>
        </is>
      </c>
    </row>
    <row r="471">
      <c r="A471" t="n">
        <v>0.09353</v>
      </c>
      <c r="B471" t="inlineStr">
        <is>
          <t>SEM GRUPO</t>
        </is>
      </c>
      <c r="C471" t="inlineStr">
        <is>
          <t>SC</t>
        </is>
      </c>
      <c r="D471" t="n">
        <v>47999923625</v>
      </c>
      <c r="E471" t="inlineStr">
        <is>
          <t>Prospecção</t>
        </is>
      </c>
      <c r="F471" t="inlineStr">
        <is>
          <t>SEM REDE</t>
        </is>
      </c>
      <c r="G471" t="inlineStr">
        <is>
          <t>demais</t>
        </is>
      </c>
      <c r="H471" t="inlineStr">
        <is>
          <t>HEMANUELE DITZEL (MANU)</t>
        </is>
      </c>
    </row>
    <row r="472">
      <c r="A472" t="n">
        <v>0.09096600000000001</v>
      </c>
      <c r="B472" t="inlineStr">
        <is>
          <t>SEM GRUPO</t>
        </is>
      </c>
      <c r="C472" t="inlineStr">
        <is>
          <t>PR</t>
        </is>
      </c>
      <c r="D472" t="n">
        <v>0</v>
      </c>
      <c r="E472" t="inlineStr">
        <is>
          <t>Prospecção</t>
        </is>
      </c>
      <c r="F472" t="inlineStr">
        <is>
          <t>SEM REDE</t>
        </is>
      </c>
      <c r="G472" t="inlineStr">
        <is>
          <t>demais</t>
        </is>
      </c>
      <c r="H472" t="inlineStr">
        <is>
          <t>HEMANUELE DITZEL (MANU)</t>
        </is>
      </c>
    </row>
    <row r="473">
      <c r="A473" t="n">
        <v>0.090268</v>
      </c>
      <c r="B473" t="inlineStr">
        <is>
          <t>SEM GRUPO</t>
        </is>
      </c>
      <c r="C473" t="inlineStr">
        <is>
          <t>RS</t>
        </is>
      </c>
      <c r="D473" t="n">
        <v>51991587245</v>
      </c>
      <c r="E473" t="inlineStr">
        <is>
          <t>Prospecção</t>
        </is>
      </c>
      <c r="F473" t="inlineStr">
        <is>
          <t>SEM REDE</t>
        </is>
      </c>
      <c r="G473" t="inlineStr">
        <is>
          <t>demais</t>
        </is>
      </c>
      <c r="H473" t="inlineStr">
        <is>
          <t>HEMANUELE DITZEL (MANU)</t>
        </is>
      </c>
    </row>
    <row r="474">
      <c r="A474" t="n">
        <v>0.072479</v>
      </c>
      <c r="B474" t="inlineStr">
        <is>
          <t>DIVINA TERRA</t>
        </is>
      </c>
      <c r="C474" t="inlineStr">
        <is>
          <t>RS</t>
        </is>
      </c>
      <c r="D474" t="n">
        <v>51981926407</v>
      </c>
      <c r="E474" t="inlineStr">
        <is>
          <t>Prospecção</t>
        </is>
      </c>
      <c r="F474" t="inlineStr">
        <is>
          <t>DIVINA TERRA</t>
        </is>
      </c>
      <c r="G474" t="inlineStr">
        <is>
          <t>demais</t>
        </is>
      </c>
      <c r="H474" t="inlineStr">
        <is>
          <t>HEMANUELE DITZEL (MANU)</t>
        </is>
      </c>
    </row>
    <row r="475">
      <c r="A475" t="n">
        <v>0.080135</v>
      </c>
      <c r="B475" t="inlineStr">
        <is>
          <t>SEM GRUPO</t>
        </is>
      </c>
      <c r="C475" t="inlineStr">
        <is>
          <t>RS</t>
        </is>
      </c>
      <c r="D475" t="n">
        <v>51974015448</v>
      </c>
      <c r="E475" t="inlineStr">
        <is>
          <t>Prospecção</t>
        </is>
      </c>
      <c r="F475" t="inlineStr">
        <is>
          <t>SEM REDE</t>
        </is>
      </c>
      <c r="G475" t="inlineStr">
        <is>
          <t>demais</t>
        </is>
      </c>
      <c r="H475" t="inlineStr">
        <is>
          <t>HEMANUELE DITZEL (MANU)</t>
        </is>
      </c>
    </row>
    <row r="476">
      <c r="A476" t="n">
        <v>0.04188</v>
      </c>
      <c r="B476" t="inlineStr">
        <is>
          <t>FITLAND</t>
        </is>
      </c>
      <c r="C476" t="inlineStr">
        <is>
          <t>SC</t>
        </is>
      </c>
      <c r="D476" t="n">
        <v>4896909572</v>
      </c>
      <c r="E476" t="inlineStr">
        <is>
          <t>Prospecção</t>
        </is>
      </c>
      <c r="F476" t="inlineStr">
        <is>
          <t>FITLAND</t>
        </is>
      </c>
      <c r="G476" t="inlineStr">
        <is>
          <t>demais</t>
        </is>
      </c>
      <c r="H476" t="inlineStr">
        <is>
          <t>JULIO GADRET</t>
        </is>
      </c>
    </row>
    <row r="477">
      <c r="A477" t="n">
        <v>0.07920000000000001</v>
      </c>
      <c r="B477" t="inlineStr">
        <is>
          <t>SEM GRUPO</t>
        </is>
      </c>
      <c r="C477" t="inlineStr">
        <is>
          <t>ES</t>
        </is>
      </c>
      <c r="D477" t="n">
        <v>1</v>
      </c>
      <c r="E477" t="inlineStr">
        <is>
          <t>Prospecção</t>
        </is>
      </c>
      <c r="F477" t="inlineStr">
        <is>
          <t>SEM REDE</t>
        </is>
      </c>
      <c r="G477" t="inlineStr">
        <is>
          <t>demais</t>
        </is>
      </c>
      <c r="H477" t="inlineStr">
        <is>
          <t>LARISSA PADILHA</t>
        </is>
      </c>
    </row>
    <row r="478">
      <c r="A478" t="n">
        <v>0.078597</v>
      </c>
      <c r="B478" t="inlineStr">
        <is>
          <t>SEM GRUPO</t>
        </is>
      </c>
      <c r="C478" t="inlineStr">
        <is>
          <t>MG</t>
        </is>
      </c>
      <c r="D478" t="n">
        <v>31975631545</v>
      </c>
      <c r="E478" t="inlineStr">
        <is>
          <t>Prospecção</t>
        </is>
      </c>
      <c r="F478" t="inlineStr">
        <is>
          <t>SEM REDE</t>
        </is>
      </c>
      <c r="G478" t="inlineStr">
        <is>
          <t>demais</t>
        </is>
      </c>
      <c r="H478" t="inlineStr">
        <is>
          <t>LARISSA PADILHA</t>
        </is>
      </c>
    </row>
    <row r="479">
      <c r="A479" t="n">
        <v>0.077407</v>
      </c>
      <c r="B479" t="inlineStr">
        <is>
          <t>SEM GRUPO</t>
        </is>
      </c>
      <c r="C479" t="inlineStr">
        <is>
          <t>SC</t>
        </is>
      </c>
      <c r="D479" t="n">
        <v>4734540773</v>
      </c>
      <c r="E479" t="inlineStr">
        <is>
          <t>Prospecção</t>
        </is>
      </c>
      <c r="F479" t="inlineStr">
        <is>
          <t>SEM REDE</t>
        </is>
      </c>
      <c r="G479" t="inlineStr">
        <is>
          <t>demais</t>
        </is>
      </c>
      <c r="H479" t="inlineStr">
        <is>
          <t>HEMANUELE DITZEL (MANU)</t>
        </is>
      </c>
    </row>
    <row r="480">
      <c r="A480" t="n">
        <v>0.07728599999999999</v>
      </c>
      <c r="B480" t="inlineStr">
        <is>
          <t>SEM GRUPO</t>
        </is>
      </c>
      <c r="C480" t="inlineStr">
        <is>
          <t>SC</t>
        </is>
      </c>
      <c r="D480" t="n">
        <v>4791377929</v>
      </c>
      <c r="E480" t="inlineStr">
        <is>
          <t>Prospecção</t>
        </is>
      </c>
      <c r="F480" t="inlineStr">
        <is>
          <t>SEM REDE</t>
        </is>
      </c>
      <c r="G480" t="inlineStr">
        <is>
          <t>demais</t>
        </is>
      </c>
      <c r="H480" t="inlineStr">
        <is>
          <t>HEMANUELE DITZEL (MANU)</t>
        </is>
      </c>
    </row>
    <row r="481">
      <c r="A481" t="n">
        <v>0.038919</v>
      </c>
      <c r="B481" t="inlineStr">
        <is>
          <t>FITLAND</t>
        </is>
      </c>
      <c r="C481" t="inlineStr">
        <is>
          <t>SC</t>
        </is>
      </c>
      <c r="D481" t="n">
        <v>1</v>
      </c>
      <c r="E481" t="inlineStr">
        <is>
          <t>Prospecção</t>
        </is>
      </c>
      <c r="F481" t="inlineStr">
        <is>
          <t>FITLAND</t>
        </is>
      </c>
      <c r="G481" t="inlineStr">
        <is>
          <t>demais</t>
        </is>
      </c>
      <c r="H481" t="inlineStr">
        <is>
          <t>JULIO GADRET</t>
        </is>
      </c>
    </row>
    <row r="482">
      <c r="A482" t="n">
        <v>0.072157</v>
      </c>
      <c r="B482" t="inlineStr">
        <is>
          <t>SEM GRUPO</t>
        </is>
      </c>
      <c r="C482" t="inlineStr">
        <is>
          <t>RS</t>
        </is>
      </c>
      <c r="D482" t="n">
        <v>54334411755</v>
      </c>
      <c r="E482" t="inlineStr">
        <is>
          <t>Prospecção</t>
        </is>
      </c>
      <c r="F482" t="inlineStr">
        <is>
          <t>SEM REDE</t>
        </is>
      </c>
      <c r="G482" t="inlineStr">
        <is>
          <t>demais</t>
        </is>
      </c>
      <c r="H482" t="inlineStr">
        <is>
          <t>HEMANUELE DITZEL (MANU)</t>
        </is>
      </c>
    </row>
    <row r="483">
      <c r="A483" t="n">
        <v>0.07080400000000001</v>
      </c>
      <c r="B483" t="inlineStr">
        <is>
          <t>SEM GRUPO</t>
        </is>
      </c>
      <c r="C483" t="inlineStr">
        <is>
          <t>MG</t>
        </is>
      </c>
      <c r="D483" t="n">
        <v>31998340443</v>
      </c>
      <c r="E483" t="inlineStr">
        <is>
          <t>Prospecção</t>
        </is>
      </c>
      <c r="F483" t="inlineStr">
        <is>
          <t>SEM REDE</t>
        </is>
      </c>
      <c r="G483" t="inlineStr">
        <is>
          <t>demais</t>
        </is>
      </c>
      <c r="H483" t="inlineStr">
        <is>
          <t>LARISSA PADILHA</t>
        </is>
      </c>
    </row>
    <row r="484">
      <c r="A484" t="n">
        <v>0.07026399999999999</v>
      </c>
      <c r="B484" t="inlineStr">
        <is>
          <t>SEM GRUPO</t>
        </is>
      </c>
      <c r="C484" t="inlineStr">
        <is>
          <t>PR</t>
        </is>
      </c>
      <c r="D484" t="n">
        <v>41996380291</v>
      </c>
      <c r="E484" t="inlineStr">
        <is>
          <t>Prospecção</t>
        </is>
      </c>
      <c r="F484" t="inlineStr">
        <is>
          <t>SEM REDE</t>
        </is>
      </c>
      <c r="G484" t="inlineStr">
        <is>
          <t>demais</t>
        </is>
      </c>
      <c r="H484" t="inlineStr">
        <is>
          <t>HEMANUELE DITZEL (MANU)</t>
        </is>
      </c>
    </row>
    <row r="485">
      <c r="A485" t="n">
        <v>0.058796</v>
      </c>
      <c r="B485" t="inlineStr">
        <is>
          <t>DIVINA TERRA</t>
        </is>
      </c>
      <c r="C485" t="inlineStr">
        <is>
          <t>SC</t>
        </is>
      </c>
      <c r="D485" t="n">
        <v>49991801104</v>
      </c>
      <c r="E485" t="inlineStr">
        <is>
          <t>Prospecção</t>
        </is>
      </c>
      <c r="F485" t="inlineStr">
        <is>
          <t>DIVINA TERRA</t>
        </is>
      </c>
      <c r="G485" t="inlineStr">
        <is>
          <t>demais</t>
        </is>
      </c>
      <c r="H485" t="inlineStr">
        <is>
          <t>DAIANE STAVICKI</t>
        </is>
      </c>
    </row>
    <row r="486">
      <c r="A486" t="n">
        <v>0.068088</v>
      </c>
      <c r="B486" t="inlineStr">
        <is>
          <t>SEM GRUPO</t>
        </is>
      </c>
      <c r="C486" t="inlineStr">
        <is>
          <t>PI</t>
        </is>
      </c>
      <c r="D486" t="n">
        <v>8695516151</v>
      </c>
      <c r="E486" t="inlineStr">
        <is>
          <t>Prospecção</t>
        </is>
      </c>
      <c r="F486" t="inlineStr">
        <is>
          <t>SEM REDE</t>
        </is>
      </c>
      <c r="G486" t="inlineStr">
        <is>
          <t>demais</t>
        </is>
      </c>
      <c r="H486" t="inlineStr">
        <is>
          <t>LARISSA PADILHA</t>
        </is>
      </c>
    </row>
    <row r="487">
      <c r="A487" t="n">
        <v>0.067659</v>
      </c>
      <c r="B487" t="inlineStr">
        <is>
          <t>SEM GRUPO</t>
        </is>
      </c>
      <c r="C487" t="inlineStr">
        <is>
          <t>MT</t>
        </is>
      </c>
      <c r="D487" t="n">
        <v>66999684606</v>
      </c>
      <c r="E487" t="inlineStr">
        <is>
          <t>Prospecção</t>
        </is>
      </c>
      <c r="F487" t="inlineStr">
        <is>
          <t>SEM REDE</t>
        </is>
      </c>
      <c r="G487" t="inlineStr">
        <is>
          <t>demais</t>
        </is>
      </c>
      <c r="H487" t="inlineStr">
        <is>
          <t>LARISSA PADILHA</t>
        </is>
      </c>
    </row>
    <row r="488">
      <c r="A488" t="n">
        <v>0.06719799999999999</v>
      </c>
      <c r="B488" t="inlineStr">
        <is>
          <t>SEM GRUPO</t>
        </is>
      </c>
      <c r="C488" t="inlineStr">
        <is>
          <t>PR</t>
        </is>
      </c>
      <c r="D488" t="n">
        <v>43984033992</v>
      </c>
      <c r="E488" t="inlineStr">
        <is>
          <t>Prospecção</t>
        </is>
      </c>
      <c r="F488" t="inlineStr">
        <is>
          <t>SEM REDE</t>
        </is>
      </c>
      <c r="G488" t="inlineStr">
        <is>
          <t>demais</t>
        </is>
      </c>
      <c r="H488" t="inlineStr">
        <is>
          <t>HEMANUELE DITZEL (MANU)</t>
        </is>
      </c>
    </row>
    <row r="489">
      <c r="A489" t="n">
        <v>0.052489</v>
      </c>
      <c r="B489" t="inlineStr">
        <is>
          <t>SEM GRUPO</t>
        </is>
      </c>
      <c r="C489" t="inlineStr">
        <is>
          <t>SP</t>
        </is>
      </c>
      <c r="D489" t="n">
        <v>1934957166</v>
      </c>
      <c r="E489" t="inlineStr">
        <is>
          <t>Prospecção</t>
        </is>
      </c>
      <c r="F489" t="inlineStr">
        <is>
          <t>SEM REDE</t>
        </is>
      </c>
      <c r="G489" t="inlineStr">
        <is>
          <t>demais</t>
        </is>
      </c>
      <c r="H489" t="inlineStr">
        <is>
          <t>LARISSA PADILHA</t>
        </is>
      </c>
    </row>
    <row r="490">
      <c r="A490" t="n">
        <v>0.051244</v>
      </c>
      <c r="B490" t="inlineStr">
        <is>
          <t>SEM GRUPO</t>
        </is>
      </c>
      <c r="C490" t="inlineStr">
        <is>
          <t>RJ</t>
        </is>
      </c>
      <c r="D490" t="n">
        <v>22988709405</v>
      </c>
      <c r="E490" t="inlineStr">
        <is>
          <t>Prospecção</t>
        </is>
      </c>
      <c r="F490" t="inlineStr">
        <is>
          <t>SEM REDE</t>
        </is>
      </c>
      <c r="G490" t="inlineStr">
        <is>
          <t>demais</t>
        </is>
      </c>
      <c r="H490" t="inlineStr">
        <is>
          <t>LARISSA PADILHA</t>
        </is>
      </c>
    </row>
    <row r="491">
      <c r="A491" t="n">
        <v>0.047825</v>
      </c>
      <c r="B491" t="inlineStr">
        <is>
          <t>SEM GRUPO</t>
        </is>
      </c>
      <c r="C491" t="inlineStr">
        <is>
          <t>SP</t>
        </is>
      </c>
      <c r="D491" t="n">
        <v>19991003669</v>
      </c>
      <c r="E491" t="inlineStr">
        <is>
          <t>Prospecção</t>
        </is>
      </c>
      <c r="F491" t="inlineStr">
        <is>
          <t>SEM REDE</t>
        </is>
      </c>
      <c r="G491" t="inlineStr">
        <is>
          <t>demais</t>
        </is>
      </c>
      <c r="H491" t="inlineStr">
        <is>
          <t>LARISSA PADILHA</t>
        </is>
      </c>
    </row>
    <row r="492">
      <c r="A492" t="n">
        <v>0.017988</v>
      </c>
      <c r="B492" t="inlineStr">
        <is>
          <t>FITLAND</t>
        </is>
      </c>
      <c r="C492" t="inlineStr">
        <is>
          <t>SC</t>
        </is>
      </c>
      <c r="D492" t="n">
        <v>4885009192</v>
      </c>
      <c r="E492" t="inlineStr">
        <is>
          <t>Prospecção</t>
        </is>
      </c>
      <c r="F492" t="inlineStr">
        <is>
          <t>FITLAND</t>
        </is>
      </c>
      <c r="G492" t="inlineStr">
        <is>
          <t>demais</t>
        </is>
      </c>
      <c r="H492" t="inlineStr">
        <is>
          <t>JULIO GADRET</t>
        </is>
      </c>
    </row>
    <row r="493">
      <c r="A493" t="n">
        <v>0.01198</v>
      </c>
      <c r="B493" t="inlineStr">
        <is>
          <t>FITLAND</t>
        </is>
      </c>
      <c r="C493" t="inlineStr">
        <is>
          <t>SC</t>
        </is>
      </c>
      <c r="D493" t="n">
        <v>4885009192</v>
      </c>
      <c r="E493" t="inlineStr">
        <is>
          <t>Prospecção</t>
        </is>
      </c>
      <c r="F493" t="inlineStr">
        <is>
          <t>FITLAND</t>
        </is>
      </c>
      <c r="G493" t="inlineStr">
        <is>
          <t>demais</t>
        </is>
      </c>
      <c r="H493" t="inlineStr">
        <is>
          <t>JULIO GADRET</t>
        </is>
      </c>
    </row>
    <row r="494">
      <c r="A494" t="n">
        <v>0</v>
      </c>
      <c r="B494" t="inlineStr">
        <is>
          <t>BIO MUNDO</t>
        </is>
      </c>
      <c r="C494" t="inlineStr">
        <is>
          <t>PA</t>
        </is>
      </c>
      <c r="D494" t="n">
        <v>9191661360</v>
      </c>
      <c r="E494" t="inlineStr">
        <is>
          <t>Inativo</t>
        </is>
      </c>
      <c r="F494" t="inlineStr">
        <is>
          <t>BIO MUNDO</t>
        </is>
      </c>
      <c r="G494" t="inlineStr">
        <is>
          <t>demais</t>
        </is>
      </c>
      <c r="H494" t="inlineStr">
        <is>
          <t>DAIANE STAVICKI</t>
        </is>
      </c>
    </row>
    <row r="495">
      <c r="A495" t="n">
        <v>0</v>
      </c>
      <c r="B495" t="inlineStr">
        <is>
          <t>DIVINA TERRA</t>
        </is>
      </c>
      <c r="C495" t="inlineStr">
        <is>
          <t>PA</t>
        </is>
      </c>
      <c r="D495" t="n">
        <v>9130385403</v>
      </c>
      <c r="E495" t="inlineStr">
        <is>
          <t>Inativo</t>
        </is>
      </c>
      <c r="F495" t="inlineStr">
        <is>
          <t>DIVINA TERRA</t>
        </is>
      </c>
      <c r="G495" t="inlineStr">
        <is>
          <t>demais</t>
        </is>
      </c>
      <c r="H495" t="inlineStr">
        <is>
          <t>DAIANE STAVICKI</t>
        </is>
      </c>
    </row>
    <row r="496">
      <c r="A496" t="n">
        <v>0</v>
      </c>
      <c r="B496" t="inlineStr">
        <is>
          <t>BIO MUNDO</t>
        </is>
      </c>
      <c r="C496" t="inlineStr">
        <is>
          <t>AM</t>
        </is>
      </c>
      <c r="D496" t="n">
        <v>9191526077</v>
      </c>
      <c r="E496" t="inlineStr">
        <is>
          <t>Inativo</t>
        </is>
      </c>
      <c r="F496" t="inlineStr">
        <is>
          <t>BIO MUNDO</t>
        </is>
      </c>
      <c r="G496" t="inlineStr">
        <is>
          <t>demais</t>
        </is>
      </c>
      <c r="H496" t="inlineStr">
        <is>
          <t>DAIANE STAVICKI</t>
        </is>
      </c>
    </row>
    <row r="497">
      <c r="A497" t="n">
        <v>0</v>
      </c>
      <c r="B497" t="inlineStr">
        <is>
          <t>BIO MUNDO</t>
        </is>
      </c>
      <c r="C497" t="inlineStr">
        <is>
          <t>GO</t>
        </is>
      </c>
      <c r="D497" t="n">
        <v>6292088174</v>
      </c>
      <c r="E497" t="inlineStr">
        <is>
          <t>Inativo</t>
        </is>
      </c>
      <c r="F497" t="inlineStr">
        <is>
          <t>BIO MUNDO</t>
        </is>
      </c>
      <c r="G497" t="inlineStr">
        <is>
          <t>demais</t>
        </is>
      </c>
      <c r="H497" t="inlineStr">
        <is>
          <t>DAIANE STAVICKI</t>
        </is>
      </c>
    </row>
    <row r="498">
      <c r="A498" t="n">
        <v>0</v>
      </c>
      <c r="B498" t="inlineStr">
        <is>
          <t>DIVINA TERRA</t>
        </is>
      </c>
      <c r="C498" t="inlineStr">
        <is>
          <t>PB</t>
        </is>
      </c>
      <c r="D498" t="n">
        <v>83996111876</v>
      </c>
      <c r="E498" t="inlineStr">
        <is>
          <t>Inativo</t>
        </is>
      </c>
      <c r="F498" t="inlineStr">
        <is>
          <t>DIVINA TERRA</t>
        </is>
      </c>
      <c r="G498" t="inlineStr">
        <is>
          <t>demais</t>
        </is>
      </c>
      <c r="H498" t="inlineStr">
        <is>
          <t>DAIANE STAVICKI</t>
        </is>
      </c>
    </row>
    <row r="499">
      <c r="A499" t="n">
        <v>0</v>
      </c>
      <c r="B499" t="inlineStr">
        <is>
          <t>VIDA LEVE</t>
        </is>
      </c>
      <c r="C499" t="inlineStr">
        <is>
          <t>MT</t>
        </is>
      </c>
      <c r="D499" t="n">
        <v>66992239861</v>
      </c>
      <c r="E499" t="inlineStr">
        <is>
          <t>Inativo</t>
        </is>
      </c>
      <c r="F499" t="inlineStr">
        <is>
          <t>VIDA LEVE</t>
        </is>
      </c>
      <c r="G499" t="inlineStr">
        <is>
          <t>demais</t>
        </is>
      </c>
      <c r="H499" t="inlineStr">
        <is>
          <t>DAIANE STAVICKI</t>
        </is>
      </c>
    </row>
    <row r="500">
      <c r="A500" t="n">
        <v>0</v>
      </c>
      <c r="B500" t="inlineStr">
        <is>
          <t>CIA DA SAUDE</t>
        </is>
      </c>
      <c r="C500" t="inlineStr">
        <is>
          <t>MG</t>
        </is>
      </c>
      <c r="D500" t="n">
        <v>31355115213</v>
      </c>
      <c r="E500" t="inlineStr">
        <is>
          <t>Inativo</t>
        </is>
      </c>
      <c r="F500" t="inlineStr">
        <is>
          <t>CIA DA SAUDE</t>
        </is>
      </c>
      <c r="G500" t="inlineStr">
        <is>
          <t>demais</t>
        </is>
      </c>
      <c r="H500" t="inlineStr">
        <is>
          <t>JULIO GADRET</t>
        </is>
      </c>
    </row>
    <row r="501">
      <c r="A501" t="n">
        <v>0</v>
      </c>
      <c r="B501" t="inlineStr">
        <is>
          <t>CIA DA SAUDE</t>
        </is>
      </c>
      <c r="C501" t="inlineStr">
        <is>
          <t>MG</t>
        </is>
      </c>
      <c r="D501" t="n">
        <v>31986333559</v>
      </c>
      <c r="E501" t="inlineStr">
        <is>
          <t>Inativo</t>
        </is>
      </c>
      <c r="F501" t="inlineStr">
        <is>
          <t>CIA DA SAUDE</t>
        </is>
      </c>
      <c r="G501" t="inlineStr">
        <is>
          <t>demais</t>
        </is>
      </c>
      <c r="H501" t="inlineStr">
        <is>
          <t>JULIO GADRET</t>
        </is>
      </c>
    </row>
    <row r="502">
      <c r="A502" t="n">
        <v>0</v>
      </c>
      <c r="B502" t="inlineStr">
        <is>
          <t>DIVINA TERRA</t>
        </is>
      </c>
      <c r="C502" t="inlineStr">
        <is>
          <t>SP</t>
        </is>
      </c>
      <c r="D502" t="n">
        <v>1195589320</v>
      </c>
      <c r="E502" t="inlineStr">
        <is>
          <t>Inativo</t>
        </is>
      </c>
      <c r="F502" t="inlineStr">
        <is>
          <t>DIVINA TERRA</t>
        </is>
      </c>
      <c r="G502" t="inlineStr">
        <is>
          <t>demais</t>
        </is>
      </c>
      <c r="H502" t="inlineStr">
        <is>
          <t>DAIANE STAVICKI</t>
        </is>
      </c>
    </row>
    <row r="503">
      <c r="A503" t="n">
        <v>0</v>
      </c>
      <c r="B503" t="inlineStr">
        <is>
          <t>TUDO EM GRAOS / VGA</t>
        </is>
      </c>
      <c r="C503" t="inlineStr">
        <is>
          <t>SP</t>
        </is>
      </c>
      <c r="D503" t="n">
        <v>11952517604</v>
      </c>
      <c r="E503" t="inlineStr">
        <is>
          <t>Inativo</t>
        </is>
      </c>
      <c r="F503" t="inlineStr">
        <is>
          <t>TUDO EM GRAOS</t>
        </is>
      </c>
      <c r="G503" t="inlineStr">
        <is>
          <t>demais</t>
        </is>
      </c>
      <c r="H503" t="inlineStr">
        <is>
          <t>DAIANE STAVICKI</t>
        </is>
      </c>
    </row>
    <row r="504">
      <c r="A504" t="n">
        <v>0</v>
      </c>
      <c r="B504" t="inlineStr">
        <is>
          <t>DIVINA TERRA</t>
        </is>
      </c>
      <c r="C504" t="inlineStr">
        <is>
          <t>SP</t>
        </is>
      </c>
      <c r="D504" t="n">
        <v>11941321414</v>
      </c>
      <c r="E504" t="inlineStr">
        <is>
          <t>Inativo</t>
        </is>
      </c>
      <c r="F504" t="inlineStr">
        <is>
          <t>DIVINA TERRA</t>
        </is>
      </c>
      <c r="G504" t="inlineStr">
        <is>
          <t>demais</t>
        </is>
      </c>
      <c r="H504" t="inlineStr">
        <is>
          <t>DAIANE STAVICKI</t>
        </is>
      </c>
    </row>
    <row r="505">
      <c r="A505" t="n">
        <v>0</v>
      </c>
      <c r="B505" t="inlineStr">
        <is>
          <t>CIA DA SAUDE</t>
        </is>
      </c>
      <c r="C505" t="inlineStr">
        <is>
          <t>SP</t>
        </is>
      </c>
      <c r="D505" t="n">
        <v>11357121111</v>
      </c>
      <c r="E505" t="inlineStr">
        <is>
          <t>Inativo</t>
        </is>
      </c>
      <c r="F505" t="inlineStr">
        <is>
          <t>CIA DA SAUDE</t>
        </is>
      </c>
      <c r="G505" t="inlineStr">
        <is>
          <t>demais</t>
        </is>
      </c>
      <c r="H505" t="inlineStr">
        <is>
          <t>JULIO GADRET</t>
        </is>
      </c>
    </row>
    <row r="506">
      <c r="A506" t="n">
        <v>0</v>
      </c>
      <c r="B506" t="inlineStr">
        <is>
          <t>MUNDO VERDE</t>
        </is>
      </c>
      <c r="C506" t="inlineStr">
        <is>
          <t>RJ</t>
        </is>
      </c>
      <c r="D506" t="n">
        <v>21968863000</v>
      </c>
      <c r="E506" t="inlineStr">
        <is>
          <t>Inativo</t>
        </is>
      </c>
      <c r="F506" t="inlineStr">
        <is>
          <t>MUNDO VERDE</t>
        </is>
      </c>
      <c r="G506" t="inlineStr">
        <is>
          <t>demais</t>
        </is>
      </c>
      <c r="H506" t="inlineStr">
        <is>
          <t>DAIANE STAVICKI</t>
        </is>
      </c>
    </row>
    <row r="507">
      <c r="A507" t="n">
        <v>0</v>
      </c>
      <c r="B507" t="inlineStr">
        <is>
          <t>DIVINA TERRA</t>
        </is>
      </c>
      <c r="C507" t="inlineStr">
        <is>
          <t>SP</t>
        </is>
      </c>
      <c r="D507" t="n">
        <v>11953598017</v>
      </c>
      <c r="E507" t="inlineStr">
        <is>
          <t>Inativo</t>
        </is>
      </c>
      <c r="F507" t="inlineStr">
        <is>
          <t>DIVINA TERRA</t>
        </is>
      </c>
      <c r="G507" t="inlineStr">
        <is>
          <t>demais</t>
        </is>
      </c>
      <c r="H507" t="inlineStr">
        <is>
          <t>DAIANE STAVICKI</t>
        </is>
      </c>
    </row>
    <row r="508">
      <c r="A508" t="n">
        <v>0</v>
      </c>
      <c r="B508" t="inlineStr">
        <is>
          <t>CIA DA SAUDE</t>
        </is>
      </c>
      <c r="C508" t="inlineStr">
        <is>
          <t>SC</t>
        </is>
      </c>
      <c r="D508" t="n">
        <v>4896982817</v>
      </c>
      <c r="E508" t="inlineStr">
        <is>
          <t>Inativo</t>
        </is>
      </c>
      <c r="F508" t="inlineStr">
        <is>
          <t>CIA DA SAUDE</t>
        </is>
      </c>
      <c r="G508" t="inlineStr">
        <is>
          <t>demais</t>
        </is>
      </c>
      <c r="H508" t="inlineStr">
        <is>
          <t>JULIO GADRET</t>
        </is>
      </c>
    </row>
    <row r="509">
      <c r="A509" t="n">
        <v>0</v>
      </c>
      <c r="B509" t="inlineStr">
        <is>
          <t>CIA DA SAUDE</t>
        </is>
      </c>
      <c r="C509" t="inlineStr">
        <is>
          <t>SC</t>
        </is>
      </c>
      <c r="D509" t="n">
        <v>48364434974</v>
      </c>
      <c r="E509" t="inlineStr">
        <is>
          <t>Inativo</t>
        </is>
      </c>
      <c r="F509" t="inlineStr">
        <is>
          <t>CIA DA SAUDE</t>
        </is>
      </c>
      <c r="G509" t="inlineStr">
        <is>
          <t>demais</t>
        </is>
      </c>
      <c r="H509" t="inlineStr">
        <is>
          <t>JULIO GADRET</t>
        </is>
      </c>
    </row>
    <row r="510">
      <c r="A510" t="n">
        <v>0</v>
      </c>
      <c r="B510" t="inlineStr">
        <is>
          <t>CIA DA SAUDE</t>
        </is>
      </c>
      <c r="C510" t="inlineStr">
        <is>
          <t>SC</t>
        </is>
      </c>
      <c r="D510" t="n">
        <v>4896065937</v>
      </c>
      <c r="E510" t="inlineStr">
        <is>
          <t>Inativo</t>
        </is>
      </c>
      <c r="F510" t="inlineStr">
        <is>
          <t>CIA DA SAUDE</t>
        </is>
      </c>
      <c r="G510" t="inlineStr">
        <is>
          <t>demais</t>
        </is>
      </c>
      <c r="H510" t="inlineStr">
        <is>
          <t>JULIO GADRET</t>
        </is>
      </c>
    </row>
    <row r="511">
      <c r="A511" t="n">
        <v>0</v>
      </c>
      <c r="B511" t="inlineStr">
        <is>
          <t>CIA DA SAUDE</t>
        </is>
      </c>
      <c r="C511" t="inlineStr">
        <is>
          <t>SC</t>
        </is>
      </c>
      <c r="D511" t="n">
        <v>4896065937</v>
      </c>
      <c r="E511" t="inlineStr">
        <is>
          <t>Inativo</t>
        </is>
      </c>
      <c r="F511" t="inlineStr">
        <is>
          <t>CIA DA SAUDE</t>
        </is>
      </c>
      <c r="G511" t="inlineStr">
        <is>
          <t>demais</t>
        </is>
      </c>
      <c r="H511" t="inlineStr">
        <is>
          <t>JULIO GADRET</t>
        </is>
      </c>
    </row>
    <row r="512">
      <c r="A512" t="n">
        <v>0</v>
      </c>
      <c r="B512" t="inlineStr">
        <is>
          <t>FITLAND</t>
        </is>
      </c>
      <c r="C512" t="inlineStr">
        <is>
          <t>SC</t>
        </is>
      </c>
      <c r="D512" t="n">
        <v>55479932148</v>
      </c>
      <c r="E512" t="inlineStr">
        <is>
          <t>Inativo</t>
        </is>
      </c>
      <c r="F512" t="inlineStr">
        <is>
          <t>FITLAND</t>
        </is>
      </c>
      <c r="G512" t="inlineStr">
        <is>
          <t>demais</t>
        </is>
      </c>
      <c r="H512" t="inlineStr">
        <is>
          <t>JULIO GADRET</t>
        </is>
      </c>
    </row>
    <row r="513">
      <c r="A513" t="n">
        <v>0</v>
      </c>
      <c r="B513" t="inlineStr">
        <is>
          <t>CIA DA SAUDE</t>
        </is>
      </c>
      <c r="C513" t="inlineStr">
        <is>
          <t>SC</t>
        </is>
      </c>
      <c r="D513" t="n">
        <v>48996462635</v>
      </c>
      <c r="E513" t="inlineStr">
        <is>
          <t>Inativo</t>
        </is>
      </c>
      <c r="F513" t="inlineStr">
        <is>
          <t>CIA DA SAUDE</t>
        </is>
      </c>
      <c r="G513" t="inlineStr">
        <is>
          <t>demais</t>
        </is>
      </c>
      <c r="H513" t="inlineStr">
        <is>
          <t>JULIO GADRET</t>
        </is>
      </c>
    </row>
    <row r="514">
      <c r="A514" t="n">
        <v>0</v>
      </c>
      <c r="B514" t="inlineStr">
        <is>
          <t>CIA DA SAUDE</t>
        </is>
      </c>
      <c r="C514" t="inlineStr">
        <is>
          <t>SC</t>
        </is>
      </c>
      <c r="D514" t="n">
        <v>4891607118</v>
      </c>
      <c r="E514" t="inlineStr">
        <is>
          <t>Inativo</t>
        </is>
      </c>
      <c r="F514" t="inlineStr">
        <is>
          <t>CIA DA SAUDE</t>
        </is>
      </c>
      <c r="G514" t="inlineStr">
        <is>
          <t>demais</t>
        </is>
      </c>
      <c r="H514" t="inlineStr">
        <is>
          <t>JULIO GADRET</t>
        </is>
      </c>
    </row>
    <row r="515">
      <c r="A515" t="n">
        <v>0</v>
      </c>
      <c r="B515" t="inlineStr">
        <is>
          <t>FITLAND</t>
        </is>
      </c>
      <c r="C515" t="inlineStr">
        <is>
          <t>SC</t>
        </is>
      </c>
      <c r="D515" t="n">
        <v>4899570928</v>
      </c>
      <c r="E515" t="inlineStr">
        <is>
          <t>Inativo</t>
        </is>
      </c>
      <c r="F515" t="inlineStr">
        <is>
          <t>FITLAND</t>
        </is>
      </c>
      <c r="G515" t="inlineStr">
        <is>
          <t>demais</t>
        </is>
      </c>
      <c r="H515" t="inlineStr">
        <is>
          <t>JULIO GADRET</t>
        </is>
      </c>
    </row>
    <row r="516">
      <c r="A516" t="n">
        <v>0</v>
      </c>
      <c r="B516" t="inlineStr">
        <is>
          <t>CIA DA SAUDE</t>
        </is>
      </c>
      <c r="C516" t="inlineStr">
        <is>
          <t>SC</t>
        </is>
      </c>
      <c r="D516" t="n">
        <v>49352109454</v>
      </c>
      <c r="E516" t="inlineStr">
        <is>
          <t>Inativo</t>
        </is>
      </c>
      <c r="F516" t="inlineStr">
        <is>
          <t>CIA DA SAUDE</t>
        </is>
      </c>
      <c r="G516" t="inlineStr">
        <is>
          <t>demais</t>
        </is>
      </c>
      <c r="H516" t="inlineStr">
        <is>
          <t>JULIO GADRET</t>
        </is>
      </c>
    </row>
    <row r="517">
      <c r="A517" t="n">
        <v>0</v>
      </c>
      <c r="B517" t="inlineStr">
        <is>
          <t>CIA DA SAUDE</t>
        </is>
      </c>
      <c r="C517" t="inlineStr">
        <is>
          <t>SC</t>
        </is>
      </c>
      <c r="D517" t="n">
        <v>49355518064</v>
      </c>
      <c r="E517" t="inlineStr">
        <is>
          <t>Inativo</t>
        </is>
      </c>
      <c r="F517" t="inlineStr">
        <is>
          <t>CIA DA SAUDE</t>
        </is>
      </c>
      <c r="G517" t="inlineStr">
        <is>
          <t>demais</t>
        </is>
      </c>
      <c r="H517" t="inlineStr">
        <is>
          <t>JULIO GADRET</t>
        </is>
      </c>
    </row>
    <row r="518">
      <c r="A518" t="n">
        <v>0</v>
      </c>
      <c r="B518" t="inlineStr">
        <is>
          <t>DIVINA TERRA</t>
        </is>
      </c>
      <c r="C518" t="inlineStr">
        <is>
          <t>SC</t>
        </is>
      </c>
      <c r="D518" t="n">
        <v>49991380807</v>
      </c>
      <c r="E518" t="inlineStr">
        <is>
          <t>Inativo</t>
        </is>
      </c>
      <c r="F518" t="inlineStr">
        <is>
          <t>DIVINA TERRA</t>
        </is>
      </c>
      <c r="G518" t="inlineStr">
        <is>
          <t>demais</t>
        </is>
      </c>
      <c r="H518" t="inlineStr">
        <is>
          <t>DAIANE STAVICKI</t>
        </is>
      </c>
    </row>
    <row r="519">
      <c r="A519" t="n">
        <v>0</v>
      </c>
      <c r="B519" t="inlineStr">
        <is>
          <t>CIA DA SAUDE</t>
        </is>
      </c>
      <c r="C519" t="inlineStr">
        <is>
          <t>SC</t>
        </is>
      </c>
      <c r="D519" t="n">
        <v>48353315324</v>
      </c>
      <c r="E519" t="inlineStr">
        <is>
          <t>Inativo</t>
        </is>
      </c>
      <c r="F519" t="inlineStr">
        <is>
          <t>CIA DA SAUDE</t>
        </is>
      </c>
      <c r="G519" t="inlineStr">
        <is>
          <t>demais</t>
        </is>
      </c>
      <c r="H519" t="inlineStr">
        <is>
          <t>JULIO GADRET</t>
        </is>
      </c>
    </row>
    <row r="520">
      <c r="A520" t="n">
        <v>0</v>
      </c>
      <c r="B520" t="inlineStr">
        <is>
          <t>CIA DA SAUDE</t>
        </is>
      </c>
      <c r="C520" t="inlineStr">
        <is>
          <t>SC</t>
        </is>
      </c>
      <c r="D520" t="n">
        <v>48999933386</v>
      </c>
      <c r="E520" t="inlineStr">
        <is>
          <t>Inativo</t>
        </is>
      </c>
      <c r="F520" t="inlineStr">
        <is>
          <t>CIA DA SAUDE</t>
        </is>
      </c>
      <c r="G520" t="inlineStr">
        <is>
          <t>demais</t>
        </is>
      </c>
      <c r="H520" t="inlineStr">
        <is>
          <t>JULIO GADRET</t>
        </is>
      </c>
    </row>
    <row r="521">
      <c r="A521" t="n">
        <v>0</v>
      </c>
      <c r="B521" t="inlineStr">
        <is>
          <t>CIA DA SAUDE</t>
        </is>
      </c>
      <c r="C521" t="inlineStr">
        <is>
          <t>SC</t>
        </is>
      </c>
      <c r="D521" t="n">
        <v>4834365126</v>
      </c>
      <c r="E521" t="inlineStr">
        <is>
          <t>Inativo</t>
        </is>
      </c>
      <c r="F521" t="inlineStr">
        <is>
          <t>CIA DA SAUDE</t>
        </is>
      </c>
      <c r="G521" t="inlineStr">
        <is>
          <t>demais</t>
        </is>
      </c>
      <c r="H521" t="inlineStr">
        <is>
          <t>HEMANUELE DITZEL (MANU)</t>
        </is>
      </c>
    </row>
    <row r="522">
      <c r="A522" t="n">
        <v>0</v>
      </c>
      <c r="B522" t="inlineStr">
        <is>
          <t>CIA DA SAUDE</t>
        </is>
      </c>
      <c r="C522" t="inlineStr">
        <is>
          <t>SC</t>
        </is>
      </c>
      <c r="D522" t="n">
        <v>32458714489</v>
      </c>
      <c r="E522" t="inlineStr">
        <is>
          <t>Inativo</t>
        </is>
      </c>
      <c r="F522" t="inlineStr">
        <is>
          <t>CIA DA SAUDE</t>
        </is>
      </c>
      <c r="G522" t="inlineStr">
        <is>
          <t>demais</t>
        </is>
      </c>
      <c r="H522" t="inlineStr">
        <is>
          <t>JULIO GADRET</t>
        </is>
      </c>
    </row>
    <row r="523">
      <c r="A523" t="n">
        <v>0</v>
      </c>
      <c r="B523" t="inlineStr">
        <is>
          <t>CIA DA SAUDE</t>
        </is>
      </c>
      <c r="C523" t="inlineStr">
        <is>
          <t>SC</t>
        </is>
      </c>
      <c r="D523" t="n">
        <v>48328541974</v>
      </c>
      <c r="E523" t="inlineStr">
        <is>
          <t>Inativo</t>
        </is>
      </c>
      <c r="F523" t="inlineStr">
        <is>
          <t>CIA DA SAUDE</t>
        </is>
      </c>
      <c r="G523" t="inlineStr">
        <is>
          <t>demais</t>
        </is>
      </c>
      <c r="H523" t="inlineStr">
        <is>
          <t>JULIO GADRET</t>
        </is>
      </c>
    </row>
    <row r="524">
      <c r="A524" t="n">
        <v>0</v>
      </c>
      <c r="B524" t="inlineStr">
        <is>
          <t>CIA DA SAUDE</t>
        </is>
      </c>
      <c r="C524" t="inlineStr">
        <is>
          <t>SC</t>
        </is>
      </c>
      <c r="D524" t="n">
        <v>49301843424</v>
      </c>
      <c r="E524" t="inlineStr">
        <is>
          <t>Inativo</t>
        </is>
      </c>
      <c r="F524" t="inlineStr">
        <is>
          <t>CIA DA SAUDE</t>
        </is>
      </c>
      <c r="G524" t="inlineStr">
        <is>
          <t>demais</t>
        </is>
      </c>
      <c r="H524" t="inlineStr">
        <is>
          <t>JULIO GADRET</t>
        </is>
      </c>
    </row>
    <row r="525">
      <c r="A525" t="n">
        <v>0</v>
      </c>
      <c r="B525" t="inlineStr">
        <is>
          <t>FITLAND</t>
        </is>
      </c>
      <c r="C525" t="inlineStr">
        <is>
          <t>SC</t>
        </is>
      </c>
      <c r="D525" t="n">
        <v>4899208020</v>
      </c>
      <c r="E525" t="inlineStr">
        <is>
          <t>Inativo</t>
        </is>
      </c>
      <c r="F525" t="inlineStr">
        <is>
          <t>FITLAND</t>
        </is>
      </c>
      <c r="G525" t="inlineStr">
        <is>
          <t>demais</t>
        </is>
      </c>
      <c r="H525" t="inlineStr">
        <is>
          <t>JULIO GADRET</t>
        </is>
      </c>
    </row>
    <row r="526">
      <c r="A526" t="n">
        <v>0</v>
      </c>
      <c r="B526" t="inlineStr">
        <is>
          <t>CIA DA SAUDE</t>
        </is>
      </c>
      <c r="C526" t="inlineStr">
        <is>
          <t>SC</t>
        </is>
      </c>
      <c r="D526" t="n">
        <v>48999471457</v>
      </c>
      <c r="E526" t="inlineStr">
        <is>
          <t>Inativo</t>
        </is>
      </c>
      <c r="F526" t="inlineStr">
        <is>
          <t>CIA DA SAUDE</t>
        </is>
      </c>
      <c r="G526" t="inlineStr">
        <is>
          <t>demais</t>
        </is>
      </c>
      <c r="H526" t="inlineStr">
        <is>
          <t>JULIO GADRET</t>
        </is>
      </c>
    </row>
    <row r="527">
      <c r="A527" t="n">
        <v>0</v>
      </c>
      <c r="B527" t="inlineStr">
        <is>
          <t>CIA DA SAUDE</t>
        </is>
      </c>
      <c r="C527" t="inlineStr">
        <is>
          <t>SC</t>
        </is>
      </c>
      <c r="D527" t="n">
        <v>4834330546</v>
      </c>
      <c r="E527" t="inlineStr">
        <is>
          <t>Inativo</t>
        </is>
      </c>
      <c r="F527" t="inlineStr">
        <is>
          <t>CIA DA SAUDE</t>
        </is>
      </c>
      <c r="G527" t="inlineStr">
        <is>
          <t>demais</t>
        </is>
      </c>
      <c r="H527" t="inlineStr">
        <is>
          <t>JULIO GADRET</t>
        </is>
      </c>
    </row>
    <row r="528">
      <c r="A528" t="n">
        <v>0</v>
      </c>
      <c r="B528" t="inlineStr">
        <is>
          <t>CIA DA SAUDE</t>
        </is>
      </c>
      <c r="C528" t="inlineStr">
        <is>
          <t>CE</t>
        </is>
      </c>
      <c r="D528" t="n">
        <v>5588993612</v>
      </c>
      <c r="E528" t="inlineStr">
        <is>
          <t>Inativo</t>
        </is>
      </c>
      <c r="F528" t="inlineStr">
        <is>
          <t>CIA DA SAUDE</t>
        </is>
      </c>
      <c r="G528" t="inlineStr">
        <is>
          <t>demais</t>
        </is>
      </c>
      <c r="H528" t="inlineStr">
        <is>
          <t>JULIO GADRET</t>
        </is>
      </c>
    </row>
    <row r="529">
      <c r="A529" t="n">
        <v>0</v>
      </c>
      <c r="B529" t="inlineStr">
        <is>
          <t>VIDA LEVE</t>
        </is>
      </c>
      <c r="C529" t="inlineStr">
        <is>
          <t>BA</t>
        </is>
      </c>
      <c r="D529" t="n">
        <v>71999623033</v>
      </c>
      <c r="E529" t="inlineStr">
        <is>
          <t>Inativo</t>
        </is>
      </c>
      <c r="F529" t="inlineStr">
        <is>
          <t>VIDA LEVE</t>
        </is>
      </c>
      <c r="G529" t="inlineStr">
        <is>
          <t>demais</t>
        </is>
      </c>
      <c r="H529" t="inlineStr">
        <is>
          <t>DAIANE STAVICKI</t>
        </is>
      </c>
    </row>
    <row r="530">
      <c r="A530" t="n">
        <v>0</v>
      </c>
      <c r="B530" t="inlineStr">
        <is>
          <t>VIDA LEVE</t>
        </is>
      </c>
      <c r="C530" t="inlineStr">
        <is>
          <t>BA</t>
        </is>
      </c>
      <c r="D530" t="n">
        <v>45998168921</v>
      </c>
      <c r="E530" t="inlineStr">
        <is>
          <t>Inativo</t>
        </is>
      </c>
      <c r="F530" t="inlineStr">
        <is>
          <t>VIDA LEVE</t>
        </is>
      </c>
      <c r="G530" t="inlineStr">
        <is>
          <t>demais</t>
        </is>
      </c>
      <c r="H530" t="inlineStr">
        <is>
          <t>DAIANE STAVICKI</t>
        </is>
      </c>
    </row>
    <row r="531">
      <c r="A531" t="n">
        <v>0</v>
      </c>
      <c r="B531" t="inlineStr">
        <is>
          <t>DIVINA TERRA</t>
        </is>
      </c>
      <c r="C531" t="inlineStr">
        <is>
          <t>ES</t>
        </is>
      </c>
      <c r="D531" t="n">
        <v>27999646131</v>
      </c>
      <c r="E531" t="inlineStr">
        <is>
          <t>Inativo</t>
        </is>
      </c>
      <c r="F531" t="inlineStr">
        <is>
          <t>DIVINA TERRA</t>
        </is>
      </c>
      <c r="G531" t="inlineStr">
        <is>
          <t>demais</t>
        </is>
      </c>
      <c r="H531" t="inlineStr">
        <is>
          <t>DAIANE STAVICKI</t>
        </is>
      </c>
    </row>
    <row r="532">
      <c r="A532" t="n">
        <v>0</v>
      </c>
      <c r="B532" t="inlineStr">
        <is>
          <t>DIVINA TERRA</t>
        </is>
      </c>
      <c r="C532" t="inlineStr">
        <is>
          <t>ES</t>
        </is>
      </c>
      <c r="D532" t="n">
        <v>2799241766</v>
      </c>
      <c r="E532" t="inlineStr">
        <is>
          <t>Inativo</t>
        </is>
      </c>
      <c r="F532" t="inlineStr">
        <is>
          <t>DIVINA TERRA</t>
        </is>
      </c>
      <c r="G532" t="inlineStr">
        <is>
          <t>demais</t>
        </is>
      </c>
      <c r="H532" t="inlineStr">
        <is>
          <t>LARISSA PADILHA</t>
        </is>
      </c>
    </row>
    <row r="533">
      <c r="A533" t="n">
        <v>0</v>
      </c>
      <c r="B533" t="inlineStr">
        <is>
          <t>TUDO EM GRAOS / VGA</t>
        </is>
      </c>
      <c r="C533" t="inlineStr">
        <is>
          <t>DF</t>
        </is>
      </c>
      <c r="D533" t="n">
        <v>61921777496</v>
      </c>
      <c r="E533" t="inlineStr">
        <is>
          <t>Inativo</t>
        </is>
      </c>
      <c r="F533" t="inlineStr">
        <is>
          <t>TUDO EM GRAOS</t>
        </is>
      </c>
      <c r="G533" t="inlineStr">
        <is>
          <t>demais</t>
        </is>
      </c>
      <c r="H533" t="inlineStr">
        <is>
          <t>DAIANE STAVICKI</t>
        </is>
      </c>
    </row>
    <row r="534">
      <c r="A534" t="n">
        <v>0</v>
      </c>
      <c r="B534" t="inlineStr">
        <is>
          <t>BIO MUNDO</t>
        </is>
      </c>
      <c r="C534" t="inlineStr">
        <is>
          <t>DF</t>
        </is>
      </c>
      <c r="D534" t="n">
        <v>61986344434</v>
      </c>
      <c r="E534" t="inlineStr">
        <is>
          <t>Inativo</t>
        </is>
      </c>
      <c r="F534" t="inlineStr">
        <is>
          <t>BIO MUNDO</t>
        </is>
      </c>
      <c r="G534" t="inlineStr">
        <is>
          <t>demais</t>
        </is>
      </c>
      <c r="H534" t="inlineStr">
        <is>
          <t>LARISSA PADILHA</t>
        </is>
      </c>
    </row>
    <row r="535">
      <c r="A535" t="n">
        <v>0</v>
      </c>
      <c r="B535" t="inlineStr">
        <is>
          <t>ARMAZEM FIT STORE</t>
        </is>
      </c>
      <c r="C535" t="inlineStr">
        <is>
          <t>MA</t>
        </is>
      </c>
      <c r="D535" t="n">
        <v>9981318177</v>
      </c>
      <c r="E535" t="inlineStr">
        <is>
          <t>Inativo</t>
        </is>
      </c>
      <c r="F535" t="inlineStr">
        <is>
          <t>ARMAZEM FIT STORE</t>
        </is>
      </c>
      <c r="G535" t="inlineStr">
        <is>
          <t>demais</t>
        </is>
      </c>
      <c r="H535" t="inlineStr">
        <is>
          <t>LARISSA PADILHA</t>
        </is>
      </c>
    </row>
    <row r="536">
      <c r="A536" t="n">
        <v>0</v>
      </c>
      <c r="B536" t="inlineStr">
        <is>
          <t>DIVINA TERRA</t>
        </is>
      </c>
      <c r="C536" t="inlineStr">
        <is>
          <t>TO</t>
        </is>
      </c>
      <c r="D536" t="n">
        <v>6384306000</v>
      </c>
      <c r="E536" t="inlineStr">
        <is>
          <t>Inativo</t>
        </is>
      </c>
      <c r="F536" t="inlineStr">
        <is>
          <t>DIVINA TERRA</t>
        </is>
      </c>
      <c r="G536" t="inlineStr">
        <is>
          <t>demais</t>
        </is>
      </c>
      <c r="H536" t="inlineStr">
        <is>
          <t>DAIANE STAVICKI</t>
        </is>
      </c>
    </row>
    <row r="537">
      <c r="A537" t="n">
        <v>0</v>
      </c>
      <c r="B537" t="inlineStr">
        <is>
          <t>FITLAND</t>
        </is>
      </c>
      <c r="C537" t="inlineStr">
        <is>
          <t>PI</t>
        </is>
      </c>
      <c r="D537" t="n">
        <v>86998504191</v>
      </c>
      <c r="E537" t="inlineStr">
        <is>
          <t>Inativo</t>
        </is>
      </c>
      <c r="F537" t="inlineStr">
        <is>
          <t>FITLAND</t>
        </is>
      </c>
      <c r="G537" t="inlineStr">
        <is>
          <t>demais</t>
        </is>
      </c>
      <c r="H537" t="inlineStr">
        <is>
          <t>JULIO GADRET</t>
        </is>
      </c>
    </row>
    <row r="538">
      <c r="A538" t="n">
        <v>0</v>
      </c>
      <c r="B538" t="inlineStr">
        <is>
          <t>BIO MUNDO</t>
        </is>
      </c>
      <c r="C538" t="inlineStr">
        <is>
          <t>PI</t>
        </is>
      </c>
      <c r="D538" t="n">
        <v>9996311517</v>
      </c>
      <c r="E538" t="inlineStr">
        <is>
          <t>Inativo</t>
        </is>
      </c>
      <c r="F538" t="inlineStr">
        <is>
          <t>BIO MUNDO</t>
        </is>
      </c>
      <c r="G538" t="inlineStr">
        <is>
          <t>demais</t>
        </is>
      </c>
      <c r="H538" t="inlineStr">
        <is>
          <t>DAIANE STAVICKI</t>
        </is>
      </c>
    </row>
    <row r="539">
      <c r="A539" t="n">
        <v>0</v>
      </c>
      <c r="B539" t="inlineStr">
        <is>
          <t>TUDO EM GRAOS / VGA</t>
        </is>
      </c>
      <c r="C539" t="inlineStr">
        <is>
          <t>PR</t>
        </is>
      </c>
      <c r="D539" t="n">
        <v>47666666666</v>
      </c>
      <c r="E539" t="inlineStr">
        <is>
          <t>Inativo</t>
        </is>
      </c>
      <c r="F539" t="inlineStr">
        <is>
          <t>TUDO EM GRAOS</t>
        </is>
      </c>
      <c r="G539" t="inlineStr">
        <is>
          <t>demais</t>
        </is>
      </c>
      <c r="H539" t="inlineStr">
        <is>
          <t>DAIANE STAVICKI</t>
        </is>
      </c>
    </row>
    <row r="540">
      <c r="A540" t="n">
        <v>0</v>
      </c>
      <c r="B540" t="inlineStr">
        <is>
          <t>DIVINA TERRA</t>
        </is>
      </c>
      <c r="C540" t="inlineStr">
        <is>
          <t>PR</t>
        </is>
      </c>
      <c r="D540" t="n">
        <v>46999156565</v>
      </c>
      <c r="E540" t="inlineStr">
        <is>
          <t>Inativo</t>
        </is>
      </c>
      <c r="F540" t="inlineStr">
        <is>
          <t>DIVINA TERRA</t>
        </is>
      </c>
      <c r="G540" t="inlineStr">
        <is>
          <t>demais</t>
        </is>
      </c>
      <c r="H540" t="inlineStr">
        <is>
          <t>DAIANE STAVICKI</t>
        </is>
      </c>
    </row>
    <row r="541">
      <c r="A541" t="n">
        <v>0</v>
      </c>
      <c r="B541" t="inlineStr">
        <is>
          <t>BIO MUNDO</t>
        </is>
      </c>
      <c r="C541" t="inlineStr">
        <is>
          <t>PA</t>
        </is>
      </c>
      <c r="D541" t="n">
        <v>6192861144</v>
      </c>
      <c r="E541" t="inlineStr">
        <is>
          <t>Inativo</t>
        </is>
      </c>
      <c r="F541" t="inlineStr">
        <is>
          <t>BIO MUNDO</t>
        </is>
      </c>
      <c r="G541" t="inlineStr">
        <is>
          <t>demais</t>
        </is>
      </c>
      <c r="H541" t="inlineStr">
        <is>
          <t>DAIANE STAVICKI</t>
        </is>
      </c>
    </row>
    <row r="542">
      <c r="A542" t="n">
        <v>0</v>
      </c>
      <c r="B542" t="inlineStr">
        <is>
          <t>VIDA LEVE</t>
        </is>
      </c>
      <c r="C542" t="inlineStr">
        <is>
          <t>PA</t>
        </is>
      </c>
      <c r="D542" t="n">
        <v>91920064409</v>
      </c>
      <c r="E542" t="inlineStr">
        <is>
          <t>Inativo</t>
        </is>
      </c>
      <c r="F542" t="inlineStr">
        <is>
          <t>VIDA LEVE</t>
        </is>
      </c>
      <c r="G542" t="inlineStr">
        <is>
          <t>demais</t>
        </is>
      </c>
      <c r="H542" t="inlineStr">
        <is>
          <t>LARISSA PADILHA</t>
        </is>
      </c>
    </row>
    <row r="543">
      <c r="A543" t="n">
        <v>0</v>
      </c>
      <c r="B543" t="inlineStr">
        <is>
          <t>VIDA LEVE</t>
        </is>
      </c>
      <c r="C543" t="inlineStr">
        <is>
          <t>PA</t>
        </is>
      </c>
      <c r="D543" t="n">
        <v>91982018463</v>
      </c>
      <c r="E543" t="inlineStr">
        <is>
          <t>Inativo</t>
        </is>
      </c>
      <c r="F543" t="inlineStr">
        <is>
          <t>VIDA LEVE</t>
        </is>
      </c>
      <c r="G543" t="inlineStr">
        <is>
          <t>demais</t>
        </is>
      </c>
      <c r="H543" t="inlineStr">
        <is>
          <t>LARISSA PADILHA</t>
        </is>
      </c>
    </row>
    <row r="544">
      <c r="A544" t="n">
        <v>0</v>
      </c>
      <c r="B544" t="inlineStr">
        <is>
          <t>DIVINA TERRA</t>
        </is>
      </c>
      <c r="C544" t="inlineStr">
        <is>
          <t>PA</t>
        </is>
      </c>
      <c r="D544" t="n">
        <v>9199937313</v>
      </c>
      <c r="E544" t="inlineStr">
        <is>
          <t>Inativo</t>
        </is>
      </c>
      <c r="F544" t="inlineStr">
        <is>
          <t>DIVINA TERRA</t>
        </is>
      </c>
      <c r="G544" t="inlineStr">
        <is>
          <t>demais</t>
        </is>
      </c>
      <c r="H544" t="inlineStr">
        <is>
          <t>DAIANE STAVICKI</t>
        </is>
      </c>
    </row>
    <row r="545">
      <c r="A545" t="n">
        <v>0</v>
      </c>
      <c r="B545" t="inlineStr">
        <is>
          <t>CIA DA SAUDE</t>
        </is>
      </c>
      <c r="C545" t="inlineStr">
        <is>
          <t>SC</t>
        </is>
      </c>
      <c r="D545" t="n">
        <v>4899181526</v>
      </c>
      <c r="E545" t="inlineStr">
        <is>
          <t>Inativo</t>
        </is>
      </c>
      <c r="F545" t="inlineStr">
        <is>
          <t>CIA DA SAUDE</t>
        </is>
      </c>
      <c r="G545" t="inlineStr">
        <is>
          <t>demais</t>
        </is>
      </c>
      <c r="H545" t="inlineStr">
        <is>
          <t>HEMANUELE DITZEL (MANU)</t>
        </is>
      </c>
    </row>
    <row r="546">
      <c r="A546" t="n">
        <v>0</v>
      </c>
      <c r="B546" t="inlineStr">
        <is>
          <t>DIVINA TERRA</t>
        </is>
      </c>
      <c r="C546" t="inlineStr">
        <is>
          <t>SP</t>
        </is>
      </c>
      <c r="D546" t="n">
        <v>19991984564</v>
      </c>
      <c r="E546" t="inlineStr">
        <is>
          <t>Inativo</t>
        </is>
      </c>
      <c r="F546" t="inlineStr">
        <is>
          <t>DIVINA TERRA</t>
        </is>
      </c>
      <c r="G546" t="inlineStr">
        <is>
          <t>demais</t>
        </is>
      </c>
      <c r="H546" t="inlineStr">
        <is>
          <t>LARISSA PADILHA</t>
        </is>
      </c>
    </row>
    <row r="547">
      <c r="A547" t="n">
        <v>0</v>
      </c>
      <c r="B547" t="inlineStr">
        <is>
          <t>DIVINA TERRA</t>
        </is>
      </c>
      <c r="C547" t="inlineStr">
        <is>
          <t>SP</t>
        </is>
      </c>
      <c r="D547" t="n">
        <v>11994431674</v>
      </c>
      <c r="E547" t="inlineStr">
        <is>
          <t>Inativo</t>
        </is>
      </c>
      <c r="F547" t="inlineStr">
        <is>
          <t>DIVINA TERRA</t>
        </is>
      </c>
      <c r="G547" t="inlineStr">
        <is>
          <t>demais</t>
        </is>
      </c>
      <c r="H547" t="inlineStr">
        <is>
          <t>LARISSA PADILHA</t>
        </is>
      </c>
    </row>
    <row r="548">
      <c r="A548" t="n">
        <v>0</v>
      </c>
      <c r="B548" t="inlineStr">
        <is>
          <t>DIVINA TERRA</t>
        </is>
      </c>
      <c r="C548" t="inlineStr">
        <is>
          <t>SP</t>
        </is>
      </c>
      <c r="D548" t="n">
        <v>12992291837</v>
      </c>
      <c r="E548" t="inlineStr">
        <is>
          <t>Inativo</t>
        </is>
      </c>
      <c r="F548" t="inlineStr">
        <is>
          <t>DIVINA TERRA</t>
        </is>
      </c>
      <c r="G548" t="inlineStr">
        <is>
          <t>demais</t>
        </is>
      </c>
      <c r="H548" t="inlineStr">
        <is>
          <t>LARISSA PADILHA</t>
        </is>
      </c>
    </row>
    <row r="549">
      <c r="A549" t="n">
        <v>0</v>
      </c>
      <c r="B549" t="inlineStr">
        <is>
          <t>DIVINA TERRA</t>
        </is>
      </c>
      <c r="C549" t="inlineStr">
        <is>
          <t>RS</t>
        </is>
      </c>
      <c r="D549" t="n">
        <v>51991322184</v>
      </c>
      <c r="E549" t="inlineStr">
        <is>
          <t>Inativo</t>
        </is>
      </c>
      <c r="F549" t="inlineStr">
        <is>
          <t>DIVINA TERRA</t>
        </is>
      </c>
      <c r="G549" t="inlineStr">
        <is>
          <t>demais</t>
        </is>
      </c>
      <c r="H549" t="inlineStr">
        <is>
          <t>HEMANUELE DITZEL (MANU)</t>
        </is>
      </c>
    </row>
    <row r="550">
      <c r="A550" t="n">
        <v>0</v>
      </c>
      <c r="B550" t="inlineStr">
        <is>
          <t>DIVINA TERRA</t>
        </is>
      </c>
      <c r="C550" t="inlineStr">
        <is>
          <t>RS</t>
        </is>
      </c>
      <c r="D550" t="n">
        <v>5198650320</v>
      </c>
      <c r="E550" t="inlineStr">
        <is>
          <t>Inativo</t>
        </is>
      </c>
      <c r="F550" t="inlineStr">
        <is>
          <t>DIVINA TERRA</t>
        </is>
      </c>
      <c r="G550" t="inlineStr">
        <is>
          <t>demais</t>
        </is>
      </c>
      <c r="H550" t="inlineStr">
        <is>
          <t>DAIANE STAVICKI</t>
        </is>
      </c>
    </row>
    <row r="551">
      <c r="A551" t="n">
        <v>0</v>
      </c>
      <c r="B551" t="inlineStr">
        <is>
          <t>DIVINA TERRA</t>
        </is>
      </c>
      <c r="C551" t="inlineStr">
        <is>
          <t>RS</t>
        </is>
      </c>
      <c r="D551" t="n">
        <v>51997348809</v>
      </c>
      <c r="E551" t="inlineStr">
        <is>
          <t>Inativo</t>
        </is>
      </c>
      <c r="F551" t="inlineStr">
        <is>
          <t>DIVINA TERRA</t>
        </is>
      </c>
      <c r="G551" t="inlineStr">
        <is>
          <t>demais</t>
        </is>
      </c>
      <c r="H551" t="inlineStr">
        <is>
          <t>HEMANUELE DITZEL (MANU)</t>
        </is>
      </c>
    </row>
    <row r="552">
      <c r="A552" t="n">
        <v>0</v>
      </c>
      <c r="B552" t="inlineStr">
        <is>
          <t>ARMAZEM FIT STORE</t>
        </is>
      </c>
      <c r="C552" t="inlineStr">
        <is>
          <t>RS</t>
        </is>
      </c>
      <c r="D552" t="n">
        <v>5436986665</v>
      </c>
      <c r="E552" t="inlineStr">
        <is>
          <t>Inativo</t>
        </is>
      </c>
      <c r="F552" t="inlineStr">
        <is>
          <t>ARMAZEM FIT STORE</t>
        </is>
      </c>
      <c r="G552" t="inlineStr">
        <is>
          <t>demais</t>
        </is>
      </c>
      <c r="H552" t="inlineStr">
        <is>
          <t>HEMANUELE DITZEL (MANU)</t>
        </is>
      </c>
    </row>
    <row r="553">
      <c r="A553" t="n">
        <v>0</v>
      </c>
      <c r="B553" t="inlineStr">
        <is>
          <t>TUDO EM GRAOS / VGA</t>
        </is>
      </c>
      <c r="C553" t="inlineStr">
        <is>
          <t>RS</t>
        </is>
      </c>
      <c r="D553" t="n">
        <v>5181315857</v>
      </c>
      <c r="E553" t="inlineStr">
        <is>
          <t>Inativo</t>
        </is>
      </c>
      <c r="F553" t="inlineStr">
        <is>
          <t>TUDO EM GRAOS</t>
        </is>
      </c>
      <c r="G553" t="inlineStr">
        <is>
          <t>demais</t>
        </is>
      </c>
      <c r="H553" t="inlineStr">
        <is>
          <t>DAIANE STAVICKI</t>
        </is>
      </c>
    </row>
    <row r="554">
      <c r="A554" t="n">
        <v>0</v>
      </c>
      <c r="B554" t="inlineStr">
        <is>
          <t>TUDO EM GRAOS / VGA</t>
        </is>
      </c>
      <c r="C554" t="inlineStr">
        <is>
          <t>RS</t>
        </is>
      </c>
      <c r="D554" t="n">
        <v>5399432620</v>
      </c>
      <c r="E554" t="inlineStr">
        <is>
          <t>Inativo</t>
        </is>
      </c>
      <c r="F554" t="inlineStr">
        <is>
          <t>TUDO EM GRAOS</t>
        </is>
      </c>
      <c r="G554" t="inlineStr">
        <is>
          <t>demais</t>
        </is>
      </c>
      <c r="H554" t="inlineStr">
        <is>
          <t>DAIANE STAVICKI</t>
        </is>
      </c>
    </row>
    <row r="555">
      <c r="A555" t="n">
        <v>0</v>
      </c>
      <c r="B555" t="inlineStr">
        <is>
          <t>DIVINA TERRA</t>
        </is>
      </c>
      <c r="C555" t="inlineStr">
        <is>
          <t>RS</t>
        </is>
      </c>
      <c r="D555" t="n">
        <v>5182698275</v>
      </c>
      <c r="E555" t="inlineStr">
        <is>
          <t>Inativo</t>
        </is>
      </c>
      <c r="F555" t="inlineStr">
        <is>
          <t>DIVINA TERRA</t>
        </is>
      </c>
      <c r="G555" t="inlineStr">
        <is>
          <t>demais</t>
        </is>
      </c>
      <c r="H555" t="inlineStr">
        <is>
          <t>HEMANUELE DITZEL (MANU)</t>
        </is>
      </c>
    </row>
    <row r="556">
      <c r="A556" t="n">
        <v>0</v>
      </c>
      <c r="B556" t="inlineStr">
        <is>
          <t>DIVINA TERRA</t>
        </is>
      </c>
      <c r="C556" t="inlineStr">
        <is>
          <t>RS</t>
        </is>
      </c>
      <c r="D556" t="n">
        <v>5198650320</v>
      </c>
      <c r="E556" t="inlineStr">
        <is>
          <t>Inativo</t>
        </is>
      </c>
      <c r="F556" t="inlineStr">
        <is>
          <t>DIVINA TERRA</t>
        </is>
      </c>
      <c r="G556" t="inlineStr">
        <is>
          <t>demais</t>
        </is>
      </c>
      <c r="H556" t="inlineStr">
        <is>
          <t>HEMANUELE DITZEL (MANU)</t>
        </is>
      </c>
    </row>
    <row r="557">
      <c r="A557" t="n">
        <v>0</v>
      </c>
      <c r="B557" t="inlineStr">
        <is>
          <t>DIVINA TERRA</t>
        </is>
      </c>
      <c r="C557" t="inlineStr">
        <is>
          <t>RS</t>
        </is>
      </c>
      <c r="D557" t="n">
        <v>51981162558</v>
      </c>
      <c r="E557" t="inlineStr">
        <is>
          <t>Inativo</t>
        </is>
      </c>
      <c r="F557" t="inlineStr">
        <is>
          <t>DIVINA TERRA</t>
        </is>
      </c>
      <c r="G557" t="inlineStr">
        <is>
          <t>demais</t>
        </is>
      </c>
      <c r="H557" t="inlineStr">
        <is>
          <t>HEMANUELE DITZEL (MANU)</t>
        </is>
      </c>
    </row>
    <row r="558">
      <c r="A558" t="n">
        <v>0</v>
      </c>
      <c r="B558" t="inlineStr">
        <is>
          <t>DIVINA TERRA</t>
        </is>
      </c>
      <c r="C558" t="inlineStr">
        <is>
          <t>RS</t>
        </is>
      </c>
      <c r="D558" t="n">
        <v>5499389135</v>
      </c>
      <c r="E558" t="inlineStr">
        <is>
          <t>Inativo</t>
        </is>
      </c>
      <c r="F558" t="inlineStr">
        <is>
          <t>DIVINA TERRA</t>
        </is>
      </c>
      <c r="G558" t="inlineStr">
        <is>
          <t>demais</t>
        </is>
      </c>
      <c r="H558" t="inlineStr">
        <is>
          <t>DAIANE STAVICKI</t>
        </is>
      </c>
    </row>
    <row r="559">
      <c r="A559" t="n">
        <v>0</v>
      </c>
      <c r="B559" t="inlineStr">
        <is>
          <t>VIDA LEVE</t>
        </is>
      </c>
      <c r="C559" t="inlineStr">
        <is>
          <t>RS</t>
        </is>
      </c>
      <c r="D559" t="n">
        <v>51978432995</v>
      </c>
      <c r="E559" t="inlineStr">
        <is>
          <t>Inativo</t>
        </is>
      </c>
      <c r="F559" t="inlineStr">
        <is>
          <t>VIDA LEVE</t>
        </is>
      </c>
      <c r="G559" t="inlineStr">
        <is>
          <t>demais</t>
        </is>
      </c>
      <c r="H559" t="inlineStr">
        <is>
          <t>HEMANUELE DITZEL (MANU)</t>
        </is>
      </c>
    </row>
    <row r="560">
      <c r="A560" t="n">
        <v>0</v>
      </c>
      <c r="B560" t="inlineStr">
        <is>
          <t>DIVINA TERRA</t>
        </is>
      </c>
      <c r="C560" t="inlineStr">
        <is>
          <t>RS</t>
        </is>
      </c>
      <c r="D560" t="n">
        <v>5130881170</v>
      </c>
      <c r="E560" t="inlineStr">
        <is>
          <t>Inativo</t>
        </is>
      </c>
      <c r="F560" t="inlineStr">
        <is>
          <t>DIVINA TERRA</t>
        </is>
      </c>
      <c r="G560" t="inlineStr">
        <is>
          <t>demais</t>
        </is>
      </c>
      <c r="H560" t="inlineStr">
        <is>
          <t>HEMANUELE DITZEL (MANU)</t>
        </is>
      </c>
    </row>
    <row r="561">
      <c r="A561" t="n">
        <v>0</v>
      </c>
      <c r="B561" t="inlineStr">
        <is>
          <t>CIA DA SAUDE</t>
        </is>
      </c>
      <c r="C561" t="inlineStr">
        <is>
          <t>RS</t>
        </is>
      </c>
      <c r="D561" t="n">
        <v>5198326810</v>
      </c>
      <c r="E561" t="inlineStr">
        <is>
          <t>Inativo</t>
        </is>
      </c>
      <c r="F561" t="inlineStr">
        <is>
          <t>CIA DA SAUDE</t>
        </is>
      </c>
      <c r="G561" t="inlineStr">
        <is>
          <t>demais</t>
        </is>
      </c>
      <c r="H561" t="inlineStr">
        <is>
          <t>HEMANUELE DITZEL (MANU)</t>
        </is>
      </c>
    </row>
    <row r="562">
      <c r="A562" t="n">
        <v>0</v>
      </c>
      <c r="B562" t="inlineStr">
        <is>
          <t>DIVINA TERRA</t>
        </is>
      </c>
      <c r="C562" t="inlineStr">
        <is>
          <t>RS</t>
        </is>
      </c>
      <c r="D562" t="n">
        <v>5198059537</v>
      </c>
      <c r="E562" t="inlineStr">
        <is>
          <t>Inativo</t>
        </is>
      </c>
      <c r="F562" t="inlineStr">
        <is>
          <t>DIVINA TERRA</t>
        </is>
      </c>
      <c r="G562" t="inlineStr">
        <is>
          <t>demais</t>
        </is>
      </c>
      <c r="H562" t="inlineStr">
        <is>
          <t>HEMANUELE DITZEL (MANU)</t>
        </is>
      </c>
    </row>
    <row r="563">
      <c r="A563" t="n">
        <v>0</v>
      </c>
      <c r="B563" t="inlineStr">
        <is>
          <t>DIVINA TERRA</t>
        </is>
      </c>
      <c r="C563" t="inlineStr">
        <is>
          <t>RS</t>
        </is>
      </c>
      <c r="D563" t="n">
        <v>5121605809</v>
      </c>
      <c r="E563" t="inlineStr">
        <is>
          <t>Inativo</t>
        </is>
      </c>
      <c r="F563" t="inlineStr">
        <is>
          <t>DIVINA TERRA</t>
        </is>
      </c>
      <c r="G563" t="inlineStr">
        <is>
          <t>demais</t>
        </is>
      </c>
      <c r="H563" t="inlineStr">
        <is>
          <t>HEMANUELE DITZEL (MANU)</t>
        </is>
      </c>
    </row>
    <row r="564">
      <c r="A564" t="n">
        <v>0</v>
      </c>
      <c r="B564" t="inlineStr">
        <is>
          <t>DIVINA TERRA</t>
        </is>
      </c>
      <c r="C564" t="inlineStr">
        <is>
          <t>RS</t>
        </is>
      </c>
      <c r="D564" t="n">
        <v>54911206035</v>
      </c>
      <c r="E564" t="inlineStr">
        <is>
          <t>Inativo</t>
        </is>
      </c>
      <c r="F564" t="inlineStr">
        <is>
          <t>DIVINA TERRA</t>
        </is>
      </c>
      <c r="G564" t="inlineStr">
        <is>
          <t>demais</t>
        </is>
      </c>
      <c r="H564" t="inlineStr">
        <is>
          <t>HEMANUELE DITZEL (MANU)</t>
        </is>
      </c>
    </row>
    <row r="565">
      <c r="A565" t="n">
        <v>0</v>
      </c>
      <c r="B565" t="inlineStr">
        <is>
          <t>DIVINA TERRA</t>
        </is>
      </c>
      <c r="C565" t="inlineStr">
        <is>
          <t>RS</t>
        </is>
      </c>
      <c r="D565" t="n">
        <v>51999060096</v>
      </c>
      <c r="E565" t="inlineStr">
        <is>
          <t>Inativo</t>
        </is>
      </c>
      <c r="F565" t="inlineStr">
        <is>
          <t>DIVINA TERRA</t>
        </is>
      </c>
      <c r="G565" t="inlineStr">
        <is>
          <t>demais</t>
        </is>
      </c>
      <c r="H565" t="inlineStr">
        <is>
          <t>DAIANE STAVICKI</t>
        </is>
      </c>
    </row>
    <row r="566">
      <c r="A566" t="n">
        <v>0</v>
      </c>
      <c r="B566" t="inlineStr">
        <is>
          <t>DIVINA TERRA</t>
        </is>
      </c>
      <c r="C566" t="inlineStr">
        <is>
          <t>RS</t>
        </is>
      </c>
      <c r="D566" t="n">
        <v>51999868288</v>
      </c>
      <c r="E566" t="inlineStr">
        <is>
          <t>Inativo</t>
        </is>
      </c>
      <c r="F566" t="inlineStr">
        <is>
          <t>DIVINA TERRA</t>
        </is>
      </c>
      <c r="G566" t="inlineStr">
        <is>
          <t>demais</t>
        </is>
      </c>
      <c r="H566" t="inlineStr">
        <is>
          <t>DAIANE STAVICKI</t>
        </is>
      </c>
    </row>
    <row r="567">
      <c r="A567" t="n">
        <v>0</v>
      </c>
      <c r="B567" t="inlineStr">
        <is>
          <t>DIVINA TERRA</t>
        </is>
      </c>
      <c r="C567" t="inlineStr">
        <is>
          <t>RS</t>
        </is>
      </c>
      <c r="D567" t="n">
        <v>54341205505</v>
      </c>
      <c r="E567" t="inlineStr">
        <is>
          <t>Inativo</t>
        </is>
      </c>
      <c r="F567" t="inlineStr">
        <is>
          <t>DIVINA TERRA</t>
        </is>
      </c>
      <c r="G567" t="inlineStr">
        <is>
          <t>demais</t>
        </is>
      </c>
      <c r="H567" t="inlineStr">
        <is>
          <t>DAIANE STAVICKI</t>
        </is>
      </c>
    </row>
    <row r="568">
      <c r="A568" t="n">
        <v>0</v>
      </c>
      <c r="B568" t="inlineStr">
        <is>
          <t>DIVINA TERRA</t>
        </is>
      </c>
      <c r="C568" t="inlineStr">
        <is>
          <t>RS</t>
        </is>
      </c>
      <c r="D568" t="n">
        <v>5481337313</v>
      </c>
      <c r="E568" t="inlineStr">
        <is>
          <t>Inativo</t>
        </is>
      </c>
      <c r="F568" t="inlineStr">
        <is>
          <t>DIVINA TERRA</t>
        </is>
      </c>
      <c r="G568" t="inlineStr">
        <is>
          <t>demais</t>
        </is>
      </c>
      <c r="H568" t="inlineStr">
        <is>
          <t>HEMANUELE DITZEL (MANU)</t>
        </is>
      </c>
    </row>
    <row r="569">
      <c r="A569" t="n">
        <v>0</v>
      </c>
      <c r="B569" t="inlineStr">
        <is>
          <t>DIVINA TERRA</t>
        </is>
      </c>
      <c r="C569" t="inlineStr">
        <is>
          <t>RS</t>
        </is>
      </c>
      <c r="D569" t="n">
        <v>4791983912</v>
      </c>
      <c r="E569" t="inlineStr">
        <is>
          <t>Inativo</t>
        </is>
      </c>
      <c r="F569" t="inlineStr">
        <is>
          <t>DIVINA TERRA</t>
        </is>
      </c>
      <c r="G569" t="inlineStr">
        <is>
          <t>demais</t>
        </is>
      </c>
      <c r="H569" t="inlineStr">
        <is>
          <t>DAIANE STAVICKI</t>
        </is>
      </c>
    </row>
    <row r="570">
      <c r="A570" t="n">
        <v>0</v>
      </c>
      <c r="B570" t="inlineStr">
        <is>
          <t>ARMAZEM FIT STORE</t>
        </is>
      </c>
      <c r="C570" t="inlineStr">
        <is>
          <t>RS</t>
        </is>
      </c>
      <c r="D570" t="n">
        <v>54996971028</v>
      </c>
      <c r="E570" t="inlineStr">
        <is>
          <t>Inativo</t>
        </is>
      </c>
      <c r="F570" t="inlineStr">
        <is>
          <t>ARMAZEM FIT STORE</t>
        </is>
      </c>
      <c r="G570" t="inlineStr">
        <is>
          <t>demais</t>
        </is>
      </c>
      <c r="H570" t="inlineStr">
        <is>
          <t>HEMANUELE DITZEL (MANU)</t>
        </is>
      </c>
    </row>
    <row r="571">
      <c r="A571" t="n">
        <v>0</v>
      </c>
      <c r="B571" t="inlineStr">
        <is>
          <t>TUDO EM GRAOS / VGA</t>
        </is>
      </c>
      <c r="C571" t="inlineStr">
        <is>
          <t>SC</t>
        </is>
      </c>
      <c r="D571" t="n">
        <v>48991032636</v>
      </c>
      <c r="E571" t="inlineStr">
        <is>
          <t>Inativo</t>
        </is>
      </c>
      <c r="F571" t="inlineStr">
        <is>
          <t>TUDO EM GRAOS</t>
        </is>
      </c>
      <c r="G571" t="inlineStr">
        <is>
          <t>demais</t>
        </is>
      </c>
      <c r="H571" t="inlineStr">
        <is>
          <t>DAIANE STAVICKI</t>
        </is>
      </c>
    </row>
    <row r="572">
      <c r="A572" t="n">
        <v>0</v>
      </c>
      <c r="B572" t="inlineStr">
        <is>
          <t>CIA DA SAUDE</t>
        </is>
      </c>
      <c r="C572" t="inlineStr">
        <is>
          <t>SC</t>
        </is>
      </c>
      <c r="D572" t="n">
        <v>48306564114</v>
      </c>
      <c r="E572" t="inlineStr">
        <is>
          <t>Inativo</t>
        </is>
      </c>
      <c r="F572" t="inlineStr">
        <is>
          <t>CIA DA SAUDE</t>
        </is>
      </c>
      <c r="G572" t="inlineStr">
        <is>
          <t>demais</t>
        </is>
      </c>
      <c r="H572" t="inlineStr">
        <is>
          <t>JULIO GADRET</t>
        </is>
      </c>
    </row>
    <row r="573">
      <c r="A573" t="n">
        <v>0</v>
      </c>
      <c r="B573" t="inlineStr">
        <is>
          <t>FITLAND</t>
        </is>
      </c>
      <c r="C573" t="inlineStr">
        <is>
          <t>SC</t>
        </is>
      </c>
      <c r="D573" t="n">
        <v>4899454161</v>
      </c>
      <c r="E573" t="inlineStr">
        <is>
          <t>Inativo</t>
        </is>
      </c>
      <c r="F573" t="inlineStr">
        <is>
          <t>FITLAND</t>
        </is>
      </c>
      <c r="G573" t="inlineStr">
        <is>
          <t>demais</t>
        </is>
      </c>
      <c r="H573" t="inlineStr">
        <is>
          <t>JULIO GADRET</t>
        </is>
      </c>
    </row>
    <row r="574">
      <c r="A574" t="n">
        <v>0</v>
      </c>
      <c r="B574" t="inlineStr">
        <is>
          <t>CIA DA SAUDE</t>
        </is>
      </c>
      <c r="C574" t="inlineStr">
        <is>
          <t>SC</t>
        </is>
      </c>
      <c r="D574" t="n">
        <v>48991945703</v>
      </c>
      <c r="E574" t="inlineStr">
        <is>
          <t>Inativo</t>
        </is>
      </c>
      <c r="F574" t="inlineStr">
        <is>
          <t>CIA DA SAUDE</t>
        </is>
      </c>
      <c r="G574" t="inlineStr">
        <is>
          <t>demais</t>
        </is>
      </c>
      <c r="H574" t="inlineStr">
        <is>
          <t>JULIO GADRET</t>
        </is>
      </c>
    </row>
    <row r="575">
      <c r="A575" t="n">
        <v>0</v>
      </c>
      <c r="B575" t="inlineStr">
        <is>
          <t>DIVINA TERRA</t>
        </is>
      </c>
      <c r="C575" t="inlineStr">
        <is>
          <t>SC</t>
        </is>
      </c>
      <c r="D575" t="n">
        <v>48991619107</v>
      </c>
      <c r="E575" t="inlineStr">
        <is>
          <t>Inativo</t>
        </is>
      </c>
      <c r="F575" t="inlineStr">
        <is>
          <t>DIVINA TERRA</t>
        </is>
      </c>
      <c r="G575" t="inlineStr">
        <is>
          <t>demais</t>
        </is>
      </c>
      <c r="H575" t="inlineStr">
        <is>
          <t>JULIO GADRET</t>
        </is>
      </c>
    </row>
    <row r="576">
      <c r="A576" t="n">
        <v>0</v>
      </c>
      <c r="B576" t="inlineStr">
        <is>
          <t>DIVINA TERRA</t>
        </is>
      </c>
      <c r="C576" t="inlineStr">
        <is>
          <t>PR</t>
        </is>
      </c>
      <c r="D576" t="n">
        <v>0</v>
      </c>
      <c r="E576" t="inlineStr">
        <is>
          <t>Inativo</t>
        </is>
      </c>
      <c r="F576" t="inlineStr">
        <is>
          <t>DIVINA TERRA</t>
        </is>
      </c>
      <c r="G576" t="inlineStr">
        <is>
          <t>demais</t>
        </is>
      </c>
      <c r="H576" t="inlineStr">
        <is>
          <t>HEMANUELE DITZEL (MANU)</t>
        </is>
      </c>
    </row>
    <row r="577">
      <c r="A577" t="n">
        <v>0</v>
      </c>
      <c r="B577" t="inlineStr">
        <is>
          <t>CIA DA SAUDE</t>
        </is>
      </c>
      <c r="C577" t="inlineStr">
        <is>
          <t>PR</t>
        </is>
      </c>
      <c r="D577" t="n">
        <v>4195595101</v>
      </c>
      <c r="E577" t="inlineStr">
        <is>
          <t>Inativo</t>
        </is>
      </c>
      <c r="F577" t="inlineStr">
        <is>
          <t>CIA DA SAUDE</t>
        </is>
      </c>
      <c r="G577" t="inlineStr">
        <is>
          <t>demais</t>
        </is>
      </c>
      <c r="H577" t="inlineStr">
        <is>
          <t>JULIO GADRET</t>
        </is>
      </c>
    </row>
    <row r="578">
      <c r="A578" t="n">
        <v>0</v>
      </c>
      <c r="B578" t="inlineStr">
        <is>
          <t>DIVINA TERRA</t>
        </is>
      </c>
      <c r="C578" t="inlineStr">
        <is>
          <t>SC</t>
        </is>
      </c>
      <c r="D578" t="n">
        <v>51997011934</v>
      </c>
      <c r="E578" t="inlineStr">
        <is>
          <t>Inativo</t>
        </is>
      </c>
      <c r="F578" t="inlineStr">
        <is>
          <t>DIVINA TERRA</t>
        </is>
      </c>
      <c r="G578" t="inlineStr">
        <is>
          <t>demais</t>
        </is>
      </c>
      <c r="H578" t="inlineStr">
        <is>
          <t>HEMANUELE DITZEL (MANU)</t>
        </is>
      </c>
    </row>
    <row r="579">
      <c r="A579" t="n">
        <v>0</v>
      </c>
      <c r="B579" t="inlineStr">
        <is>
          <t>CIA DA SAUDE</t>
        </is>
      </c>
      <c r="C579" t="inlineStr">
        <is>
          <t>SC</t>
        </is>
      </c>
      <c r="D579" t="n">
        <v>47984460123</v>
      </c>
      <c r="E579" t="inlineStr">
        <is>
          <t>Inativo</t>
        </is>
      </c>
      <c r="F579" t="inlineStr">
        <is>
          <t>CIA DA SAUDE</t>
        </is>
      </c>
      <c r="G579" t="inlineStr">
        <is>
          <t>demais</t>
        </is>
      </c>
      <c r="H579" t="inlineStr">
        <is>
          <t>JULIO GADRET</t>
        </is>
      </c>
    </row>
    <row r="580">
      <c r="A580" t="n">
        <v>0</v>
      </c>
      <c r="B580" t="inlineStr">
        <is>
          <t>CIA DA SAUDE</t>
        </is>
      </c>
      <c r="C580" t="inlineStr">
        <is>
          <t>SC</t>
        </is>
      </c>
      <c r="D580" t="n">
        <v>4799670863</v>
      </c>
      <c r="E580" t="inlineStr">
        <is>
          <t>Inativo</t>
        </is>
      </c>
      <c r="F580" t="inlineStr">
        <is>
          <t>CIA DA SAUDE</t>
        </is>
      </c>
      <c r="G580" t="inlineStr">
        <is>
          <t>demais</t>
        </is>
      </c>
      <c r="H580" t="inlineStr">
        <is>
          <t>JULIO GADRET</t>
        </is>
      </c>
    </row>
    <row r="581">
      <c r="A581" t="n">
        <v>0</v>
      </c>
      <c r="B581" t="inlineStr">
        <is>
          <t>DIVINA TERRA</t>
        </is>
      </c>
      <c r="C581" t="inlineStr">
        <is>
          <t>SC</t>
        </is>
      </c>
      <c r="D581" t="n">
        <v>48912662695</v>
      </c>
      <c r="E581" t="inlineStr">
        <is>
          <t>Inativo</t>
        </is>
      </c>
      <c r="F581" t="inlineStr">
        <is>
          <t>DIVINA TERRA</t>
        </is>
      </c>
      <c r="G581" t="inlineStr">
        <is>
          <t>demais</t>
        </is>
      </c>
      <c r="H581" t="inlineStr">
        <is>
          <t>DAIANE STAVICKI</t>
        </is>
      </c>
    </row>
    <row r="582">
      <c r="A582" t="n">
        <v>0</v>
      </c>
      <c r="B582" t="inlineStr">
        <is>
          <t>FITLAND</t>
        </is>
      </c>
      <c r="C582" t="inlineStr">
        <is>
          <t>SC</t>
        </is>
      </c>
      <c r="D582" t="n">
        <v>4733680373</v>
      </c>
      <c r="E582" t="inlineStr">
        <is>
          <t>Inativo</t>
        </is>
      </c>
      <c r="F582" t="inlineStr">
        <is>
          <t>FITLAND</t>
        </is>
      </c>
      <c r="G582" t="inlineStr">
        <is>
          <t>demais</t>
        </is>
      </c>
      <c r="H582" t="inlineStr">
        <is>
          <t>JULIO GADRET</t>
        </is>
      </c>
    </row>
    <row r="583">
      <c r="A583" t="n">
        <v>0</v>
      </c>
      <c r="B583" t="inlineStr">
        <is>
          <t>CIA DA SAUDE</t>
        </is>
      </c>
      <c r="C583" t="inlineStr">
        <is>
          <t>SC</t>
        </is>
      </c>
      <c r="D583" t="n">
        <v>48337193684</v>
      </c>
      <c r="E583" t="inlineStr">
        <is>
          <t>Inativo</t>
        </is>
      </c>
      <c r="F583" t="inlineStr">
        <is>
          <t>CIA DA SAUDE</t>
        </is>
      </c>
      <c r="G583" t="inlineStr">
        <is>
          <t>demais</t>
        </is>
      </c>
      <c r="H583" t="inlineStr">
        <is>
          <t>JULIO GADRET</t>
        </is>
      </c>
    </row>
    <row r="584">
      <c r="A584" t="n">
        <v>0</v>
      </c>
      <c r="B584" t="inlineStr">
        <is>
          <t>CIA DA SAUDE</t>
        </is>
      </c>
      <c r="C584" t="inlineStr">
        <is>
          <t>SC</t>
        </is>
      </c>
      <c r="D584" t="n">
        <v>48999974522</v>
      </c>
      <c r="E584" t="inlineStr">
        <is>
          <t>Inativo</t>
        </is>
      </c>
      <c r="F584" t="inlineStr">
        <is>
          <t>CIA DA SAUDE</t>
        </is>
      </c>
      <c r="G584" t="inlineStr">
        <is>
          <t>demais</t>
        </is>
      </c>
      <c r="H584" t="inlineStr">
        <is>
          <t>JULIO GADRET</t>
        </is>
      </c>
    </row>
    <row r="585">
      <c r="A585" t="n">
        <v>0</v>
      </c>
      <c r="B585" t="inlineStr">
        <is>
          <t>DIVINA TERRA</t>
        </is>
      </c>
      <c r="C585" t="inlineStr">
        <is>
          <t>SC</t>
        </is>
      </c>
      <c r="D585" t="n">
        <v>48309193006</v>
      </c>
      <c r="E585" t="inlineStr">
        <is>
          <t>Inativo</t>
        </is>
      </c>
      <c r="F585" t="inlineStr">
        <is>
          <t>DIVINA TERRA</t>
        </is>
      </c>
      <c r="G585" t="inlineStr">
        <is>
          <t>demais</t>
        </is>
      </c>
      <c r="H585" t="inlineStr">
        <is>
          <t>DAIANE STAVICKI</t>
        </is>
      </c>
    </row>
    <row r="586">
      <c r="A586" t="n">
        <v>0</v>
      </c>
      <c r="B586" t="inlineStr">
        <is>
          <t>CIA DA SAUDE</t>
        </is>
      </c>
      <c r="C586" t="inlineStr">
        <is>
          <t>SC</t>
        </is>
      </c>
      <c r="D586" t="n">
        <v>48323876674</v>
      </c>
      <c r="E586" t="inlineStr">
        <is>
          <t>Inativo</t>
        </is>
      </c>
      <c r="F586" t="inlineStr">
        <is>
          <t>CIA DA SAUDE</t>
        </is>
      </c>
      <c r="G586" t="inlineStr">
        <is>
          <t>demais</t>
        </is>
      </c>
      <c r="H586" t="inlineStr">
        <is>
          <t>JULIO GADRET</t>
        </is>
      </c>
    </row>
    <row r="587">
      <c r="A587" t="n">
        <v>0</v>
      </c>
      <c r="B587" t="inlineStr">
        <is>
          <t>ARMAZEM FIT STORE</t>
        </is>
      </c>
      <c r="C587" t="inlineStr">
        <is>
          <t>SC</t>
        </is>
      </c>
      <c r="D587" t="n">
        <v>4832097774</v>
      </c>
      <c r="E587" t="inlineStr">
        <is>
          <t>Inativo</t>
        </is>
      </c>
      <c r="F587" t="inlineStr">
        <is>
          <t>ARMAZEM FIT STORE</t>
        </is>
      </c>
      <c r="G587" t="inlineStr">
        <is>
          <t>demais</t>
        </is>
      </c>
      <c r="H587" t="inlineStr">
        <is>
          <t>DAIANE STAVICKI</t>
        </is>
      </c>
    </row>
    <row r="588">
      <c r="A588" t="n">
        <v>0</v>
      </c>
      <c r="B588" t="inlineStr">
        <is>
          <t>CIA DA SAUDE</t>
        </is>
      </c>
      <c r="C588" t="inlineStr">
        <is>
          <t>SC</t>
        </is>
      </c>
      <c r="D588" t="n">
        <v>48336457054</v>
      </c>
      <c r="E588" t="inlineStr">
        <is>
          <t>Inativo</t>
        </is>
      </c>
      <c r="F588" t="inlineStr">
        <is>
          <t>CIA DA SAUDE</t>
        </is>
      </c>
      <c r="G588" t="inlineStr">
        <is>
          <t>demais</t>
        </is>
      </c>
      <c r="H588" t="inlineStr">
        <is>
          <t>JULIO GADRET</t>
        </is>
      </c>
    </row>
    <row r="589">
      <c r="A589" t="n">
        <v>0</v>
      </c>
      <c r="B589" t="inlineStr">
        <is>
          <t>FITLAND</t>
        </is>
      </c>
      <c r="C589" t="inlineStr">
        <is>
          <t>SC</t>
        </is>
      </c>
      <c r="D589" t="n">
        <v>4799208020</v>
      </c>
      <c r="E589" t="inlineStr">
        <is>
          <t>Inativo</t>
        </is>
      </c>
      <c r="F589" t="inlineStr">
        <is>
          <t>FITLAND</t>
        </is>
      </c>
      <c r="G589" t="inlineStr">
        <is>
          <t>demais</t>
        </is>
      </c>
      <c r="H589" t="inlineStr">
        <is>
          <t>JULIO GADRET</t>
        </is>
      </c>
    </row>
    <row r="590">
      <c r="A590" t="n">
        <v>0</v>
      </c>
      <c r="B590" t="inlineStr">
        <is>
          <t>CIA DA SAUDE</t>
        </is>
      </c>
      <c r="C590" t="inlineStr">
        <is>
          <t>SC</t>
        </is>
      </c>
      <c r="D590" t="n">
        <v>4735151264</v>
      </c>
      <c r="E590" t="inlineStr">
        <is>
          <t>Inativo</t>
        </is>
      </c>
      <c r="F590" t="inlineStr">
        <is>
          <t>CIA DA SAUDE</t>
        </is>
      </c>
      <c r="G590" t="inlineStr">
        <is>
          <t>demais</t>
        </is>
      </c>
      <c r="H590" t="inlineStr">
        <is>
          <t>JULIO GADRET</t>
        </is>
      </c>
    </row>
    <row r="591">
      <c r="A591" t="n">
        <v>0</v>
      </c>
      <c r="B591" t="inlineStr">
        <is>
          <t>DIVINA TERRA</t>
        </is>
      </c>
      <c r="C591" t="inlineStr">
        <is>
          <t>SC</t>
        </is>
      </c>
      <c r="D591" t="n">
        <v>47992313977</v>
      </c>
      <c r="E591" t="inlineStr">
        <is>
          <t>Inativo</t>
        </is>
      </c>
      <c r="F591" t="inlineStr">
        <is>
          <t>DIVINA TERRA</t>
        </is>
      </c>
      <c r="G591" t="inlineStr">
        <is>
          <t>demais</t>
        </is>
      </c>
      <c r="H591" t="inlineStr">
        <is>
          <t>DAIANE STAVICKI</t>
        </is>
      </c>
    </row>
    <row r="592">
      <c r="A592" t="n">
        <v>0</v>
      </c>
      <c r="B592" t="inlineStr">
        <is>
          <t>CIA DA SAUDE</t>
        </is>
      </c>
      <c r="C592" t="inlineStr">
        <is>
          <t>SC</t>
        </is>
      </c>
      <c r="D592" t="n">
        <v>51980271949</v>
      </c>
      <c r="E592" t="inlineStr">
        <is>
          <t>Inativo</t>
        </is>
      </c>
      <c r="F592" t="inlineStr">
        <is>
          <t>CIA DA SAUDE</t>
        </is>
      </c>
      <c r="G592" t="inlineStr">
        <is>
          <t>demais</t>
        </is>
      </c>
      <c r="H592" t="inlineStr">
        <is>
          <t>JULIO GADRET</t>
        </is>
      </c>
    </row>
    <row r="593">
      <c r="A593" t="n">
        <v>0</v>
      </c>
      <c r="B593" t="inlineStr">
        <is>
          <t>DIVINA TERRA</t>
        </is>
      </c>
      <c r="C593" t="inlineStr">
        <is>
          <t>SC</t>
        </is>
      </c>
      <c r="D593" t="n">
        <v>47989024341</v>
      </c>
      <c r="E593" t="inlineStr">
        <is>
          <t>Inativo</t>
        </is>
      </c>
      <c r="F593" t="inlineStr">
        <is>
          <t>DIVINA TERRA</t>
        </is>
      </c>
      <c r="G593" t="inlineStr">
        <is>
          <t>demais</t>
        </is>
      </c>
      <c r="H593" t="inlineStr">
        <is>
          <t>DAIANE STAVICKI</t>
        </is>
      </c>
    </row>
    <row r="594">
      <c r="A594" t="n">
        <v>0</v>
      </c>
      <c r="B594" t="inlineStr">
        <is>
          <t>FITLAND</t>
        </is>
      </c>
      <c r="C594" t="inlineStr">
        <is>
          <t>SC</t>
        </is>
      </c>
      <c r="D594" t="n">
        <v>47988666600</v>
      </c>
      <c r="E594" t="inlineStr">
        <is>
          <t>Inativo</t>
        </is>
      </c>
      <c r="F594" t="inlineStr">
        <is>
          <t>FITLAND</t>
        </is>
      </c>
      <c r="G594" t="inlineStr">
        <is>
          <t>demais</t>
        </is>
      </c>
      <c r="H594" t="inlineStr">
        <is>
          <t>JULIO GADRET</t>
        </is>
      </c>
    </row>
    <row r="595">
      <c r="A595" t="n">
        <v>0</v>
      </c>
      <c r="B595" t="inlineStr">
        <is>
          <t>CIA DA SAUDE</t>
        </is>
      </c>
      <c r="C595" t="inlineStr">
        <is>
          <t>SC</t>
        </is>
      </c>
      <c r="D595" t="n">
        <v>11952819565</v>
      </c>
      <c r="E595" t="inlineStr">
        <is>
          <t>Inativo</t>
        </is>
      </c>
      <c r="F595" t="inlineStr">
        <is>
          <t>CIA DA SAUDE</t>
        </is>
      </c>
      <c r="G595" t="inlineStr">
        <is>
          <t>demais</t>
        </is>
      </c>
      <c r="H595" t="inlineStr">
        <is>
          <t>JULIO GADRET</t>
        </is>
      </c>
    </row>
    <row r="596">
      <c r="A596" t="n">
        <v>0</v>
      </c>
      <c r="B596" t="inlineStr">
        <is>
          <t>CIA DA SAUDE</t>
        </is>
      </c>
      <c r="C596" t="inlineStr">
        <is>
          <t>SC</t>
        </is>
      </c>
      <c r="D596" t="n">
        <v>4898165198</v>
      </c>
      <c r="E596" t="inlineStr">
        <is>
          <t>Inativo</t>
        </is>
      </c>
      <c r="F596" t="inlineStr">
        <is>
          <t>CIA DA SAUDE</t>
        </is>
      </c>
      <c r="G596" t="inlineStr">
        <is>
          <t>demais</t>
        </is>
      </c>
      <c r="H596" t="inlineStr">
        <is>
          <t>JULIO GADRET</t>
        </is>
      </c>
    </row>
    <row r="597">
      <c r="A597" t="n">
        <v>0</v>
      </c>
      <c r="B597" t="inlineStr">
        <is>
          <t>DIVINA TERRA</t>
        </is>
      </c>
      <c r="C597" t="inlineStr">
        <is>
          <t>SC</t>
        </is>
      </c>
      <c r="D597" t="n">
        <v>49991912112</v>
      </c>
      <c r="E597" t="inlineStr">
        <is>
          <t>Inativo</t>
        </is>
      </c>
      <c r="F597" t="inlineStr">
        <is>
          <t>DIVINA TERRA</t>
        </is>
      </c>
      <c r="G597" t="inlineStr">
        <is>
          <t>demais</t>
        </is>
      </c>
      <c r="H597" t="inlineStr">
        <is>
          <t>DAIANE STAVICKI</t>
        </is>
      </c>
    </row>
    <row r="598">
      <c r="A598" t="n">
        <v>0</v>
      </c>
      <c r="B598" t="inlineStr">
        <is>
          <t>BIO MUNDO</t>
        </is>
      </c>
      <c r="C598" t="inlineStr">
        <is>
          <t>SC</t>
        </is>
      </c>
      <c r="D598" t="n">
        <v>4733046797</v>
      </c>
      <c r="E598" t="inlineStr">
        <is>
          <t>Inativo</t>
        </is>
      </c>
      <c r="F598" t="inlineStr">
        <is>
          <t>BIO MUNDO</t>
        </is>
      </c>
      <c r="G598" t="inlineStr">
        <is>
          <t>demais</t>
        </is>
      </c>
      <c r="H598" t="inlineStr">
        <is>
          <t>HEMANUELE DITZEL (MANU)</t>
        </is>
      </c>
    </row>
    <row r="599">
      <c r="A599" t="n">
        <v>0</v>
      </c>
      <c r="B599" t="inlineStr">
        <is>
          <t>CIA DA SAUDE</t>
        </is>
      </c>
      <c r="C599" t="inlineStr">
        <is>
          <t>SC</t>
        </is>
      </c>
      <c r="D599" t="n">
        <v>4732789010</v>
      </c>
      <c r="E599" t="inlineStr">
        <is>
          <t>Inativo</t>
        </is>
      </c>
      <c r="F599" t="inlineStr">
        <is>
          <t>CIA DA SAUDE</t>
        </is>
      </c>
      <c r="G599" t="inlineStr">
        <is>
          <t>demais</t>
        </is>
      </c>
      <c r="H599" t="inlineStr">
        <is>
          <t>JULIO GADRET</t>
        </is>
      </c>
    </row>
    <row r="600">
      <c r="A600" t="n">
        <v>0</v>
      </c>
      <c r="B600" t="inlineStr">
        <is>
          <t>FITLAND</t>
        </is>
      </c>
      <c r="C600" t="inlineStr">
        <is>
          <t>SC</t>
        </is>
      </c>
      <c r="D600" t="n">
        <v>4799208020</v>
      </c>
      <c r="E600" t="inlineStr">
        <is>
          <t>Inativo</t>
        </is>
      </c>
      <c r="F600" t="inlineStr">
        <is>
          <t>FITLAND</t>
        </is>
      </c>
      <c r="G600" t="inlineStr">
        <is>
          <t>demais</t>
        </is>
      </c>
      <c r="H600" t="inlineStr">
        <is>
          <t>JULIO GADRET</t>
        </is>
      </c>
    </row>
    <row r="601">
      <c r="A601" t="n">
        <v>0</v>
      </c>
      <c r="B601" t="inlineStr">
        <is>
          <t>CIA DA SAUDE</t>
        </is>
      </c>
      <c r="C601" t="inlineStr">
        <is>
          <t>SC</t>
        </is>
      </c>
      <c r="D601" t="n">
        <v>48999144680</v>
      </c>
      <c r="E601" t="inlineStr">
        <is>
          <t>Inativo</t>
        </is>
      </c>
      <c r="F601" t="inlineStr">
        <is>
          <t>CIA DA SAUDE</t>
        </is>
      </c>
      <c r="G601" t="inlineStr">
        <is>
          <t>demais</t>
        </is>
      </c>
      <c r="H601" t="inlineStr">
        <is>
          <t>JULIO GADRET</t>
        </is>
      </c>
    </row>
    <row r="602">
      <c r="A602" t="n">
        <v>0</v>
      </c>
      <c r="B602" t="inlineStr">
        <is>
          <t>CIA DA SAUDE</t>
        </is>
      </c>
      <c r="C602" t="inlineStr">
        <is>
          <t>SC</t>
        </is>
      </c>
      <c r="D602" t="n">
        <v>48960659374</v>
      </c>
      <c r="E602" t="inlineStr">
        <is>
          <t>Inativo</t>
        </is>
      </c>
      <c r="F602" t="inlineStr">
        <is>
          <t>CIA DA SAUDE</t>
        </is>
      </c>
      <c r="G602" t="inlineStr">
        <is>
          <t>demais</t>
        </is>
      </c>
      <c r="H602" t="inlineStr">
        <is>
          <t>JULIO GADRET</t>
        </is>
      </c>
    </row>
    <row r="603">
      <c r="A603" t="n">
        <v>0</v>
      </c>
      <c r="B603" t="inlineStr">
        <is>
          <t>CIA DA SAUDE</t>
        </is>
      </c>
      <c r="C603" t="inlineStr">
        <is>
          <t>SC</t>
        </is>
      </c>
      <c r="D603" t="n">
        <v>4799612048</v>
      </c>
      <c r="E603" t="inlineStr">
        <is>
          <t>Inativo</t>
        </is>
      </c>
      <c r="F603" t="inlineStr">
        <is>
          <t>CIA DA SAUDE</t>
        </is>
      </c>
      <c r="G603" t="inlineStr">
        <is>
          <t>demais</t>
        </is>
      </c>
      <c r="H603" t="inlineStr">
        <is>
          <t>JULIO GADRET</t>
        </is>
      </c>
    </row>
    <row r="604">
      <c r="A604" t="n">
        <v>0</v>
      </c>
      <c r="B604" t="inlineStr">
        <is>
          <t>CIA DA SAUDE</t>
        </is>
      </c>
      <c r="C604" t="inlineStr">
        <is>
          <t>SC</t>
        </is>
      </c>
      <c r="D604" t="n">
        <v>47339687024</v>
      </c>
      <c r="E604" t="inlineStr">
        <is>
          <t>Inativo</t>
        </is>
      </c>
      <c r="F604" t="inlineStr">
        <is>
          <t>CIA DA SAUDE</t>
        </is>
      </c>
      <c r="G604" t="inlineStr">
        <is>
          <t>demais</t>
        </is>
      </c>
      <c r="H604" t="inlineStr">
        <is>
          <t>JULIO GADRET</t>
        </is>
      </c>
    </row>
    <row r="605">
      <c r="A605" t="n">
        <v>0</v>
      </c>
      <c r="B605" t="inlineStr">
        <is>
          <t>DIVINA TERRA</t>
        </is>
      </c>
      <c r="C605" t="inlineStr">
        <is>
          <t>SC</t>
        </is>
      </c>
      <c r="D605" t="n">
        <v>5181182130</v>
      </c>
      <c r="E605" t="inlineStr">
        <is>
          <t>Inativo</t>
        </is>
      </c>
      <c r="F605" t="inlineStr">
        <is>
          <t>DIVINA TERRA</t>
        </is>
      </c>
      <c r="G605" t="inlineStr">
        <is>
          <t>demais</t>
        </is>
      </c>
      <c r="H605" t="inlineStr">
        <is>
          <t>HEMANUELE DITZEL (MANU)</t>
        </is>
      </c>
    </row>
    <row r="606">
      <c r="A606" t="n">
        <v>0</v>
      </c>
      <c r="B606" t="inlineStr">
        <is>
          <t>FITLAND</t>
        </is>
      </c>
      <c r="C606" t="inlineStr">
        <is>
          <t>SC</t>
        </is>
      </c>
      <c r="D606" t="n">
        <v>4899277117</v>
      </c>
      <c r="E606" t="inlineStr">
        <is>
          <t>Inativo</t>
        </is>
      </c>
      <c r="F606" t="inlineStr">
        <is>
          <t>FITLAND</t>
        </is>
      </c>
      <c r="G606" t="inlineStr">
        <is>
          <t>demais</t>
        </is>
      </c>
      <c r="H606" t="inlineStr">
        <is>
          <t>JULIO GADRET</t>
        </is>
      </c>
    </row>
    <row r="607">
      <c r="A607" t="n">
        <v>0</v>
      </c>
      <c r="B607" t="inlineStr">
        <is>
          <t>ARMAZEM FIT STORE</t>
        </is>
      </c>
      <c r="C607" t="inlineStr">
        <is>
          <t>SC</t>
        </is>
      </c>
      <c r="D607" t="n">
        <v>48991098332</v>
      </c>
      <c r="E607" t="inlineStr">
        <is>
          <t>Inativo</t>
        </is>
      </c>
      <c r="F607" t="inlineStr">
        <is>
          <t>ARMAZEM FIT STORE</t>
        </is>
      </c>
      <c r="G607" t="inlineStr">
        <is>
          <t>demais</t>
        </is>
      </c>
      <c r="H607" t="inlineStr">
        <is>
          <t>JULIO GADRET</t>
        </is>
      </c>
    </row>
    <row r="608">
      <c r="A608" t="n">
        <v>0</v>
      </c>
      <c r="B608" t="inlineStr">
        <is>
          <t>CIA DA SAUDE</t>
        </is>
      </c>
      <c r="C608" t="inlineStr">
        <is>
          <t>SC</t>
        </is>
      </c>
      <c r="D608" t="n">
        <v>48991756386</v>
      </c>
      <c r="E608" t="inlineStr">
        <is>
          <t>Inativo</t>
        </is>
      </c>
      <c r="F608" t="inlineStr">
        <is>
          <t>CIA DA SAUDE</t>
        </is>
      </c>
      <c r="G608" t="inlineStr">
        <is>
          <t>demais</t>
        </is>
      </c>
      <c r="H608" t="inlineStr">
        <is>
          <t>JULIO GADRET</t>
        </is>
      </c>
    </row>
    <row r="609">
      <c r="A609" t="n">
        <v>0</v>
      </c>
      <c r="B609" t="inlineStr">
        <is>
          <t>CIA DA SAUDE</t>
        </is>
      </c>
      <c r="C609" t="inlineStr">
        <is>
          <t>SC</t>
        </is>
      </c>
      <c r="D609" t="n">
        <v>4899944030</v>
      </c>
      <c r="E609" t="inlineStr">
        <is>
          <t>Inativo</t>
        </is>
      </c>
      <c r="F609" t="inlineStr">
        <is>
          <t>CIA DA SAUDE</t>
        </is>
      </c>
      <c r="G609" t="inlineStr">
        <is>
          <t>demais</t>
        </is>
      </c>
      <c r="H609" t="inlineStr">
        <is>
          <t>JULIO GADRET</t>
        </is>
      </c>
    </row>
    <row r="610">
      <c r="A610" t="n">
        <v>0</v>
      </c>
      <c r="B610" t="inlineStr">
        <is>
          <t>CIA DA SAUDE</t>
        </is>
      </c>
      <c r="C610" t="inlineStr">
        <is>
          <t>SC</t>
        </is>
      </c>
      <c r="D610" t="n">
        <v>4891891718</v>
      </c>
      <c r="E610" t="inlineStr">
        <is>
          <t>Inativo</t>
        </is>
      </c>
      <c r="F610" t="inlineStr">
        <is>
          <t>CIA DA SAUDE</t>
        </is>
      </c>
      <c r="G610" t="inlineStr">
        <is>
          <t>demais</t>
        </is>
      </c>
      <c r="H610" t="inlineStr">
        <is>
          <t>JULIO GADRET</t>
        </is>
      </c>
    </row>
    <row r="611">
      <c r="A611" t="n">
        <v>0</v>
      </c>
      <c r="B611" t="inlineStr">
        <is>
          <t>CIA DA SAUDE</t>
        </is>
      </c>
      <c r="C611" t="inlineStr">
        <is>
          <t>SC</t>
        </is>
      </c>
      <c r="D611" t="n">
        <v>4899494412</v>
      </c>
      <c r="E611" t="inlineStr">
        <is>
          <t>Inativo</t>
        </is>
      </c>
      <c r="F611" t="inlineStr">
        <is>
          <t>CIA DA SAUDE</t>
        </is>
      </c>
      <c r="G611" t="inlineStr">
        <is>
          <t>demais</t>
        </is>
      </c>
      <c r="H611" t="inlineStr">
        <is>
          <t>JULIO GADRET</t>
        </is>
      </c>
    </row>
    <row r="612">
      <c r="A612" t="n">
        <v>0</v>
      </c>
      <c r="B612" t="inlineStr">
        <is>
          <t>CIA DA SAUDE</t>
        </is>
      </c>
      <c r="C612" t="inlineStr">
        <is>
          <t>SC</t>
        </is>
      </c>
      <c r="D612" t="n">
        <v>48343305464</v>
      </c>
      <c r="E612" t="inlineStr">
        <is>
          <t>Inativo</t>
        </is>
      </c>
      <c r="F612" t="inlineStr">
        <is>
          <t>CIA DA SAUDE</t>
        </is>
      </c>
      <c r="G612" t="inlineStr">
        <is>
          <t>demais</t>
        </is>
      </c>
      <c r="H612" t="inlineStr">
        <is>
          <t>JULIO GADRET</t>
        </is>
      </c>
    </row>
    <row r="613">
      <c r="A613" t="n">
        <v>0</v>
      </c>
      <c r="B613" t="inlineStr">
        <is>
          <t>JARDIM DAS ERVAS</t>
        </is>
      </c>
      <c r="C613" t="inlineStr">
        <is>
          <t>PR</t>
        </is>
      </c>
      <c r="D613" t="n">
        <v>41988205031</v>
      </c>
      <c r="E613" t="inlineStr">
        <is>
          <t>Inativo</t>
        </is>
      </c>
      <c r="F613" t="inlineStr">
        <is>
          <t>JARDIM DAS ERVAS</t>
        </is>
      </c>
      <c r="G613" t="inlineStr">
        <is>
          <t>demais</t>
        </is>
      </c>
      <c r="H613" t="inlineStr">
        <is>
          <t>DAIANE STAVICKI</t>
        </is>
      </c>
    </row>
    <row r="614">
      <c r="A614" t="n">
        <v>0</v>
      </c>
      <c r="B614" t="inlineStr">
        <is>
          <t>CIA DA SAUDE</t>
        </is>
      </c>
      <c r="C614" t="inlineStr">
        <is>
          <t>PR</t>
        </is>
      </c>
      <c r="D614" t="n">
        <v>41885835074</v>
      </c>
      <c r="E614" t="inlineStr">
        <is>
          <t>Inativo</t>
        </is>
      </c>
      <c r="F614" t="inlineStr">
        <is>
          <t>CIA DA SAUDE</t>
        </is>
      </c>
      <c r="G614" t="inlineStr">
        <is>
          <t>demais</t>
        </is>
      </c>
      <c r="H614" t="inlineStr">
        <is>
          <t>JULIO GADRET</t>
        </is>
      </c>
    </row>
    <row r="615">
      <c r="A615" t="n">
        <v>0</v>
      </c>
      <c r="B615" t="inlineStr">
        <is>
          <t>CIA DA SAUDE</t>
        </is>
      </c>
      <c r="C615" t="inlineStr">
        <is>
          <t>SC</t>
        </is>
      </c>
      <c r="D615" t="n">
        <v>4735151264</v>
      </c>
      <c r="E615" t="inlineStr">
        <is>
          <t>Inativo</t>
        </is>
      </c>
      <c r="F615" t="inlineStr">
        <is>
          <t>CIA DA SAUDE</t>
        </is>
      </c>
      <c r="G615" t="inlineStr">
        <is>
          <t>demais</t>
        </is>
      </c>
      <c r="H615" t="inlineStr">
        <is>
          <t>JULIO GADRET</t>
        </is>
      </c>
    </row>
    <row r="616">
      <c r="A616" t="n">
        <v>0</v>
      </c>
      <c r="B616" t="inlineStr">
        <is>
          <t>FITLAND</t>
        </is>
      </c>
      <c r="C616" t="inlineStr">
        <is>
          <t>SC</t>
        </is>
      </c>
      <c r="D616" t="n">
        <v>4899350025</v>
      </c>
      <c r="E616" t="inlineStr">
        <is>
          <t>Inativo</t>
        </is>
      </c>
      <c r="F616" t="inlineStr">
        <is>
          <t>FITLAND</t>
        </is>
      </c>
      <c r="G616" t="inlineStr">
        <is>
          <t>demais</t>
        </is>
      </c>
      <c r="H616" t="inlineStr">
        <is>
          <t>JULIO GADRET</t>
        </is>
      </c>
    </row>
    <row r="617">
      <c r="A617" t="n">
        <v>0</v>
      </c>
      <c r="B617" t="inlineStr">
        <is>
          <t>DIVINA TERRA</t>
        </is>
      </c>
      <c r="C617" t="inlineStr">
        <is>
          <t>MT</t>
        </is>
      </c>
      <c r="D617" t="n">
        <v>6630153509</v>
      </c>
      <c r="E617" t="inlineStr">
        <is>
          <t>Inativo</t>
        </is>
      </c>
      <c r="F617" t="inlineStr">
        <is>
          <t>DIVINA TERRA</t>
        </is>
      </c>
      <c r="G617" t="inlineStr">
        <is>
          <t>demais</t>
        </is>
      </c>
      <c r="H617" t="inlineStr">
        <is>
          <t>DAIANE STAVICKI</t>
        </is>
      </c>
    </row>
    <row r="618">
      <c r="A618" t="n">
        <v>0</v>
      </c>
      <c r="B618" t="inlineStr">
        <is>
          <t>FITLAND</t>
        </is>
      </c>
      <c r="C618" t="inlineStr">
        <is>
          <t>SC</t>
        </is>
      </c>
      <c r="D618" t="n">
        <v>4899208020</v>
      </c>
      <c r="E618" t="inlineStr">
        <is>
          <t>Inativo</t>
        </is>
      </c>
      <c r="F618" t="inlineStr">
        <is>
          <t>FITLAND</t>
        </is>
      </c>
      <c r="G618" t="inlineStr">
        <is>
          <t>demais</t>
        </is>
      </c>
      <c r="H618" t="inlineStr">
        <is>
          <t>JULIO GADRET</t>
        </is>
      </c>
    </row>
    <row r="619">
      <c r="A619" t="n">
        <v>0</v>
      </c>
      <c r="B619" t="inlineStr">
        <is>
          <t>FITLAND</t>
        </is>
      </c>
      <c r="C619" t="inlineStr">
        <is>
          <t>SC</t>
        </is>
      </c>
      <c r="D619" t="n">
        <v>5199217941</v>
      </c>
      <c r="E619" t="inlineStr">
        <is>
          <t>Inativo</t>
        </is>
      </c>
      <c r="F619" t="inlineStr">
        <is>
          <t>FITLAND</t>
        </is>
      </c>
      <c r="G619" t="inlineStr">
        <is>
          <t>demais</t>
        </is>
      </c>
      <c r="H619" t="inlineStr">
        <is>
          <t>JULIO GADRET</t>
        </is>
      </c>
    </row>
    <row r="620">
      <c r="A620" t="n">
        <v>0</v>
      </c>
      <c r="B620" t="inlineStr">
        <is>
          <t>LIGEIRINHO</t>
        </is>
      </c>
      <c r="C620" t="inlineStr">
        <is>
          <t>RJ</t>
        </is>
      </c>
      <c r="D620" t="n">
        <v>2196652683</v>
      </c>
      <c r="E620" t="inlineStr">
        <is>
          <t>Inativo</t>
        </is>
      </c>
      <c r="F620" t="inlineStr">
        <is>
          <t>LIGEIRINHO</t>
        </is>
      </c>
      <c r="G620" t="inlineStr">
        <is>
          <t>demais</t>
        </is>
      </c>
      <c r="H620" t="inlineStr">
        <is>
          <t>LARISSA PADILHA</t>
        </is>
      </c>
    </row>
    <row r="621">
      <c r="A621" t="n">
        <v>0</v>
      </c>
      <c r="B621" t="inlineStr">
        <is>
          <t>CIA DA SAUDE</t>
        </is>
      </c>
      <c r="C621" t="inlineStr">
        <is>
          <t>SC</t>
        </is>
      </c>
      <c r="D621" t="n">
        <v>4784679894</v>
      </c>
      <c r="E621" t="inlineStr">
        <is>
          <t>Inativo</t>
        </is>
      </c>
      <c r="F621" t="inlineStr">
        <is>
          <t>CIA DA SAUDE</t>
        </is>
      </c>
      <c r="G621" t="inlineStr">
        <is>
          <t>demais</t>
        </is>
      </c>
      <c r="H621" t="inlineStr">
        <is>
          <t>JULIO GADRET</t>
        </is>
      </c>
    </row>
    <row r="622">
      <c r="A622" t="n">
        <v>0</v>
      </c>
      <c r="B622" t="inlineStr">
        <is>
          <t>FITLAND</t>
        </is>
      </c>
      <c r="C622" t="inlineStr">
        <is>
          <t>SC</t>
        </is>
      </c>
      <c r="D622" t="n">
        <v>4888199013</v>
      </c>
      <c r="E622" t="inlineStr">
        <is>
          <t>Inativo</t>
        </is>
      </c>
      <c r="F622" t="inlineStr">
        <is>
          <t>FITLAND</t>
        </is>
      </c>
      <c r="G622" t="inlineStr">
        <is>
          <t>demais</t>
        </is>
      </c>
      <c r="H622" t="inlineStr">
        <is>
          <t>JULIO GADRET</t>
        </is>
      </c>
    </row>
    <row r="623">
      <c r="A623" t="n">
        <v>0</v>
      </c>
      <c r="B623" t="inlineStr">
        <is>
          <t>CIA DA SAUDE</t>
        </is>
      </c>
      <c r="C623" t="inlineStr">
        <is>
          <t>SC</t>
        </is>
      </c>
      <c r="D623" t="n">
        <v>4830585741</v>
      </c>
      <c r="E623" t="inlineStr">
        <is>
          <t>Inativo</t>
        </is>
      </c>
      <c r="F623" t="inlineStr">
        <is>
          <t>CIA DA SAUDE</t>
        </is>
      </c>
      <c r="G623" t="inlineStr">
        <is>
          <t>demais</t>
        </is>
      </c>
      <c r="H623" t="inlineStr">
        <is>
          <t>JULIO GADRET</t>
        </is>
      </c>
    </row>
    <row r="624">
      <c r="A624" t="n">
        <v>0</v>
      </c>
      <c r="B624" t="inlineStr">
        <is>
          <t>VIDA LEVE</t>
        </is>
      </c>
      <c r="C624" t="inlineStr">
        <is>
          <t>BA</t>
        </is>
      </c>
      <c r="D624" t="n">
        <v>71993025896</v>
      </c>
      <c r="E624" t="inlineStr">
        <is>
          <t>Inativo</t>
        </is>
      </c>
      <c r="F624" t="inlineStr">
        <is>
          <t>VIDA LEVE</t>
        </is>
      </c>
      <c r="G624" t="inlineStr">
        <is>
          <t>demais</t>
        </is>
      </c>
      <c r="H624" t="inlineStr">
        <is>
          <t>LARISSA PADILHA</t>
        </is>
      </c>
    </row>
    <row r="625">
      <c r="A625" t="n">
        <v>0</v>
      </c>
      <c r="B625" t="inlineStr">
        <is>
          <t>LIGEIRINHO</t>
        </is>
      </c>
      <c r="C625" t="inlineStr">
        <is>
          <t>RJ</t>
        </is>
      </c>
      <c r="D625" t="n">
        <v>2137880348</v>
      </c>
      <c r="E625" t="inlineStr">
        <is>
          <t>Inativo</t>
        </is>
      </c>
      <c r="F625" t="inlineStr">
        <is>
          <t>LIGEIRINHO</t>
        </is>
      </c>
      <c r="G625" t="inlineStr">
        <is>
          <t>demais</t>
        </is>
      </c>
      <c r="H625" t="inlineStr">
        <is>
          <t>LARISSA PADILHA</t>
        </is>
      </c>
    </row>
    <row r="626">
      <c r="A626" t="n">
        <v>0</v>
      </c>
      <c r="B626" t="inlineStr">
        <is>
          <t>SEM GRUPO</t>
        </is>
      </c>
      <c r="C626" t="inlineStr">
        <is>
          <t>PR</t>
        </is>
      </c>
      <c r="D626" t="n">
        <v>11932574943</v>
      </c>
      <c r="E626" t="inlineStr">
        <is>
          <t>Inativo</t>
        </is>
      </c>
      <c r="F626" t="inlineStr">
        <is>
          <t>SEM REDE</t>
        </is>
      </c>
      <c r="G626" t="inlineStr">
        <is>
          <t>demais</t>
        </is>
      </c>
      <c r="H626" t="inlineStr">
        <is>
          <t>HEMANUELE DITZEL (MANU)</t>
        </is>
      </c>
    </row>
    <row r="627">
      <c r="A627" t="n">
        <v>0</v>
      </c>
      <c r="B627" t="inlineStr">
        <is>
          <t>BIO MUNDO</t>
        </is>
      </c>
      <c r="C627" t="inlineStr">
        <is>
          <t>DF</t>
        </is>
      </c>
      <c r="D627" t="n">
        <v>6133633809</v>
      </c>
      <c r="E627" t="inlineStr">
        <is>
          <t>Inativo</t>
        </is>
      </c>
      <c r="F627" t="inlineStr">
        <is>
          <t>BIO MUNDO</t>
        </is>
      </c>
      <c r="G627" t="inlineStr">
        <is>
          <t>demais</t>
        </is>
      </c>
      <c r="H627" t="inlineStr">
        <is>
          <t>DAIANE STAVICKI</t>
        </is>
      </c>
    </row>
    <row r="628">
      <c r="A628" t="n">
        <v>0</v>
      </c>
      <c r="B628" t="inlineStr">
        <is>
          <t>SEM GRUPO</t>
        </is>
      </c>
      <c r="C628" t="inlineStr">
        <is>
          <t>RS</t>
        </is>
      </c>
      <c r="D628" t="n">
        <v>5196887423</v>
      </c>
      <c r="E628" t="inlineStr">
        <is>
          <t>Inativo</t>
        </is>
      </c>
      <c r="F628" t="inlineStr">
        <is>
          <t>SEM REDE</t>
        </is>
      </c>
      <c r="G628" t="inlineStr">
        <is>
          <t>demais</t>
        </is>
      </c>
      <c r="H628" t="inlineStr">
        <is>
          <t>HEMANUELE DITZEL (MANU)</t>
        </is>
      </c>
    </row>
    <row r="629">
      <c r="A629" t="n">
        <v>0</v>
      </c>
      <c r="B629" t="inlineStr">
        <is>
          <t>BIO MUNDO</t>
        </is>
      </c>
      <c r="C629" t="inlineStr">
        <is>
          <t>TO</t>
        </is>
      </c>
      <c r="D629" t="n">
        <v>6181292671</v>
      </c>
      <c r="E629" t="inlineStr">
        <is>
          <t>Inativo</t>
        </is>
      </c>
      <c r="F629" t="inlineStr">
        <is>
          <t>BIO MUNDO</t>
        </is>
      </c>
      <c r="G629" t="inlineStr">
        <is>
          <t>demais</t>
        </is>
      </c>
      <c r="H629" t="inlineStr">
        <is>
          <t>HEMANUELE DITZEL (MANU)</t>
        </is>
      </c>
    </row>
    <row r="630">
      <c r="A630" t="n">
        <v>0</v>
      </c>
      <c r="B630" t="inlineStr">
        <is>
          <t>SEM GRUPO</t>
        </is>
      </c>
      <c r="C630" t="inlineStr">
        <is>
          <t>PR</t>
        </is>
      </c>
      <c r="D630" t="n">
        <v>4132763516</v>
      </c>
      <c r="E630" t="inlineStr">
        <is>
          <t>Inativo</t>
        </is>
      </c>
      <c r="F630" t="inlineStr">
        <is>
          <t>SEM REDE</t>
        </is>
      </c>
      <c r="G630" t="inlineStr">
        <is>
          <t>demais</t>
        </is>
      </c>
      <c r="H630" t="inlineStr">
        <is>
          <t>HEMANUELE DITZEL (MANU)</t>
        </is>
      </c>
    </row>
    <row r="631">
      <c r="A631" t="n">
        <v>0</v>
      </c>
      <c r="B631" t="inlineStr">
        <is>
          <t>DIVINA TERRA</t>
        </is>
      </c>
      <c r="C631" t="inlineStr">
        <is>
          <t>AM</t>
        </is>
      </c>
      <c r="D631" t="n">
        <v>9281536452</v>
      </c>
      <c r="E631" t="inlineStr">
        <is>
          <t>Inativo</t>
        </is>
      </c>
      <c r="F631" t="inlineStr">
        <is>
          <t>DIVINA TERRA</t>
        </is>
      </c>
      <c r="G631" t="inlineStr">
        <is>
          <t>demais</t>
        </is>
      </c>
      <c r="H631" t="inlineStr">
        <is>
          <t>LARISSA PADILHA</t>
        </is>
      </c>
    </row>
    <row r="632">
      <c r="A632" t="n">
        <v>0</v>
      </c>
      <c r="B632" t="inlineStr">
        <is>
          <t>BIO MUNDO</t>
        </is>
      </c>
      <c r="C632" t="inlineStr">
        <is>
          <t>MA</t>
        </is>
      </c>
      <c r="D632" t="n">
        <v>9996311517</v>
      </c>
      <c r="E632" t="inlineStr">
        <is>
          <t>Inativo</t>
        </is>
      </c>
      <c r="F632" t="inlineStr">
        <is>
          <t>BIO MUNDO</t>
        </is>
      </c>
      <c r="G632" t="inlineStr">
        <is>
          <t>demais</t>
        </is>
      </c>
      <c r="H632" t="inlineStr">
        <is>
          <t>DAIANE STAVICKI</t>
        </is>
      </c>
    </row>
    <row r="633">
      <c r="A633" t="n">
        <v>0</v>
      </c>
      <c r="B633" t="inlineStr">
        <is>
          <t>TUDO EM GRAOS / VGA</t>
        </is>
      </c>
      <c r="C633" t="inlineStr">
        <is>
          <t>RS</t>
        </is>
      </c>
      <c r="D633" t="n">
        <v>54999710194</v>
      </c>
      <c r="E633" t="inlineStr">
        <is>
          <t>Inativo</t>
        </is>
      </c>
      <c r="F633" t="inlineStr">
        <is>
          <t>TUDO EM GRAOS</t>
        </is>
      </c>
      <c r="G633" t="inlineStr">
        <is>
          <t>demais</t>
        </is>
      </c>
      <c r="H633" t="inlineStr">
        <is>
          <t>DAIANE STAVICKI</t>
        </is>
      </c>
    </row>
    <row r="634">
      <c r="A634" t="n">
        <v>0</v>
      </c>
      <c r="B634" t="inlineStr">
        <is>
          <t>CIA DA SAUDE</t>
        </is>
      </c>
      <c r="C634" t="inlineStr">
        <is>
          <t>SC</t>
        </is>
      </c>
      <c r="D634" t="n">
        <v>4896466193</v>
      </c>
      <c r="E634" t="inlineStr">
        <is>
          <t>Inativo</t>
        </is>
      </c>
      <c r="F634" t="inlineStr">
        <is>
          <t>CIA DA SAUDE</t>
        </is>
      </c>
      <c r="G634" t="inlineStr">
        <is>
          <t>demais</t>
        </is>
      </c>
      <c r="H634" t="inlineStr">
        <is>
          <t>JULIO GADRET</t>
        </is>
      </c>
    </row>
    <row r="635">
      <c r="A635" t="n">
        <v>0</v>
      </c>
      <c r="B635" t="inlineStr">
        <is>
          <t>VIDA LEVE</t>
        </is>
      </c>
      <c r="C635" t="inlineStr">
        <is>
          <t>SP</t>
        </is>
      </c>
      <c r="D635" t="n">
        <v>11977926459</v>
      </c>
      <c r="E635" t="inlineStr">
        <is>
          <t>Inativo</t>
        </is>
      </c>
      <c r="F635" t="inlineStr">
        <is>
          <t>VIDA LEVE</t>
        </is>
      </c>
      <c r="G635" t="inlineStr">
        <is>
          <t>demais</t>
        </is>
      </c>
      <c r="H635" t="inlineStr">
        <is>
          <t>DAIANE STAVICKI</t>
        </is>
      </c>
    </row>
    <row r="636">
      <c r="A636" t="n">
        <v>0</v>
      </c>
      <c r="B636" t="inlineStr">
        <is>
          <t>BIO MUNDO</t>
        </is>
      </c>
      <c r="C636" t="inlineStr">
        <is>
          <t>RJ</t>
        </is>
      </c>
      <c r="D636" t="n">
        <v>24993043660</v>
      </c>
      <c r="E636" t="inlineStr">
        <is>
          <t>Inativo</t>
        </is>
      </c>
      <c r="F636" t="inlineStr">
        <is>
          <t>BIO MUNDO</t>
        </is>
      </c>
      <c r="G636" t="inlineStr">
        <is>
          <t>demais</t>
        </is>
      </c>
      <c r="H636" t="inlineStr">
        <is>
          <t>LARISSA PADILHA</t>
        </is>
      </c>
    </row>
    <row r="637">
      <c r="A637" t="n">
        <v>0</v>
      </c>
      <c r="B637" t="inlineStr">
        <is>
          <t>MERCOCENTRO</t>
        </is>
      </c>
      <c r="C637" t="inlineStr">
        <is>
          <t>SC</t>
        </is>
      </c>
      <c r="D637" t="n">
        <v>48988457748</v>
      </c>
      <c r="E637" t="inlineStr">
        <is>
          <t>Inativo</t>
        </is>
      </c>
      <c r="F637" t="inlineStr">
        <is>
          <t>MERCOCENTRO</t>
        </is>
      </c>
      <c r="G637" t="inlineStr">
        <is>
          <t>demais</t>
        </is>
      </c>
      <c r="H637" t="inlineStr">
        <is>
          <t>HEMANUELE DITZEL (MANU)</t>
        </is>
      </c>
    </row>
    <row r="638">
      <c r="A638" t="n">
        <v>0</v>
      </c>
      <c r="B638" t="inlineStr">
        <is>
          <t>CIA DA SAUDE</t>
        </is>
      </c>
      <c r="C638" t="inlineStr">
        <is>
          <t>SC</t>
        </is>
      </c>
      <c r="D638" t="n">
        <v>4833645705</v>
      </c>
      <c r="E638" t="inlineStr">
        <is>
          <t>Inativo</t>
        </is>
      </c>
      <c r="F638" t="inlineStr">
        <is>
          <t>CIA DA SAUDE</t>
        </is>
      </c>
      <c r="G638" t="inlineStr">
        <is>
          <t>demais</t>
        </is>
      </c>
      <c r="H638" t="inlineStr">
        <is>
          <t>JULIO GADRET</t>
        </is>
      </c>
    </row>
    <row r="639">
      <c r="A639" t="n">
        <v>0</v>
      </c>
      <c r="B639" t="inlineStr">
        <is>
          <t>CIA DA SAUDE</t>
        </is>
      </c>
      <c r="C639" t="inlineStr">
        <is>
          <t>SC</t>
        </is>
      </c>
      <c r="D639" t="n">
        <v>4730254770</v>
      </c>
      <c r="E639" t="inlineStr">
        <is>
          <t>Inativo</t>
        </is>
      </c>
      <c r="F639" t="inlineStr">
        <is>
          <t>CIA DA SAUDE</t>
        </is>
      </c>
      <c r="G639" t="inlineStr">
        <is>
          <t>demais</t>
        </is>
      </c>
      <c r="H639" t="inlineStr">
        <is>
          <t>JULIO GADRET</t>
        </is>
      </c>
    </row>
    <row r="640">
      <c r="A640" t="n">
        <v>0</v>
      </c>
      <c r="B640" t="inlineStr">
        <is>
          <t>CIA DA SAUDE</t>
        </is>
      </c>
      <c r="C640" t="inlineStr">
        <is>
          <t>SC</t>
        </is>
      </c>
      <c r="D640" t="n">
        <v>48999153553</v>
      </c>
      <c r="E640" t="inlineStr">
        <is>
          <t>Inativo</t>
        </is>
      </c>
      <c r="F640" t="inlineStr">
        <is>
          <t>CIA DA SAUDE</t>
        </is>
      </c>
      <c r="G640" t="inlineStr">
        <is>
          <t>demais</t>
        </is>
      </c>
      <c r="H640" t="inlineStr">
        <is>
          <t>JULIO GADRET</t>
        </is>
      </c>
    </row>
    <row r="641">
      <c r="A641" t="n">
        <v>0</v>
      </c>
      <c r="B641" t="inlineStr">
        <is>
          <t>SEM GRUPO</t>
        </is>
      </c>
      <c r="C641" t="inlineStr">
        <is>
          <t>SC</t>
        </is>
      </c>
      <c r="D641" t="n">
        <v>4732278525</v>
      </c>
      <c r="E641" t="inlineStr">
        <is>
          <t>Inativo</t>
        </is>
      </c>
      <c r="F641" t="inlineStr">
        <is>
          <t>SEM REDE</t>
        </is>
      </c>
      <c r="G641" t="inlineStr">
        <is>
          <t>demais</t>
        </is>
      </c>
      <c r="H641" t="inlineStr">
        <is>
          <t>HEMANUELE DITZEL (MANU)</t>
        </is>
      </c>
    </row>
    <row r="642">
      <c r="A642" t="n">
        <v>0</v>
      </c>
      <c r="B642" t="inlineStr">
        <is>
          <t>SEM GRUPO</t>
        </is>
      </c>
      <c r="C642" t="inlineStr">
        <is>
          <t>RJ</t>
        </is>
      </c>
      <c r="D642" t="n">
        <v>21995704191</v>
      </c>
      <c r="E642" t="inlineStr">
        <is>
          <t>Inativo</t>
        </is>
      </c>
      <c r="F642" t="inlineStr">
        <is>
          <t>SEM REDE</t>
        </is>
      </c>
      <c r="G642" t="inlineStr">
        <is>
          <t>demais</t>
        </is>
      </c>
      <c r="H642" t="inlineStr">
        <is>
          <t>LARISSA PADILHA</t>
        </is>
      </c>
    </row>
    <row r="643">
      <c r="A643" t="n">
        <v>0</v>
      </c>
      <c r="B643" t="inlineStr">
        <is>
          <t>SEM GRUPO</t>
        </is>
      </c>
      <c r="C643" t="inlineStr">
        <is>
          <t>MT</t>
        </is>
      </c>
      <c r="D643" t="n">
        <v>6684376194</v>
      </c>
      <c r="E643" t="inlineStr">
        <is>
          <t>Inativo</t>
        </is>
      </c>
      <c r="F643" t="inlineStr">
        <is>
          <t>SEM REDE</t>
        </is>
      </c>
      <c r="G643" t="inlineStr">
        <is>
          <t>demais</t>
        </is>
      </c>
      <c r="H643" t="inlineStr">
        <is>
          <t>LARISSA PADILHA</t>
        </is>
      </c>
    </row>
    <row r="644">
      <c r="A644" t="n">
        <v>0</v>
      </c>
      <c r="B644" t="inlineStr">
        <is>
          <t>SEM GRUPO</t>
        </is>
      </c>
      <c r="C644" t="inlineStr">
        <is>
          <t>SC</t>
        </is>
      </c>
      <c r="D644" t="n">
        <v>47989081234</v>
      </c>
      <c r="E644" t="inlineStr">
        <is>
          <t>Inativo</t>
        </is>
      </c>
      <c r="F644" t="inlineStr">
        <is>
          <t>SEM REDE</t>
        </is>
      </c>
      <c r="G644" t="inlineStr">
        <is>
          <t>demais</t>
        </is>
      </c>
      <c r="H644" t="inlineStr">
        <is>
          <t>HEMANUELE DITZEL (MANU)</t>
        </is>
      </c>
    </row>
    <row r="645">
      <c r="A645" t="n">
        <v>0</v>
      </c>
      <c r="B645" t="inlineStr">
        <is>
          <t>VIDA LEVE</t>
        </is>
      </c>
      <c r="C645" t="inlineStr">
        <is>
          <t>SP</t>
        </is>
      </c>
      <c r="D645" t="n">
        <v>17981330043</v>
      </c>
      <c r="E645" t="inlineStr">
        <is>
          <t>Inativo</t>
        </is>
      </c>
      <c r="F645" t="inlineStr">
        <is>
          <t>VIDA LEVE</t>
        </is>
      </c>
      <c r="G645" t="inlineStr">
        <is>
          <t>demais</t>
        </is>
      </c>
      <c r="H645" t="inlineStr">
        <is>
          <t>DAIANE STAVICKI</t>
        </is>
      </c>
    </row>
    <row r="646">
      <c r="A646" t="n">
        <v>0</v>
      </c>
      <c r="B646" t="inlineStr">
        <is>
          <t>SEM GRUPO</t>
        </is>
      </c>
      <c r="C646" t="inlineStr">
        <is>
          <t>SP</t>
        </is>
      </c>
      <c r="D646" t="n">
        <v>11964002134</v>
      </c>
      <c r="E646" t="inlineStr">
        <is>
          <t>Inativo</t>
        </is>
      </c>
      <c r="F646" t="inlineStr">
        <is>
          <t>SEM REDE</t>
        </is>
      </c>
      <c r="G646" t="inlineStr">
        <is>
          <t>demais</t>
        </is>
      </c>
      <c r="H646" t="inlineStr">
        <is>
          <t>LARISSA PADILHA</t>
        </is>
      </c>
    </row>
    <row r="647">
      <c r="A647" t="n">
        <v>0</v>
      </c>
      <c r="B647" t="inlineStr">
        <is>
          <t>VIDA LEVE</t>
        </is>
      </c>
      <c r="C647" t="inlineStr">
        <is>
          <t>TO</t>
        </is>
      </c>
      <c r="D647" t="n">
        <v>63992080630</v>
      </c>
      <c r="E647" t="inlineStr">
        <is>
          <t>Inativo</t>
        </is>
      </c>
      <c r="F647" t="inlineStr">
        <is>
          <t>VIDA LEVE</t>
        </is>
      </c>
      <c r="G647" t="inlineStr">
        <is>
          <t>demais</t>
        </is>
      </c>
      <c r="H647" t="inlineStr">
        <is>
          <t>DAIANE STAVICKI</t>
        </is>
      </c>
    </row>
    <row r="648">
      <c r="A648" t="n">
        <v>0</v>
      </c>
      <c r="B648" t="inlineStr">
        <is>
          <t>SEM GRUPO</t>
        </is>
      </c>
      <c r="C648" t="inlineStr">
        <is>
          <t>MG</t>
        </is>
      </c>
      <c r="D648" t="n">
        <v>3333238852</v>
      </c>
      <c r="E648" t="inlineStr">
        <is>
          <t>Inativo</t>
        </is>
      </c>
      <c r="F648" t="inlineStr">
        <is>
          <t>SEM REDE</t>
        </is>
      </c>
      <c r="G648" t="inlineStr">
        <is>
          <t>demais</t>
        </is>
      </c>
      <c r="H648" t="inlineStr">
        <is>
          <t>LARISSA PADILHA</t>
        </is>
      </c>
    </row>
    <row r="649">
      <c r="A649" t="n">
        <v>0</v>
      </c>
      <c r="B649" t="inlineStr">
        <is>
          <t>SEM GRUPO</t>
        </is>
      </c>
      <c r="C649" t="inlineStr">
        <is>
          <t>SP</t>
        </is>
      </c>
      <c r="D649" t="n">
        <v>11945142686</v>
      </c>
      <c r="E649" t="inlineStr">
        <is>
          <t>Inativo</t>
        </is>
      </c>
      <c r="F649" t="inlineStr">
        <is>
          <t>SEM REDE</t>
        </is>
      </c>
      <c r="G649" t="inlineStr">
        <is>
          <t>demais</t>
        </is>
      </c>
      <c r="H649" t="inlineStr">
        <is>
          <t>LARISSA PADILHA</t>
        </is>
      </c>
    </row>
    <row r="650">
      <c r="A650" t="n">
        <v>0</v>
      </c>
      <c r="B650" t="inlineStr">
        <is>
          <t>SEM GRUPO</t>
        </is>
      </c>
      <c r="C650" t="inlineStr">
        <is>
          <t>RS</t>
        </is>
      </c>
      <c r="D650" t="n">
        <v>5192141635</v>
      </c>
      <c r="E650" t="inlineStr">
        <is>
          <t>Inativo</t>
        </is>
      </c>
      <c r="F650" t="inlineStr">
        <is>
          <t>SEM REDE</t>
        </is>
      </c>
      <c r="G650" t="inlineStr">
        <is>
          <t>demais</t>
        </is>
      </c>
      <c r="H650" t="inlineStr">
        <is>
          <t>HEMANUELE DITZEL (MANU)</t>
        </is>
      </c>
    </row>
    <row r="651">
      <c r="A651" t="n">
        <v>0</v>
      </c>
      <c r="B651" t="inlineStr">
        <is>
          <t>SEM GRUPO</t>
        </is>
      </c>
      <c r="C651" t="inlineStr">
        <is>
          <t>MG</t>
        </is>
      </c>
      <c r="D651" t="n">
        <v>3832189304</v>
      </c>
      <c r="E651" t="inlineStr">
        <is>
          <t>Inativo</t>
        </is>
      </c>
      <c r="F651" t="inlineStr">
        <is>
          <t>SEM REDE</t>
        </is>
      </c>
      <c r="G651" t="inlineStr">
        <is>
          <t>demais</t>
        </is>
      </c>
      <c r="H651" t="inlineStr">
        <is>
          <t>LARISSA PADILHA</t>
        </is>
      </c>
    </row>
    <row r="652">
      <c r="A652" t="n">
        <v>0</v>
      </c>
      <c r="B652" t="inlineStr">
        <is>
          <t>SEM GRUPO</t>
        </is>
      </c>
      <c r="C652" t="inlineStr">
        <is>
          <t>PE</t>
        </is>
      </c>
      <c r="D652" t="n">
        <v>8192595179</v>
      </c>
      <c r="E652" t="inlineStr">
        <is>
          <t>Inativo</t>
        </is>
      </c>
      <c r="F652" t="inlineStr">
        <is>
          <t>SEM REDE</t>
        </is>
      </c>
      <c r="G652" t="inlineStr">
        <is>
          <t>demais</t>
        </is>
      </c>
      <c r="H652" t="inlineStr">
        <is>
          <t>LARISSA PADILHA</t>
        </is>
      </c>
    </row>
    <row r="653">
      <c r="A653" t="n">
        <v>0</v>
      </c>
      <c r="B653" t="inlineStr">
        <is>
          <t>SEM GRUPO</t>
        </is>
      </c>
      <c r="C653" t="inlineStr">
        <is>
          <t>SP</t>
        </is>
      </c>
      <c r="D653" t="n">
        <v>1438142348</v>
      </c>
      <c r="E653" t="inlineStr">
        <is>
          <t>Inativo</t>
        </is>
      </c>
      <c r="F653" t="inlineStr">
        <is>
          <t>SEM REDE</t>
        </is>
      </c>
      <c r="G653" t="inlineStr">
        <is>
          <t>demais</t>
        </is>
      </c>
      <c r="H653" t="inlineStr">
        <is>
          <t>LARISSA PADILHA</t>
        </is>
      </c>
    </row>
    <row r="654">
      <c r="A654" t="n">
        <v>0</v>
      </c>
      <c r="B654" t="inlineStr">
        <is>
          <t>SEM GRUPO</t>
        </is>
      </c>
      <c r="C654" t="inlineStr">
        <is>
          <t>MA</t>
        </is>
      </c>
      <c r="D654" t="n">
        <v>9892319022</v>
      </c>
      <c r="E654" t="inlineStr">
        <is>
          <t>Inativo</t>
        </is>
      </c>
      <c r="F654" t="inlineStr">
        <is>
          <t>SEM REDE</t>
        </is>
      </c>
      <c r="G654" t="inlineStr">
        <is>
          <t>demais</t>
        </is>
      </c>
      <c r="H654" t="inlineStr">
        <is>
          <t>LARISSA PADILHA</t>
        </is>
      </c>
    </row>
    <row r="655">
      <c r="A655" t="n">
        <v>0</v>
      </c>
      <c r="B655" t="inlineStr">
        <is>
          <t>SEM GRUPO</t>
        </is>
      </c>
      <c r="C655" t="inlineStr">
        <is>
          <t>RS</t>
        </is>
      </c>
      <c r="D655" t="n">
        <v>5196787833</v>
      </c>
      <c r="E655" t="inlineStr">
        <is>
          <t>Inativo</t>
        </is>
      </c>
      <c r="F655" t="inlineStr">
        <is>
          <t>SEM REDE</t>
        </is>
      </c>
      <c r="G655" t="inlineStr">
        <is>
          <t>demais</t>
        </is>
      </c>
      <c r="H655" t="inlineStr">
        <is>
          <t>HEMANUELE DITZEL (MANU)</t>
        </is>
      </c>
    </row>
    <row r="656">
      <c r="A656" t="n">
        <v>0</v>
      </c>
      <c r="B656" t="inlineStr">
        <is>
          <t>SEM GRUPO</t>
        </is>
      </c>
      <c r="C656" t="inlineStr">
        <is>
          <t>SC</t>
        </is>
      </c>
      <c r="D656" t="n">
        <v>48999316068</v>
      </c>
      <c r="E656" t="inlineStr">
        <is>
          <t>Inativo</t>
        </is>
      </c>
      <c r="F656" t="inlineStr">
        <is>
          <t>SEM REDE</t>
        </is>
      </c>
      <c r="G656" t="inlineStr">
        <is>
          <t>demais</t>
        </is>
      </c>
      <c r="H656" t="inlineStr">
        <is>
          <t>JULIO GADRET</t>
        </is>
      </c>
    </row>
    <row r="657">
      <c r="A657" t="n">
        <v>0</v>
      </c>
      <c r="B657" t="inlineStr">
        <is>
          <t>BIO MUNDO</t>
        </is>
      </c>
      <c r="C657" t="inlineStr">
        <is>
          <t>DF</t>
        </is>
      </c>
      <c r="D657" t="n">
        <v>61986098577</v>
      </c>
      <c r="E657" t="inlineStr">
        <is>
          <t>Inativo</t>
        </is>
      </c>
      <c r="F657" t="inlineStr">
        <is>
          <t>BIO MUNDO</t>
        </is>
      </c>
      <c r="G657" t="inlineStr">
        <is>
          <t>demais</t>
        </is>
      </c>
      <c r="H657" t="inlineStr">
        <is>
          <t>DAIANE STAVICKI</t>
        </is>
      </c>
    </row>
    <row r="658">
      <c r="A658" t="n">
        <v>0</v>
      </c>
      <c r="B658" t="inlineStr">
        <is>
          <t>SEM GRUPO</t>
        </is>
      </c>
      <c r="C658" t="inlineStr">
        <is>
          <t>GO</t>
        </is>
      </c>
      <c r="D658" t="n">
        <v>64996610968</v>
      </c>
      <c r="E658" t="inlineStr">
        <is>
          <t>Inativo</t>
        </is>
      </c>
      <c r="F658" t="inlineStr">
        <is>
          <t>SEM REDE</t>
        </is>
      </c>
      <c r="G658" t="inlineStr">
        <is>
          <t>demais</t>
        </is>
      </c>
      <c r="H658" t="inlineStr">
        <is>
          <t>LARISSA PADILHA</t>
        </is>
      </c>
    </row>
    <row r="659">
      <c r="A659" t="n">
        <v>-0.003619</v>
      </c>
      <c r="B659" t="inlineStr">
        <is>
          <t>SEM GRUPO</t>
        </is>
      </c>
      <c r="C659" t="inlineStr">
        <is>
          <t>RS</t>
        </is>
      </c>
      <c r="D659" t="n">
        <v>5491613776</v>
      </c>
      <c r="E659" t="inlineStr">
        <is>
          <t>Inativo</t>
        </is>
      </c>
      <c r="F659" t="inlineStr">
        <is>
          <t>SEM REDE</t>
        </is>
      </c>
      <c r="G659" t="inlineStr">
        <is>
          <t>demais</t>
        </is>
      </c>
      <c r="H659" t="inlineStr">
        <is>
          <t>HEMANUELE DITZEL (MANU)</t>
        </is>
      </c>
    </row>
    <row r="660">
      <c r="A660" t="n">
        <v>-0.055406</v>
      </c>
      <c r="B660" t="inlineStr">
        <is>
          <t>SEM GRUPO</t>
        </is>
      </c>
      <c r="C660" t="inlineStr">
        <is>
          <t>GO</t>
        </is>
      </c>
      <c r="D660" t="n">
        <v>6232677053</v>
      </c>
      <c r="E660" t="inlineStr">
        <is>
          <t>Inativo</t>
        </is>
      </c>
      <c r="F660" t="inlineStr">
        <is>
          <t>SEM REDE</t>
        </is>
      </c>
      <c r="G660" t="inlineStr">
        <is>
          <t>demais</t>
        </is>
      </c>
      <c r="H660" t="inlineStr">
        <is>
          <t>LARISSA PADILHA</t>
        </is>
      </c>
    </row>
    <row r="661">
      <c r="A661" t="n">
        <v>-0.13249</v>
      </c>
      <c r="B661" t="inlineStr">
        <is>
          <t>SEM GRUPO</t>
        </is>
      </c>
      <c r="C661" t="inlineStr">
        <is>
          <t>SP</t>
        </is>
      </c>
      <c r="D661" t="n">
        <v>11970518503</v>
      </c>
      <c r="E661" t="inlineStr">
        <is>
          <t>Inativo</t>
        </is>
      </c>
      <c r="F661" t="inlineStr">
        <is>
          <t>SEM REDE</t>
        </is>
      </c>
      <c r="G661" t="inlineStr">
        <is>
          <t>demais</t>
        </is>
      </c>
      <c r="H661" t="inlineStr">
        <is>
          <t>LARISSA PADILHA</t>
        </is>
      </c>
    </row>
    <row r="662">
      <c r="A662" t="n">
        <v>-0.390577</v>
      </c>
      <c r="B662" t="inlineStr">
        <is>
          <t>VIDA LEVE</t>
        </is>
      </c>
      <c r="C662" t="inlineStr">
        <is>
          <t>SP</t>
        </is>
      </c>
      <c r="D662" t="n">
        <v>1791342344</v>
      </c>
      <c r="E662" t="inlineStr">
        <is>
          <t>Inativo</t>
        </is>
      </c>
      <c r="F662" t="inlineStr">
        <is>
          <t>VIDA LEVE</t>
        </is>
      </c>
      <c r="G662" t="inlineStr">
        <is>
          <t>demais</t>
        </is>
      </c>
      <c r="H662" t="inlineStr">
        <is>
          <t>LARISSA PADILHA</t>
        </is>
      </c>
    </row>
  </sheetData>
  <conditionalFormatting sqref="A2:A662">
    <cfRule type="expression" priority="15" stopIfTrue="1">
      <formula>$A2=""</formula>
    </cfRule>
    <cfRule type="expression" priority="16" dxfId="7">
      <formula>$A2&gt;0.6</formula>
    </cfRule>
    <cfRule type="expression" priority="17" dxfId="6">
      <formula>$A2&gt;0.4</formula>
    </cfRule>
    <cfRule type="expression" priority="18" dxfId="5">
      <formula>$A2&gt;=0.01</formula>
    </cfRule>
    <cfRule type="expression" priority="19" dxfId="4">
      <formula>$A2&lt;0.01</formula>
    </cfRule>
  </conditionalFormatting>
  <conditionalFormatting sqref="B2:I2 H384:H662 I3:I662">
    <cfRule type="expression" priority="21" dxfId="0">
      <formula>#REF!="CANAL VAREJO INDIRETO"</formula>
    </cfRule>
  </conditionalFormatting>
  <conditionalFormatting sqref="C3:C662">
    <cfRule type="expression" priority="4" dxfId="0">
      <formula>#REF!="CANAL VAREJO INDIRETO"</formula>
    </cfRule>
  </conditionalFormatting>
  <conditionalFormatting sqref="B3:B497 D3:H383 D384:G497">
    <cfRule type="expression" priority="20" dxfId="0">
      <formula>#REF!="CANAL VAREJO INDIRETO"</formula>
    </cfRule>
  </conditionalFormatting>
  <conditionalFormatting sqref="J2:K662">
    <cfRule type="expression" priority="7" dxfId="0">
      <formula>#REF!="CANAL VAREJO INDIRETO"</formula>
    </cfRule>
  </conditionalFormatting>
  <pageMargins left="0.511811024" right="0.511811024" top="0.787401575" bottom="0.787401575" header="0.31496062" footer="0.31496062"/>
  <pageSetup orientation="portrait" paperSize="9" horizontalDpi="360" verticalDpi="360"/>
</worksheet>
</file>

<file path=xl/worksheets/sheet7.xml><?xml version="1.0" encoding="utf-8"?>
<worksheet xmlns="http://schemas.openxmlformats.org/spreadsheetml/2006/main">
  <sheetPr codeName="Planilha9">
    <outlinePr summaryBelow="1" summaryRight="1"/>
    <pageSetUpPr/>
  </sheetPr>
  <dimension ref="A1:D5"/>
  <sheetViews>
    <sheetView workbookViewId="0">
      <selection activeCell="B16" sqref="B16"/>
    </sheetView>
  </sheetViews>
  <sheetFormatPr baseColWidth="8" defaultRowHeight="15"/>
  <cols>
    <col width="17" bestFit="1" customWidth="1" min="1" max="1"/>
    <col width="38.28515625" bestFit="1" customWidth="1" min="2" max="2"/>
    <col width="53.7109375" bestFit="1" customWidth="1" min="3" max="3"/>
    <col width="15.42578125" customWidth="1" min="4" max="4"/>
  </cols>
  <sheetData>
    <row r="1">
      <c r="A1" t="inlineStr">
        <is>
          <t>Etapas</t>
        </is>
      </c>
      <c r="C1" t="inlineStr">
        <is>
          <t>Ações</t>
        </is>
      </c>
    </row>
    <row r="2">
      <c r="A2" t="inlineStr">
        <is>
          <t xml:space="preserve">Prospecção </t>
        </is>
      </c>
      <c r="B2" t="inlineStr">
        <is>
          <t>Analise de mix de cadastro</t>
        </is>
      </c>
      <c r="C2" t="inlineStr">
        <is>
          <t>Estudo concorrencia e preço Sell in</t>
        </is>
      </c>
    </row>
    <row r="3">
      <c r="A3" t="inlineStr">
        <is>
          <t>Positivação Basica</t>
        </is>
      </c>
      <c r="B3" t="inlineStr">
        <is>
          <t>(mix cadastrado e promotor)</t>
        </is>
      </c>
      <c r="C3" t="inlineStr">
        <is>
          <t xml:space="preserve">Ações Sell In + Aniversário / Inauguração (Contra partidas) </t>
        </is>
      </c>
      <c r="D3" t="inlineStr">
        <is>
          <t>TOP 300</t>
        </is>
      </c>
    </row>
    <row r="4">
      <c r="A4" t="inlineStr">
        <is>
          <t>Plano de Sell Out</t>
        </is>
      </c>
      <c r="B4" t="inlineStr">
        <is>
          <t xml:space="preserve">Ajuste de mix + analise de estoque / giro </t>
        </is>
      </c>
      <c r="C4" t="inlineStr">
        <is>
          <t xml:space="preserve">Sell in + Sell Out + Inaugurações </t>
        </is>
      </c>
      <c r="D4" t="inlineStr">
        <is>
          <t>TOP 200</t>
        </is>
      </c>
    </row>
    <row r="5">
      <c r="A5" t="inlineStr">
        <is>
          <t xml:space="preserve">JBP </t>
        </is>
      </c>
      <c r="B5" t="inlineStr">
        <is>
          <t xml:space="preserve">BI </t>
        </is>
      </c>
      <c r="C5" t="inlineStr">
        <is>
          <t>Plano de Negócio - Completo</t>
        </is>
      </c>
      <c r="D5" t="inlineStr">
        <is>
          <t>TOP 100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Joao.Giordano</dc:creator>
  <dcterms:created xmlns:dcterms="http://purl.org/dc/terms/" xmlns:xsi="http://www.w3.org/2001/XMLSchema-instance" xsi:type="dcterms:W3CDTF">2025-04-24T20:31:26Z</dcterms:created>
  <dcterms:modified xmlns:dcterms="http://purl.org/dc/terms/" xmlns:xsi="http://www.w3.org/2001/XMLSchema-instance" xsi:type="dcterms:W3CDTF">2026-02-15T23:48:37Z</dcterms:modified>
  <cp:lastModifiedBy>Leandro Garcia</cp:lastModifiedBy>
  <cp:lastPrinted>2025-10-24T18:48:00Z</cp:lastPrinted>
</cp:coreProperties>
</file>